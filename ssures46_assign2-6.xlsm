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richData/rdRichValueTypes.xml" ContentType="application/vnd.ms-excel.rdrichvaluetypes+xml"/>
  <Override PartName="/xl/richData/rdrichvaluestructure.xml" ContentType="application/vnd.ms-excel.rdrichvaluestructure+xml"/>
  <Override PartName="/xl/richData/rdrichvalue.xml" ContentType="application/vnd.ms-excel.rdrichvalu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51" codeName="{3D1A710C-6663-3D7B-7F91-EC182F24A4BC}"/>
  <workbookPr codeName="ThisWorkbook"/>
  <mc:AlternateContent xmlns:mc="http://schemas.openxmlformats.org/markup-compatibility/2006">
    <mc:Choice Requires="x15">
      <x15ac:absPath xmlns:x15ac="http://schemas.microsoft.com/office/spreadsheetml/2010/11/ac" url="C:\Users\ssures46\Downloads\"/>
    </mc:Choice>
  </mc:AlternateContent>
  <xr:revisionPtr revIDLastSave="0" documentId="13_ncr:1_{ED45F041-2B04-4720-A5CD-ABE2E7FB91C8}" xr6:coauthVersionLast="36" xr6:coauthVersionMax="47" xr10:uidLastSave="{00000000-0000-0000-0000-000000000000}"/>
  <bookViews>
    <workbookView xWindow="2700" yWindow="855" windowWidth="27240" windowHeight="16440" activeTab="3" xr2:uid="{5C990338-DC99-9743-AD6C-327E82D53C70}"/>
  </bookViews>
  <sheets>
    <sheet name="Data" sheetId="1" r:id="rId1"/>
    <sheet name="Keywords" sheetId="2" r:id="rId2"/>
    <sheet name="Countries" sheetId="3" r:id="rId3"/>
    <sheet name="Analysis" sheetId="4" r:id="rId4"/>
  </sheets>
  <functionGroups builtInGroupCount="19"/>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3503" i="1" l="1"/>
  <c r="M3503" i="1"/>
  <c r="L3503" i="1"/>
  <c r="C2" i="1" a="1"/>
  <c r="G1303" i="1" a="1"/>
  <c r="G11" i="1" a="1"/>
  <c r="G27" i="1" a="1"/>
  <c r="G43" i="1" a="1"/>
  <c r="G59" i="1" a="1"/>
  <c r="G24" i="1" a="1"/>
  <c r="G62" i="1" a="1"/>
  <c r="G116" i="1" a="1"/>
  <c r="G159" i="1" a="1"/>
  <c r="G191" i="1" a="1"/>
  <c r="G223" i="1" a="1"/>
  <c r="G255" i="1" a="1"/>
  <c r="G287" i="1" a="1"/>
  <c r="G319" i="1" a="1"/>
  <c r="G346" i="1" a="1"/>
  <c r="G362" i="1" a="1"/>
  <c r="G378" i="1" a="1"/>
  <c r="G394" i="1" a="1"/>
  <c r="G410" i="1" a="1"/>
  <c r="G426" i="1" a="1"/>
  <c r="G442" i="1" a="1"/>
  <c r="G458" i="1" a="1"/>
  <c r="G474" i="1" a="1"/>
  <c r="G490" i="1" a="1"/>
  <c r="G506" i="1" a="1"/>
  <c r="G25" i="1" a="1"/>
  <c r="G69" i="1" a="1"/>
  <c r="G90" i="1" a="1"/>
  <c r="G111" i="1" a="1"/>
  <c r="G137" i="1" a="1"/>
  <c r="G169" i="1" a="1"/>
  <c r="G201" i="1" a="1"/>
  <c r="G233" i="1" a="1"/>
  <c r="G265" i="1" a="1"/>
  <c r="G297" i="1" a="1"/>
  <c r="G329" i="1" a="1"/>
  <c r="G32" i="1" a="1"/>
  <c r="G80" i="1" a="1"/>
  <c r="G133" i="1" a="1"/>
  <c r="G165" i="1" a="1"/>
  <c r="G197" i="1" a="1"/>
  <c r="G229" i="1" a="1"/>
  <c r="G261" i="1" a="1"/>
  <c r="G293" i="1" a="1"/>
  <c r="G325" i="1" a="1"/>
  <c r="G8" i="1" a="1"/>
  <c r="G61" i="1" a="1"/>
  <c r="G104" i="1" a="1"/>
  <c r="G181" i="1" a="1"/>
  <c r="G211" i="1" a="1"/>
  <c r="G254" i="1" a="1"/>
  <c r="G321" i="1" a="1"/>
  <c r="G361" i="1" a="1"/>
  <c r="G407" i="1" a="1"/>
  <c r="G448" i="1" a="1"/>
  <c r="G489" i="1" a="1"/>
  <c r="G520" i="1" a="1"/>
  <c r="G536" i="1" a="1"/>
  <c r="G552" i="1" a="1"/>
  <c r="G568" i="1" a="1"/>
  <c r="G584" i="1" a="1"/>
  <c r="G600" i="1" a="1"/>
  <c r="G616" i="1" a="1"/>
  <c r="G632" i="1" a="1"/>
  <c r="G648" i="1" a="1"/>
  <c r="G9" i="1" a="1"/>
  <c r="G81" i="1" a="1"/>
  <c r="G123" i="1" a="1"/>
  <c r="G167" i="1" a="1"/>
  <c r="G218" i="1" a="1"/>
  <c r="G285" i="1" a="1"/>
  <c r="G328" i="1" a="1"/>
  <c r="G371" i="1" a="1"/>
  <c r="G412" i="1" a="1"/>
  <c r="G453" i="1" a="1"/>
  <c r="G499" i="1" a="1"/>
  <c r="G65" i="1" a="1"/>
  <c r="G107" i="1" a="1"/>
  <c r="G147" i="1" a="1"/>
  <c r="G190" i="1" a="1"/>
  <c r="G257" i="1" a="1"/>
  <c r="G308" i="1" a="1"/>
  <c r="G344" i="1" a="1"/>
  <c r="G385" i="1" a="1"/>
  <c r="G431" i="1" a="1"/>
  <c r="G472" i="1" a="1"/>
  <c r="G513" i="1" a="1"/>
  <c r="G529" i="1" a="1"/>
  <c r="G545" i="1" a="1"/>
  <c r="G73" i="1" a="1"/>
  <c r="G115" i="1" a="1"/>
  <c r="G154" i="1" a="1"/>
  <c r="G221" i="1" a="1"/>
  <c r="G264" i="1" a="1"/>
  <c r="G294" i="1" a="1"/>
  <c r="G372" i="1" a="1"/>
  <c r="G413" i="1" a="1"/>
  <c r="G459" i="1" a="1"/>
  <c r="G500" i="1" a="1"/>
  <c r="G92" i="1" a="1"/>
  <c r="G244" i="1" a="1"/>
  <c r="G345" i="1" a="1"/>
  <c r="G455" i="1" a="1"/>
  <c r="G526" i="1" a="1"/>
  <c r="G555" i="1" a="1"/>
  <c r="G614" i="1" a="1"/>
  <c r="G655" i="1" a="1"/>
  <c r="G676" i="1" a="1"/>
  <c r="G692" i="1" a="1"/>
  <c r="G708" i="1" a="1"/>
  <c r="G724" i="1" a="1"/>
  <c r="G740" i="1" a="1"/>
  <c r="G756" i="1" a="1"/>
  <c r="G772" i="1" a="1"/>
  <c r="G788" i="1" a="1"/>
  <c r="G804" i="1" a="1"/>
  <c r="G820" i="1" a="1"/>
  <c r="G836" i="1" a="1"/>
  <c r="G852" i="1" a="1"/>
  <c r="G76" i="1" a="1"/>
  <c r="G171" i="1" a="1"/>
  <c r="G273" i="1" a="1"/>
  <c r="G355" i="1" a="1"/>
  <c r="G428" i="1" a="1"/>
  <c r="G501" i="1" a="1"/>
  <c r="G582" i="1" a="1"/>
  <c r="G1304" i="1" a="1"/>
  <c r="G15" i="1" a="1"/>
  <c r="G31" i="1" a="1"/>
  <c r="G47" i="1" a="1"/>
  <c r="G63" i="1" a="1"/>
  <c r="G30" i="1" a="1"/>
  <c r="G68" i="1" a="1"/>
  <c r="G132" i="1" a="1"/>
  <c r="G164" i="1" a="1"/>
  <c r="G196" i="1" a="1"/>
  <c r="G228" i="1" a="1"/>
  <c r="G260" i="1" a="1"/>
  <c r="G292" i="1" a="1"/>
  <c r="G324" i="1" a="1"/>
  <c r="G350" i="1" a="1"/>
  <c r="G366" i="1" a="1"/>
  <c r="G382" i="1" a="1"/>
  <c r="G398" i="1" a="1"/>
  <c r="G414" i="1" a="1"/>
  <c r="G430" i="1" a="1"/>
  <c r="G446" i="1" a="1"/>
  <c r="G462" i="1" a="1"/>
  <c r="G478" i="1" a="1"/>
  <c r="G494" i="1" a="1"/>
  <c r="G510" i="1" a="1"/>
  <c r="G44" i="1" a="1"/>
  <c r="G74" i="1" a="1"/>
  <c r="G95" i="1" a="1"/>
  <c r="G117" i="1" a="1"/>
  <c r="G146" i="1" a="1"/>
  <c r="G178" i="1" a="1"/>
  <c r="G210" i="1" a="1"/>
  <c r="G242" i="1" a="1"/>
  <c r="G274" i="1" a="1"/>
  <c r="G306" i="1" a="1"/>
  <c r="G338" i="1" a="1"/>
  <c r="G38" i="1" a="1"/>
  <c r="G96" i="1" a="1"/>
  <c r="G142" i="1" a="1"/>
  <c r="G174" i="1" a="1"/>
  <c r="G206" i="1" a="1"/>
  <c r="G238" i="1" a="1"/>
  <c r="G270" i="1" a="1"/>
  <c r="G302" i="1" a="1"/>
  <c r="G334" i="1" a="1"/>
  <c r="G21" i="1" a="1"/>
  <c r="G78" i="1" a="1"/>
  <c r="G121" i="1" a="1"/>
  <c r="G189" i="1" a="1"/>
  <c r="G232" i="1" a="1"/>
  <c r="G262" i="1" a="1"/>
  <c r="G327" i="1" a="1"/>
  <c r="G375" i="1" a="1"/>
  <c r="G416" i="1" a="1"/>
  <c r="G457" i="1" a="1"/>
  <c r="G503" i="1" a="1"/>
  <c r="G524" i="1" a="1"/>
  <c r="G540" i="1" a="1"/>
  <c r="G556" i="1" a="1"/>
  <c r="G572" i="1" a="1"/>
  <c r="G588" i="1" a="1"/>
  <c r="G604" i="1" a="1"/>
  <c r="G620" i="1" a="1"/>
  <c r="G636" i="1" a="1"/>
  <c r="G652" i="1" a="1"/>
  <c r="G33" i="1" a="1"/>
  <c r="G88" i="1" a="1"/>
  <c r="G145" i="1" a="1"/>
  <c r="G175" i="1" a="1"/>
  <c r="G226" i="1" a="1"/>
  <c r="G291" i="1" a="1"/>
  <c r="G336" i="1" a="1"/>
  <c r="G380" i="1" a="1"/>
  <c r="G421" i="1" a="1"/>
  <c r="G467" i="1" a="1"/>
  <c r="G508" i="1" a="1"/>
  <c r="G72" i="1" a="1"/>
  <c r="G124" i="1" a="1"/>
  <c r="G168" i="1" a="1"/>
  <c r="G198" i="1" a="1"/>
  <c r="G263" i="1" a="1"/>
  <c r="G314" i="1" a="1"/>
  <c r="G353" i="1" a="1"/>
  <c r="G399" i="1" a="1"/>
  <c r="G440" i="1" a="1"/>
  <c r="G481" i="1" a="1"/>
  <c r="G517" i="1" a="1"/>
  <c r="G533" i="1" a="1"/>
  <c r="G10" i="1" a="1"/>
  <c r="G82" i="1" a="1"/>
  <c r="G125" i="1" a="1"/>
  <c r="G162" i="1" a="1"/>
  <c r="G227" i="1" a="1"/>
  <c r="G272" i="1" a="1"/>
  <c r="G337" i="1" a="1"/>
  <c r="G381" i="1" a="1"/>
  <c r="G427" i="1" a="1"/>
  <c r="G468" i="1" a="1"/>
  <c r="G509" i="1" a="1"/>
  <c r="G109" i="1" a="1"/>
  <c r="G258" i="1" a="1"/>
  <c r="G391" i="1" a="1"/>
  <c r="G464" i="1" a="1"/>
  <c r="G534" i="1" a="1"/>
  <c r="G562" i="1" a="1"/>
  <c r="G623" i="1" a="1"/>
  <c r="G664" i="1" a="1"/>
  <c r="G680" i="1" a="1"/>
  <c r="G696" i="1" a="1"/>
  <c r="G712" i="1" a="1"/>
  <c r="G728" i="1" a="1"/>
  <c r="G744" i="1" a="1"/>
  <c r="G760" i="1" a="1"/>
  <c r="G776" i="1" a="1"/>
  <c r="G792" i="1" a="1"/>
  <c r="G808" i="1" a="1"/>
  <c r="G824" i="1" a="1"/>
  <c r="G840" i="1" a="1"/>
  <c r="G856" i="1" a="1"/>
  <c r="G93" i="1" a="1"/>
  <c r="G200" i="1" a="1"/>
  <c r="G289" i="1" a="1"/>
  <c r="G364" i="1" a="1"/>
  <c r="G437" i="1" a="1"/>
  <c r="G550" i="1" a="1"/>
  <c r="G594" i="1" a="1"/>
  <c r="G1301" i="1" a="1"/>
  <c r="G3" i="1" a="1"/>
  <c r="G19" i="1" a="1"/>
  <c r="G35" i="1" a="1"/>
  <c r="G51" i="1" a="1"/>
  <c r="G4" i="1" a="1"/>
  <c r="G37" i="1" a="1"/>
  <c r="G84" i="1" a="1"/>
  <c r="G141" i="1" a="1"/>
  <c r="G173" i="1" a="1"/>
  <c r="G205" i="1" a="1"/>
  <c r="G237" i="1" a="1"/>
  <c r="G269" i="1" a="1"/>
  <c r="G301" i="1" a="1"/>
  <c r="G333" i="1" a="1"/>
  <c r="G354" i="1" a="1"/>
  <c r="G370" i="1" a="1"/>
  <c r="G386" i="1" a="1"/>
  <c r="G402" i="1" a="1"/>
  <c r="G418" i="1" a="1"/>
  <c r="G434" i="1" a="1"/>
  <c r="G450" i="1" a="1"/>
  <c r="G466" i="1" a="1"/>
  <c r="G482" i="1" a="1"/>
  <c r="G498" i="1" a="1"/>
  <c r="G12" i="1" a="1"/>
  <c r="G50" i="1" a="1"/>
  <c r="G79" i="1" a="1"/>
  <c r="G101" i="1" a="1"/>
  <c r="G122" i="1" a="1"/>
  <c r="G155" i="1" a="1"/>
  <c r="G187" i="1" a="1"/>
  <c r="G219" i="1" a="1"/>
  <c r="G251" i="1" a="1"/>
  <c r="G283" i="1" a="1"/>
  <c r="G315" i="1" a="1"/>
  <c r="G6" i="1" a="1"/>
  <c r="G45" i="1" a="1"/>
  <c r="G112" i="1" a="1"/>
  <c r="G151" i="1" a="1"/>
  <c r="G183" i="1" a="1"/>
  <c r="G215" i="1" a="1"/>
  <c r="G247" i="1" a="1"/>
  <c r="G279" i="1" a="1"/>
  <c r="G311" i="1" a="1"/>
  <c r="G343" i="1" a="1"/>
  <c r="G41" i="1" a="1"/>
  <c r="G87" i="1" a="1"/>
  <c r="G130" i="1" a="1"/>
  <c r="G195" i="1" a="1"/>
  <c r="G240" i="1" a="1"/>
  <c r="G305" i="1" a="1"/>
  <c r="G335" i="1" a="1"/>
  <c r="G384" i="1" a="1"/>
  <c r="G425" i="1" a="1"/>
  <c r="G471" i="1" a="1"/>
  <c r="G512" i="1" a="1"/>
  <c r="G528" i="1" a="1"/>
  <c r="G544" i="1" a="1"/>
  <c r="G560" i="1" a="1"/>
  <c r="G576" i="1" a="1"/>
  <c r="G592" i="1" a="1"/>
  <c r="G608" i="1" a="1"/>
  <c r="G624" i="1" a="1"/>
  <c r="G640" i="1" a="1"/>
  <c r="G656" i="1" a="1"/>
  <c r="G53" i="1" a="1"/>
  <c r="G105" i="1" a="1"/>
  <c r="G153" i="1" a="1"/>
  <c r="G204" i="1" a="1"/>
  <c r="G234" i="1" a="1"/>
  <c r="G299" i="1" a="1"/>
  <c r="G348" i="1" a="1"/>
  <c r="G389" i="1" a="1"/>
  <c r="G435" i="1" a="1"/>
  <c r="G476" i="1" a="1"/>
  <c r="G22" i="1" a="1"/>
  <c r="G89" i="1" a="1"/>
  <c r="G131" i="1" a="1"/>
  <c r="G176" i="1" a="1"/>
  <c r="G241" i="1" a="1"/>
  <c r="G271" i="1" a="1"/>
  <c r="G322" i="1" a="1"/>
  <c r="G367" i="1" a="1"/>
  <c r="G408" i="1" a="1"/>
  <c r="G449" i="1" a="1"/>
  <c r="G495" i="1" a="1"/>
  <c r="G521" i="1" a="1"/>
  <c r="G537" i="1" a="1"/>
  <c r="G34" i="1" a="1"/>
  <c r="G91" i="1" a="1"/>
  <c r="G140" i="1" a="1"/>
  <c r="G170" i="1" a="1"/>
  <c r="G235" i="1" a="1"/>
  <c r="G280" i="1" a="1"/>
  <c r="G349" i="1" a="1"/>
  <c r="G395" i="1" a="1"/>
  <c r="G436" i="1" a="1"/>
  <c r="G477" i="1" a="1"/>
  <c r="G14" i="1" a="1"/>
  <c r="G185" i="1" a="1"/>
  <c r="G317" i="1" a="1"/>
  <c r="G400" i="1" a="1"/>
  <c r="G473" i="1" a="1"/>
  <c r="G542" i="1" a="1"/>
  <c r="G581" i="1" a="1"/>
  <c r="G637" i="1" a="1"/>
  <c r="G668" i="1" a="1"/>
  <c r="G684" i="1" a="1"/>
  <c r="G700" i="1" a="1"/>
  <c r="G716" i="1" a="1"/>
  <c r="G732" i="1" a="1"/>
  <c r="G748" i="1" a="1"/>
  <c r="G764" i="1" a="1"/>
  <c r="G780" i="1" a="1"/>
  <c r="G796" i="1" a="1"/>
  <c r="G812" i="1" a="1"/>
  <c r="G828" i="1" a="1"/>
  <c r="G844" i="1" a="1"/>
  <c r="G36" i="1" a="1"/>
  <c r="G126" i="1" a="1"/>
  <c r="G216" i="1" a="1"/>
  <c r="G303" i="1" a="1"/>
  <c r="G373" i="1" a="1"/>
  <c r="G483" i="1" a="1"/>
  <c r="G569" i="1" a="1"/>
  <c r="G599" i="1" a="1"/>
  <c r="G1302" i="1" a="1"/>
  <c r="G7" i="1" a="1"/>
  <c r="G23" i="1" a="1"/>
  <c r="G39" i="1" a="1"/>
  <c r="G55" i="1" a="1"/>
  <c r="G5" i="1" a="1"/>
  <c r="G56" i="1" a="1"/>
  <c r="G100" i="1" a="1"/>
  <c r="G150" i="1" a="1"/>
  <c r="G182" i="1" a="1"/>
  <c r="G214" i="1" a="1"/>
  <c r="G246" i="1" a="1"/>
  <c r="G278" i="1" a="1"/>
  <c r="G310" i="1" a="1"/>
  <c r="G342" i="1" a="1"/>
  <c r="G358" i="1" a="1"/>
  <c r="G374" i="1" a="1"/>
  <c r="G390" i="1" a="1"/>
  <c r="G406" i="1" a="1"/>
  <c r="G422" i="1" a="1"/>
  <c r="G438" i="1" a="1"/>
  <c r="G454" i="1" a="1"/>
  <c r="G470" i="1" a="1"/>
  <c r="G486" i="1" a="1"/>
  <c r="G502" i="1" a="1"/>
  <c r="G18" i="1" a="1"/>
  <c r="G57" i="1" a="1"/>
  <c r="G85" i="1" a="1"/>
  <c r="G106" i="1" a="1"/>
  <c r="G127" i="1" a="1"/>
  <c r="G160" i="1" a="1"/>
  <c r="G192" i="1" a="1"/>
  <c r="G224" i="1" a="1"/>
  <c r="G256" i="1" a="1"/>
  <c r="G288" i="1" a="1"/>
  <c r="G320" i="1" a="1"/>
  <c r="G13" i="1" a="1"/>
  <c r="G64" i="1" a="1"/>
  <c r="G128" i="1" a="1"/>
  <c r="G156" i="1" a="1"/>
  <c r="G188" i="1" a="1"/>
  <c r="G220" i="1" a="1"/>
  <c r="G252" i="1" a="1"/>
  <c r="G284" i="1" a="1"/>
  <c r="G316" i="1" a="1"/>
  <c r="G20" i="1" a="1"/>
  <c r="G52" i="1" a="1"/>
  <c r="G97" i="1" a="1"/>
  <c r="G138" i="1" a="1"/>
  <c r="G203" i="1" a="1"/>
  <c r="G248" i="1" a="1"/>
  <c r="G313" i="1" a="1"/>
  <c r="G352" i="1" a="1"/>
  <c r="G393" i="1" a="1"/>
  <c r="G439" i="1" a="1"/>
  <c r="G480" i="1" a="1"/>
  <c r="G516" i="1" a="1"/>
  <c r="G532" i="1" a="1"/>
  <c r="G548" i="1" a="1"/>
  <c r="G564" i="1" a="1"/>
  <c r="G580" i="1" a="1"/>
  <c r="G596" i="1" a="1"/>
  <c r="G612" i="1" a="1"/>
  <c r="G628" i="1" a="1"/>
  <c r="G644" i="1" a="1"/>
  <c r="G660" i="1" a="1"/>
  <c r="G71" i="1" a="1"/>
  <c r="G114" i="1" a="1"/>
  <c r="G161" i="1" a="1"/>
  <c r="G212" i="1" a="1"/>
  <c r="G277" i="1" a="1"/>
  <c r="G307" i="1" a="1"/>
  <c r="G357" i="1" a="1"/>
  <c r="G403" i="1" a="1"/>
  <c r="G444" i="1" a="1"/>
  <c r="G485" i="1" a="1"/>
  <c r="G42" i="1" a="1"/>
  <c r="G98" i="1" a="1"/>
  <c r="G139" i="1" a="1"/>
  <c r="G184" i="1" a="1"/>
  <c r="G249" i="1" a="1"/>
  <c r="G300" i="1" a="1"/>
  <c r="G330" i="1" a="1"/>
  <c r="G376" i="1" a="1"/>
  <c r="G417" i="1" a="1"/>
  <c r="G463" i="1" a="1"/>
  <c r="G504" i="1" a="1"/>
  <c r="G525" i="1" a="1"/>
  <c r="G541" i="1" a="1"/>
  <c r="G54" i="1" a="1"/>
  <c r="G108" i="1" a="1"/>
  <c r="G148" i="1" a="1"/>
  <c r="G213" i="1" a="1"/>
  <c r="G243" i="1" a="1"/>
  <c r="G286" i="1" a="1"/>
  <c r="G363" i="1" a="1"/>
  <c r="G404" i="1" a="1"/>
  <c r="G445" i="1" a="1"/>
  <c r="G491" i="1" a="1"/>
  <c r="G75" i="1" a="1"/>
  <c r="G199" i="1" a="1"/>
  <c r="G331" i="1" a="1"/>
  <c r="G409" i="1" a="1"/>
  <c r="G518" i="1" a="1"/>
  <c r="G549" i="1" a="1"/>
  <c r="G587" i="1" a="1"/>
  <c r="G646" i="1" a="1"/>
  <c r="G672" i="1" a="1"/>
  <c r="G688" i="1" a="1"/>
  <c r="G704" i="1" a="1"/>
  <c r="G720" i="1" a="1"/>
  <c r="G736" i="1" a="1"/>
  <c r="G752" i="1" a="1"/>
  <c r="G768" i="1" a="1"/>
  <c r="G784" i="1" a="1"/>
  <c r="G800" i="1" a="1"/>
  <c r="G816" i="1" a="1"/>
  <c r="G832" i="1" a="1"/>
  <c r="G848" i="1" a="1"/>
  <c r="G58" i="1" a="1"/>
  <c r="G157" i="1" a="1"/>
  <c r="G230" i="1" a="1"/>
  <c r="G332" i="1" a="1"/>
  <c r="G419" i="1" a="1"/>
  <c r="G492" i="1" a="1"/>
  <c r="G575" i="1" a="1"/>
  <c r="G605" i="1" a="1"/>
  <c r="G610" i="1" a="1"/>
  <c r="G651" i="1" a="1"/>
  <c r="G129" i="1" a="1"/>
  <c r="G202" i="1" a="1"/>
  <c r="G304" i="1" a="1"/>
  <c r="G401" i="1" a="1"/>
  <c r="G511" i="1" a="1"/>
  <c r="G543" i="1" a="1"/>
  <c r="G589" i="1" a="1"/>
  <c r="G647" i="1" a="1"/>
  <c r="G673" i="1" a="1"/>
  <c r="G689" i="1" a="1"/>
  <c r="G705" i="1" a="1"/>
  <c r="G721" i="1" a="1"/>
  <c r="G737" i="1" a="1"/>
  <c r="G753" i="1" a="1"/>
  <c r="G769" i="1" a="1"/>
  <c r="G785" i="1" a="1"/>
  <c r="G801" i="1" a="1"/>
  <c r="G817" i="1" a="1"/>
  <c r="G833" i="1" a="1"/>
  <c r="G40" i="1" a="1"/>
  <c r="G144" i="1" a="1"/>
  <c r="G276" i="1" a="1"/>
  <c r="G365" i="1" a="1"/>
  <c r="G475" i="1" a="1"/>
  <c r="G558" i="1" a="1"/>
  <c r="G595" i="1" a="1"/>
  <c r="G625" i="1" a="1"/>
  <c r="G26" i="1" a="1"/>
  <c r="G193" i="1" a="1"/>
  <c r="G359" i="1" a="1"/>
  <c r="G505" i="1" a="1"/>
  <c r="G578" i="1" a="1"/>
  <c r="G666" i="1" a="1"/>
  <c r="G698" i="1" a="1"/>
  <c r="G730" i="1" a="1"/>
  <c r="G762" i="1" a="1"/>
  <c r="G794" i="1" a="1"/>
  <c r="G826" i="1" a="1"/>
  <c r="G866" i="1" a="1"/>
  <c r="G887" i="1" a="1"/>
  <c r="G908" i="1" a="1"/>
  <c r="G930" i="1" a="1"/>
  <c r="G951" i="1" a="1"/>
  <c r="G972" i="1" a="1"/>
  <c r="G994" i="1" a="1"/>
  <c r="G1015" i="1" a="1"/>
  <c r="G1036" i="1" a="1"/>
  <c r="G1058" i="1" a="1"/>
  <c r="G1079" i="1" a="1"/>
  <c r="G1112" i="1" a="1"/>
  <c r="G1134" i="1" a="1"/>
  <c r="G1150" i="1" a="1"/>
  <c r="G1166" i="1" a="1"/>
  <c r="G1182" i="1" a="1"/>
  <c r="G1198" i="1" a="1"/>
  <c r="G1214" i="1" a="1"/>
  <c r="G1230" i="1" a="1"/>
  <c r="G1246" i="1" a="1"/>
  <c r="G1262" i="1" a="1"/>
  <c r="G1278" i="1" a="1"/>
  <c r="G1294" i="1" a="1"/>
  <c r="G163" i="1" a="1"/>
  <c r="G396" i="1" a="1"/>
  <c r="G566" i="1" a="1"/>
  <c r="G658" i="1" a="1"/>
  <c r="G877" i="1" a="1"/>
  <c r="G941" i="1" a="1"/>
  <c r="G1005" i="1" a="1"/>
  <c r="G1069" i="1" a="1"/>
  <c r="G1108" i="1" a="1"/>
  <c r="G67" i="1" a="1"/>
  <c r="G312" i="1" a="1"/>
  <c r="G488" i="1" a="1"/>
  <c r="G579" i="1" a="1"/>
  <c r="G667" i="1" a="1"/>
  <c r="G699" i="1" a="1"/>
  <c r="G731" i="1" a="1"/>
  <c r="G763" i="1" a="1"/>
  <c r="G795" i="1" a="1"/>
  <c r="G827" i="1" a="1"/>
  <c r="G862" i="1" a="1"/>
  <c r="G883" i="1" a="1"/>
  <c r="G904" i="1" a="1"/>
  <c r="G926" i="1" a="1"/>
  <c r="G947" i="1" a="1"/>
  <c r="G968" i="1" a="1"/>
  <c r="G990" i="1" a="1"/>
  <c r="G1011" i="1" a="1"/>
  <c r="G1032" i="1" a="1"/>
  <c r="G1054" i="1" a="1"/>
  <c r="G1075" i="1" a="1"/>
  <c r="G1104" i="1" a="1"/>
  <c r="G1131" i="1" a="1"/>
  <c r="G1147" i="1" a="1"/>
  <c r="G1163" i="1" a="1"/>
  <c r="G1179" i="1" a="1"/>
  <c r="G1195" i="1" a="1"/>
  <c r="G1211" i="1" a="1"/>
  <c r="G1227" i="1" a="1"/>
  <c r="G1243" i="1" a="1"/>
  <c r="G1259" i="1" a="1"/>
  <c r="G1275" i="1" a="1"/>
  <c r="G1291" i="1" a="1"/>
  <c r="G29" i="1" a="1"/>
  <c r="G166" i="1" a="1"/>
  <c r="G379" i="1" a="1"/>
  <c r="G567" i="1" a="1"/>
  <c r="G650" i="1" a="1"/>
  <c r="G889" i="1" a="1"/>
  <c r="G953" i="1" a="1"/>
  <c r="G1017" i="1" a="1"/>
  <c r="G1081" i="1" a="1"/>
  <c r="G1114" i="1" a="1"/>
  <c r="G207" i="1" a="1"/>
  <c r="G368" i="1" a="1"/>
  <c r="G514" i="1" a="1"/>
  <c r="G653" i="1" a="1"/>
  <c r="G686" i="1" a="1"/>
  <c r="G619" i="1" a="1"/>
  <c r="G16" i="1" a="1"/>
  <c r="G143" i="1" a="1"/>
  <c r="G245" i="1" a="1"/>
  <c r="G318" i="1" a="1"/>
  <c r="G447" i="1" a="1"/>
  <c r="G519" i="1" a="1"/>
  <c r="G557" i="1" a="1"/>
  <c r="G615" i="1" a="1"/>
  <c r="G661" i="1" a="1"/>
  <c r="G677" i="1" a="1"/>
  <c r="G693" i="1" a="1"/>
  <c r="G709" i="1" a="1"/>
  <c r="G725" i="1" a="1"/>
  <c r="G741" i="1" a="1"/>
  <c r="G757" i="1" a="1"/>
  <c r="G773" i="1" a="1"/>
  <c r="G789" i="1" a="1"/>
  <c r="G805" i="1" a="1"/>
  <c r="G821" i="1" a="1"/>
  <c r="G837" i="1" a="1"/>
  <c r="G60" i="1" a="1"/>
  <c r="G158" i="1" a="1"/>
  <c r="G290" i="1" a="1"/>
  <c r="G411" i="1" a="1"/>
  <c r="G484" i="1" a="1"/>
  <c r="G577" i="1" a="1"/>
  <c r="G601" i="1" a="1"/>
  <c r="G634" i="1" a="1"/>
  <c r="G66" i="1" a="1"/>
  <c r="G250" i="1" a="1"/>
  <c r="G377" i="1" a="1"/>
  <c r="G522" i="1" a="1"/>
  <c r="G621" i="1" a="1"/>
  <c r="G674" i="1" a="1"/>
  <c r="G706" i="1" a="1"/>
  <c r="G738" i="1" a="1"/>
  <c r="G770" i="1" a="1"/>
  <c r="G802" i="1" a="1"/>
  <c r="G834" i="1" a="1"/>
  <c r="G871" i="1" a="1"/>
  <c r="G892" i="1" a="1"/>
  <c r="G914" i="1" a="1"/>
  <c r="G935" i="1" a="1"/>
  <c r="G956" i="1" a="1"/>
  <c r="G978" i="1" a="1"/>
  <c r="G999" i="1" a="1"/>
  <c r="G1020" i="1" a="1"/>
  <c r="G1042" i="1" a="1"/>
  <c r="G1063" i="1" a="1"/>
  <c r="G1084" i="1" a="1"/>
  <c r="G1117" i="1" a="1"/>
  <c r="G1138" i="1" a="1"/>
  <c r="G1154" i="1" a="1"/>
  <c r="G1170" i="1" a="1"/>
  <c r="G1186" i="1" a="1"/>
  <c r="G1202" i="1" a="1"/>
  <c r="G1218" i="1" a="1"/>
  <c r="G1234" i="1" a="1"/>
  <c r="G1250" i="1" a="1"/>
  <c r="G1266" i="1" a="1"/>
  <c r="G1282" i="1" a="1"/>
  <c r="G1298" i="1" a="1"/>
  <c r="G222" i="1" a="1"/>
  <c r="G451" i="1" a="1"/>
  <c r="G591" i="1" a="1"/>
  <c r="G849" i="1" a="1"/>
  <c r="G893" i="1" a="1"/>
  <c r="G957" i="1" a="1"/>
  <c r="G1021" i="1" a="1"/>
  <c r="G1085" i="1" a="1"/>
  <c r="G1113" i="1" a="1"/>
  <c r="G135" i="1" a="1"/>
  <c r="G360" i="1" a="1"/>
  <c r="G523" i="1" a="1"/>
  <c r="G613" i="1" a="1"/>
  <c r="G675" i="1" a="1"/>
  <c r="G707" i="1" a="1"/>
  <c r="G739" i="1" a="1"/>
  <c r="G771" i="1" a="1"/>
  <c r="G803" i="1" a="1"/>
  <c r="G835" i="1" a="1"/>
  <c r="G867" i="1" a="1"/>
  <c r="G888" i="1" a="1"/>
  <c r="G910" i="1" a="1"/>
  <c r="G931" i="1" a="1"/>
  <c r="G952" i="1" a="1"/>
  <c r="G974" i="1" a="1"/>
  <c r="G995" i="1" a="1"/>
  <c r="G1016" i="1" a="1"/>
  <c r="G1038" i="1" a="1"/>
  <c r="G1059" i="1" a="1"/>
  <c r="G1080" i="1" a="1"/>
  <c r="G1109" i="1" a="1"/>
  <c r="G1135" i="1" a="1"/>
  <c r="G1151" i="1" a="1"/>
  <c r="G1167" i="1" a="1"/>
  <c r="G1183" i="1" a="1"/>
  <c r="G1199" i="1" a="1"/>
  <c r="G1215" i="1" a="1"/>
  <c r="G1231" i="1" a="1"/>
  <c r="G1247" i="1" a="1"/>
  <c r="G1263" i="1" a="1"/>
  <c r="G1279" i="1" a="1"/>
  <c r="G633" i="1" a="1"/>
  <c r="G77" i="1" a="1"/>
  <c r="G172" i="1" a="1"/>
  <c r="G259" i="1" a="1"/>
  <c r="G383" i="1" a="1"/>
  <c r="G456" i="1" a="1"/>
  <c r="G527" i="1" a="1"/>
  <c r="G563" i="1" a="1"/>
  <c r="G629" i="1" a="1"/>
  <c r="G665" i="1" a="1"/>
  <c r="G681" i="1" a="1"/>
  <c r="G697" i="1" a="1"/>
  <c r="G713" i="1" a="1"/>
  <c r="G729" i="1" a="1"/>
  <c r="G745" i="1" a="1"/>
  <c r="G761" i="1" a="1"/>
  <c r="G777" i="1" a="1"/>
  <c r="G793" i="1" a="1"/>
  <c r="G809" i="1" a="1"/>
  <c r="G825" i="1" a="1"/>
  <c r="G841" i="1" a="1"/>
  <c r="G94" i="1" a="1"/>
  <c r="G217" i="1" a="1"/>
  <c r="G347" i="1" a="1"/>
  <c r="G420" i="1" a="1"/>
  <c r="G493" i="1" a="1"/>
  <c r="G583" i="1" a="1"/>
  <c r="G606" i="1" a="1"/>
  <c r="G643" i="1" a="1"/>
  <c r="G99" i="1" a="1"/>
  <c r="G309" i="1" a="1"/>
  <c r="G432" i="1" a="1"/>
  <c r="G538" i="1" a="1"/>
  <c r="G630" i="1" a="1"/>
  <c r="G682" i="1" a="1"/>
  <c r="G714" i="1" a="1"/>
  <c r="G746" i="1" a="1"/>
  <c r="G778" i="1" a="1"/>
  <c r="G810" i="1" a="1"/>
  <c r="G842" i="1" a="1"/>
  <c r="G876" i="1" a="1"/>
  <c r="G898" i="1" a="1"/>
  <c r="G919" i="1" a="1"/>
  <c r="G940" i="1" a="1"/>
  <c r="G962" i="1" a="1"/>
  <c r="G983" i="1" a="1"/>
  <c r="G1004" i="1" a="1"/>
  <c r="G1026" i="1" a="1"/>
  <c r="G1047" i="1" a="1"/>
  <c r="G1068" i="1" a="1"/>
  <c r="G1094" i="1" a="1"/>
  <c r="G1126" i="1" a="1"/>
  <c r="G1142" i="1" a="1"/>
  <c r="G1158" i="1" a="1"/>
  <c r="G1174" i="1" a="1"/>
  <c r="G1190" i="1" a="1"/>
  <c r="G1206" i="1" a="1"/>
  <c r="G1222" i="1" a="1"/>
  <c r="G1238" i="1" a="1"/>
  <c r="G1254" i="1" a="1"/>
  <c r="G1270" i="1" a="1"/>
  <c r="G1286" i="1" a="1"/>
  <c r="G1306" i="1" a="1"/>
  <c r="G281" i="1" a="1"/>
  <c r="G469" i="1" a="1"/>
  <c r="G602" i="1" a="1"/>
  <c r="G855" i="1" a="1"/>
  <c r="G909" i="1" a="1"/>
  <c r="G973" i="1" a="1"/>
  <c r="G1037" i="1" a="1"/>
  <c r="G1090" i="1" a="1"/>
  <c r="G1122" i="1" a="1"/>
  <c r="G194" i="1" a="1"/>
  <c r="G415" i="1" a="1"/>
  <c r="G539" i="1" a="1"/>
  <c r="G622" i="1" a="1"/>
  <c r="G683" i="1" a="1"/>
  <c r="G715" i="1" a="1"/>
  <c r="G747" i="1" a="1"/>
  <c r="G779" i="1" a="1"/>
  <c r="G811" i="1" a="1"/>
  <c r="G843" i="1" a="1"/>
  <c r="G872" i="1" a="1"/>
  <c r="G894" i="1" a="1"/>
  <c r="G915" i="1" a="1"/>
  <c r="G936" i="1" a="1"/>
  <c r="G958" i="1" a="1"/>
  <c r="G979" i="1" a="1"/>
  <c r="G1000" i="1" a="1"/>
  <c r="G1022" i="1" a="1"/>
  <c r="G1043" i="1" a="1"/>
  <c r="G1064" i="1" a="1"/>
  <c r="G1086" i="1" a="1"/>
  <c r="G1118" i="1" a="1"/>
  <c r="G1139" i="1" a="1"/>
  <c r="G1155" i="1" a="1"/>
  <c r="G1171" i="1" a="1"/>
  <c r="G1187" i="1" a="1"/>
  <c r="G1203" i="1" a="1"/>
  <c r="G1219" i="1" a="1"/>
  <c r="G1235" i="1" a="1"/>
  <c r="G1251" i="1" a="1"/>
  <c r="G1267" i="1" a="1"/>
  <c r="G1283" i="1" a="1"/>
  <c r="G1299" i="1" a="1"/>
  <c r="G103" i="1" a="1"/>
  <c r="G282" i="1" a="1"/>
  <c r="G452" i="1" a="1"/>
  <c r="G603" i="1" a="1"/>
  <c r="G857" i="1" a="1"/>
  <c r="G921" i="1" a="1"/>
  <c r="G985" i="1" a="1"/>
  <c r="G1049" i="1" a="1"/>
  <c r="G1100" i="1" a="1"/>
  <c r="G46" i="1" a="1"/>
  <c r="G266" i="1" a="1"/>
  <c r="G441" i="1" a="1"/>
  <c r="G546" i="1" a="1"/>
  <c r="G670" i="1" a="1"/>
  <c r="G702" i="1" a="1"/>
  <c r="G695" i="1" a="1"/>
  <c r="G929" i="1" a="1"/>
  <c r="G1057" i="1" a="1"/>
  <c r="G1116" i="1" a="1"/>
  <c r="G405" i="1" a="1"/>
  <c r="G635" i="1" a="1"/>
  <c r="G901" i="1" a="1"/>
  <c r="G642" i="1" a="1"/>
  <c r="G110" i="1" a="1"/>
  <c r="G186" i="1" a="1"/>
  <c r="G275" i="1" a="1"/>
  <c r="G392" i="1" a="1"/>
  <c r="G465" i="1" a="1"/>
  <c r="G535" i="1" a="1"/>
  <c r="G570" i="1" a="1"/>
  <c r="G638" i="1" a="1"/>
  <c r="G669" i="1" a="1"/>
  <c r="G685" i="1" a="1"/>
  <c r="G701" i="1" a="1"/>
  <c r="G717" i="1" a="1"/>
  <c r="G733" i="1" a="1"/>
  <c r="G749" i="1" a="1"/>
  <c r="G765" i="1" a="1"/>
  <c r="G781" i="1" a="1"/>
  <c r="G797" i="1" a="1"/>
  <c r="G813" i="1" a="1"/>
  <c r="G829" i="1" a="1"/>
  <c r="G17" i="1" a="1"/>
  <c r="G113" i="1" a="1"/>
  <c r="G231" i="1" a="1"/>
  <c r="G356" i="1" a="1"/>
  <c r="G429" i="1" a="1"/>
  <c r="G551" i="1" a="1"/>
  <c r="G590" i="1" a="1"/>
  <c r="G611" i="1" a="1"/>
  <c r="G657" i="1" a="1"/>
  <c r="G134" i="1" a="1"/>
  <c r="G339" i="1" a="1"/>
  <c r="G487" i="1" a="1"/>
  <c r="G565" i="1" a="1"/>
  <c r="G639" i="1" a="1"/>
  <c r="G690" i="1" a="1"/>
  <c r="G722" i="1" a="1"/>
  <c r="G754" i="1" a="1"/>
  <c r="G786" i="1" a="1"/>
  <c r="G818" i="1" a="1"/>
  <c r="G860" i="1" a="1"/>
  <c r="G882" i="1" a="1"/>
  <c r="G903" i="1" a="1"/>
  <c r="G924" i="1" a="1"/>
  <c r="G946" i="1" a="1"/>
  <c r="G967" i="1" a="1"/>
  <c r="G988" i="1" a="1"/>
  <c r="G1010" i="1" a="1"/>
  <c r="G1031" i="1" a="1"/>
  <c r="G1052" i="1" a="1"/>
  <c r="G1074" i="1" a="1"/>
  <c r="G1103" i="1" a="1"/>
  <c r="G1130" i="1" a="1"/>
  <c r="G1146" i="1" a="1"/>
  <c r="G1162" i="1" a="1"/>
  <c r="G1178" i="1" a="1"/>
  <c r="G1194" i="1" a="1"/>
  <c r="G1210" i="1" a="1"/>
  <c r="G1226" i="1" a="1"/>
  <c r="G1242" i="1" a="1"/>
  <c r="G1258" i="1" a="1"/>
  <c r="G1274" i="1" a="1"/>
  <c r="G1290" i="1" a="1"/>
  <c r="G102" i="1" a="1"/>
  <c r="G340" i="1" a="1"/>
  <c r="G553" i="1" a="1"/>
  <c r="G649" i="1" a="1"/>
  <c r="G861" i="1" a="1"/>
  <c r="G925" i="1" a="1"/>
  <c r="G989" i="1" a="1"/>
  <c r="G1053" i="1" a="1"/>
  <c r="G1099" i="1" a="1"/>
  <c r="G28" i="1" a="1"/>
  <c r="G253" i="1" a="1"/>
  <c r="G433" i="1" a="1"/>
  <c r="G554" i="1" a="1"/>
  <c r="G631" i="1" a="1"/>
  <c r="G691" i="1" a="1"/>
  <c r="G723" i="1" a="1"/>
  <c r="G755" i="1" a="1"/>
  <c r="G787" i="1" a="1"/>
  <c r="G819" i="1" a="1"/>
  <c r="G850" i="1" a="1"/>
  <c r="G878" i="1" a="1"/>
  <c r="G899" i="1" a="1"/>
  <c r="G920" i="1" a="1"/>
  <c r="G942" i="1" a="1"/>
  <c r="G963" i="1" a="1"/>
  <c r="G984" i="1" a="1"/>
  <c r="G1006" i="1" a="1"/>
  <c r="G1027" i="1" a="1"/>
  <c r="G1048" i="1" a="1"/>
  <c r="G1070" i="1" a="1"/>
  <c r="G1095" i="1" a="1"/>
  <c r="G1127" i="1" a="1"/>
  <c r="G1143" i="1" a="1"/>
  <c r="G1159" i="1" a="1"/>
  <c r="G1175" i="1" a="1"/>
  <c r="G1191" i="1" a="1"/>
  <c r="G1207" i="1" a="1"/>
  <c r="G1223" i="1" a="1"/>
  <c r="G1239" i="1" a="1"/>
  <c r="G1255" i="1" a="1"/>
  <c r="G1271" i="1" a="1"/>
  <c r="G1287" i="1" a="1"/>
  <c r="G1307" i="1" a="1"/>
  <c r="G136" i="1" a="1"/>
  <c r="G341" i="1" a="1"/>
  <c r="G507" i="1" a="1"/>
  <c r="G641" i="1" a="1"/>
  <c r="G873" i="1" a="1"/>
  <c r="G937" i="1" a="1"/>
  <c r="G1001" i="1" a="1"/>
  <c r="G1065" i="1" a="1"/>
  <c r="G1105" i="1" a="1"/>
  <c r="G177" i="1" a="1"/>
  <c r="G323" i="1" a="1"/>
  <c r="G496" i="1" a="1"/>
  <c r="G571" i="1" a="1"/>
  <c r="G678" i="1" a="1"/>
  <c r="G180" i="1" a="1"/>
  <c r="G854" i="1" a="1"/>
  <c r="G961" i="1" a="1"/>
  <c r="G1089" i="1" a="1"/>
  <c r="G49" i="1" a="1"/>
  <c r="G443" i="1" a="1"/>
  <c r="G679" i="1" a="1"/>
  <c r="G933" i="1" a="1"/>
  <c r="G1295" i="1" a="1"/>
  <c r="G593" i="1" a="1"/>
  <c r="G1033" i="1" a="1"/>
  <c r="G423" i="1" a="1"/>
  <c r="G531" i="1" a="1"/>
  <c r="G993" i="1" a="1"/>
  <c r="G268" i="1" a="1"/>
  <c r="G846" i="1" a="1"/>
  <c r="G1029" i="1" a="1"/>
  <c r="G119" i="1" a="1"/>
  <c r="G607" i="1" a="1"/>
  <c r="G734" i="1" a="1"/>
  <c r="G798" i="1" a="1"/>
  <c r="G858" i="1" a="1"/>
  <c r="G900" i="1" a="1"/>
  <c r="G943" i="1" a="1"/>
  <c r="G986" i="1" a="1"/>
  <c r="G1028" i="1" a="1"/>
  <c r="G1071" i="1" a="1"/>
  <c r="G1119" i="1" a="1"/>
  <c r="G1152" i="1" a="1"/>
  <c r="G1184" i="1" a="1"/>
  <c r="G1216" i="1" a="1"/>
  <c r="G1248" i="1" a="1"/>
  <c r="G1280" i="1" a="1"/>
  <c r="G208" i="1" a="1"/>
  <c r="G585" i="1" a="1"/>
  <c r="G735" i="1" a="1"/>
  <c r="G298" i="1" a="1"/>
  <c r="G559" i="1" a="1"/>
  <c r="G742" i="1" a="1"/>
  <c r="G806" i="1" a="1"/>
  <c r="G863" i="1" a="1"/>
  <c r="G906" i="1" a="1"/>
  <c r="G948" i="1" a="1"/>
  <c r="G991" i="1" a="1"/>
  <c r="G1034" i="1" a="1"/>
  <c r="G1076" i="1" a="1"/>
  <c r="G1140" i="1" a="1"/>
  <c r="G1172" i="1" a="1"/>
  <c r="G1204" i="1" a="1"/>
  <c r="G1236" i="1" a="1"/>
  <c r="G1268" i="1" a="1"/>
  <c r="G1300" i="1" a="1"/>
  <c r="G561" i="1" a="1"/>
  <c r="G775" i="1" a="1"/>
  <c r="G875" i="1" a="1"/>
  <c r="G960" i="1" a="1"/>
  <c r="G1056" i="1" a="1"/>
  <c r="G152" i="1" a="1"/>
  <c r="G645" i="1" a="1"/>
  <c r="G981" i="1" a="1"/>
  <c r="G1097" i="1" a="1"/>
  <c r="G179" i="1" a="1"/>
  <c r="G711" i="1" a="1"/>
  <c r="G864" i="1" a="1"/>
  <c r="G950" i="1" a="1"/>
  <c r="G1024" i="1" a="1"/>
  <c r="G1133" i="1" a="1"/>
  <c r="G1041" i="1" a="1"/>
  <c r="G1217" i="1" a="1"/>
  <c r="G209" i="1" a="1"/>
  <c r="G880" i="1" a="1"/>
  <c r="G1051" i="1" a="1"/>
  <c r="G1197" i="1" a="1"/>
  <c r="G296" i="1" a="1"/>
  <c r="G1201" i="1" a="1"/>
  <c r="G912" i="1" a="1"/>
  <c r="G1083" i="1" a="1"/>
  <c r="G1257" i="1" a="1"/>
  <c r="G891" i="1" a="1"/>
  <c r="G1062" i="1" a="1"/>
  <c r="G1181" i="1" a="1"/>
  <c r="G815" i="1" a="1"/>
  <c r="G70" i="1" a="1"/>
  <c r="G659" i="1" a="1"/>
  <c r="G1091" i="1" a="1"/>
  <c r="G530" i="1" a="1"/>
  <c r="G598" i="1" a="1"/>
  <c r="G1025" i="1" a="1"/>
  <c r="G351" i="1" a="1"/>
  <c r="G869" i="1" a="1"/>
  <c r="G1061" i="1" a="1"/>
  <c r="G267" i="1" a="1"/>
  <c r="G627" i="1" a="1"/>
  <c r="G750" i="1" a="1"/>
  <c r="G814" i="1" a="1"/>
  <c r="G868" i="1" a="1"/>
  <c r="G911" i="1" a="1"/>
  <c r="G954" i="1" a="1"/>
  <c r="G996" i="1" a="1"/>
  <c r="G1039" i="1" a="1"/>
  <c r="G1082" i="1" a="1"/>
  <c r="G1128" i="1" a="1"/>
  <c r="G1160" i="1" a="1"/>
  <c r="G1192" i="1" a="1"/>
  <c r="G1224" i="1" a="1"/>
  <c r="G1256" i="1" a="1"/>
  <c r="G1288" i="1" a="1"/>
  <c r="G295" i="1" a="1"/>
  <c r="G609" i="1" a="1"/>
  <c r="G751" i="1" a="1"/>
  <c r="G369" i="1" a="1"/>
  <c r="G687" i="1" a="1"/>
  <c r="G758" i="1" a="1"/>
  <c r="G822" i="1" a="1"/>
  <c r="G874" i="1" a="1"/>
  <c r="G916" i="1" a="1"/>
  <c r="G959" i="1" a="1"/>
  <c r="G1002" i="1" a="1"/>
  <c r="G1044" i="1" a="1"/>
  <c r="G1087" i="1" a="1"/>
  <c r="G1148" i="1" a="1"/>
  <c r="G1180" i="1" a="1"/>
  <c r="G1212" i="1" a="1"/>
  <c r="G1244" i="1" a="1"/>
  <c r="G1276" i="1" a="1"/>
  <c r="G118" i="1" a="1"/>
  <c r="G671" i="1" a="1"/>
  <c r="G791" i="1" a="1"/>
  <c r="G896" i="1" a="1"/>
  <c r="G992" i="1" a="1"/>
  <c r="G1078" i="1" a="1"/>
  <c r="G424" i="1" a="1"/>
  <c r="G885" i="1" a="1"/>
  <c r="G1013" i="1" a="1"/>
  <c r="G1106" i="1" a="1"/>
  <c r="G239" i="1" a="1"/>
  <c r="G759" i="1" a="1"/>
  <c r="G886" i="1" a="1"/>
  <c r="G971" i="1" a="1"/>
  <c r="G1046" i="1" a="1"/>
  <c r="G149" i="1" a="1"/>
  <c r="G1121" i="1" a="1"/>
  <c r="G1237" i="1" a="1"/>
  <c r="G617" i="1" a="1"/>
  <c r="G923" i="1" a="1"/>
  <c r="G1093" i="1" a="1"/>
  <c r="G1241" i="1" a="1"/>
  <c r="G881" i="1" a="1"/>
  <c r="G1221" i="1" a="1"/>
  <c r="G955" i="1" a="1"/>
  <c r="G1120" i="1" a="1"/>
  <c r="G1277" i="1" a="1"/>
  <c r="G934" i="1" a="1"/>
  <c r="G1102" i="1" a="1"/>
  <c r="G1225" i="1" a="1"/>
  <c r="G847" i="1" a="1"/>
  <c r="G1249" i="1" a="1"/>
  <c r="G902" i="1" a="1"/>
  <c r="G1072" i="1" a="1"/>
  <c r="G1209" i="1" a="1"/>
  <c r="G945" i="1" a="1"/>
  <c r="G1189" i="1" a="1"/>
  <c r="G2" i="1" a="1"/>
  <c r="C11" i="1" a="1"/>
  <c r="C27" i="1" a="1"/>
  <c r="C43" i="1" a="1"/>
  <c r="C59" i="1" a="1"/>
  <c r="C75" i="1" a="1"/>
  <c r="C91" i="1" a="1"/>
  <c r="C107" i="1" a="1"/>
  <c r="C123" i="1" a="1"/>
  <c r="C139" i="1" a="1"/>
  <c r="C155" i="1" a="1"/>
  <c r="C171" i="1" a="1"/>
  <c r="C187" i="1" a="1"/>
  <c r="C203" i="1" a="1"/>
  <c r="C219" i="1" a="1"/>
  <c r="C235" i="1" a="1"/>
  <c r="C251" i="1" a="1"/>
  <c r="C267" i="1" a="1"/>
  <c r="C283" i="1" a="1"/>
  <c r="C299" i="1" a="1"/>
  <c r="C315" i="1" a="1"/>
  <c r="C331" i="1" a="1"/>
  <c r="C4" i="1" a="1"/>
  <c r="C20" i="1" a="1"/>
  <c r="C36" i="1" a="1"/>
  <c r="C52" i="1" a="1"/>
  <c r="C68" i="1" a="1"/>
  <c r="C84" i="1" a="1"/>
  <c r="C100" i="1" a="1"/>
  <c r="C116" i="1" a="1"/>
  <c r="C132" i="1" a="1"/>
  <c r="C148" i="1" a="1"/>
  <c r="C164" i="1" a="1"/>
  <c r="C180" i="1" a="1"/>
  <c r="C196" i="1" a="1"/>
  <c r="C212" i="1" a="1"/>
  <c r="C228" i="1" a="1"/>
  <c r="C244" i="1" a="1"/>
  <c r="C260" i="1" a="1"/>
  <c r="C276" i="1" a="1"/>
  <c r="C292" i="1" a="1"/>
  <c r="C308" i="1" a="1"/>
  <c r="C324" i="1" a="1"/>
  <c r="C340" i="1" a="1"/>
  <c r="C29" i="1" a="1"/>
  <c r="C61" i="1" a="1"/>
  <c r="C93" i="1" a="1"/>
  <c r="G225" i="1" a="1"/>
  <c r="G905" i="1" a="1"/>
  <c r="G1123" i="1" a="1"/>
  <c r="G662" i="1" a="1"/>
  <c r="G865" i="1" a="1"/>
  <c r="G1098" i="1" a="1"/>
  <c r="G497" i="1" a="1"/>
  <c r="G965" i="1" a="1"/>
  <c r="G1092" i="1" a="1"/>
  <c r="G388" i="1" a="1"/>
  <c r="G654" i="1" a="1"/>
  <c r="G766" i="1" a="1"/>
  <c r="G830" i="1" a="1"/>
  <c r="G879" i="1" a="1"/>
  <c r="G922" i="1" a="1"/>
  <c r="G964" i="1" a="1"/>
  <c r="G1007" i="1" a="1"/>
  <c r="G1050" i="1" a="1"/>
  <c r="G1101" i="1" a="1"/>
  <c r="G1136" i="1" a="1"/>
  <c r="G1168" i="1" a="1"/>
  <c r="G1200" i="1" a="1"/>
  <c r="G1232" i="1" a="1"/>
  <c r="G1264" i="1" a="1"/>
  <c r="G1296" i="1" a="1"/>
  <c r="G460" i="1" a="1"/>
  <c r="G703" i="1" a="1"/>
  <c r="G83" i="1" a="1"/>
  <c r="G461" i="1" a="1"/>
  <c r="G710" i="1" a="1"/>
  <c r="G774" i="1" a="1"/>
  <c r="G838" i="1" a="1"/>
  <c r="G884" i="1" a="1"/>
  <c r="G927" i="1" a="1"/>
  <c r="G970" i="1" a="1"/>
  <c r="G1012" i="1" a="1"/>
  <c r="G1055" i="1" a="1"/>
  <c r="G1096" i="1" a="1"/>
  <c r="G1156" i="1" a="1"/>
  <c r="G1188" i="1" a="1"/>
  <c r="G1220" i="1" a="1"/>
  <c r="G1252" i="1" a="1"/>
  <c r="G1284" i="1" a="1"/>
  <c r="G326" i="1" a="1"/>
  <c r="G727" i="1" a="1"/>
  <c r="G823" i="1" a="1"/>
  <c r="G918" i="1" a="1"/>
  <c r="G1014" i="1" a="1"/>
  <c r="G1125" i="1" a="1"/>
  <c r="G597" i="1" a="1"/>
  <c r="G917" i="1" a="1"/>
  <c r="G1045" i="1" a="1"/>
  <c r="G1115" i="1" a="1"/>
  <c r="G387" i="1" a="1"/>
  <c r="G807" i="1" a="1"/>
  <c r="G907" i="1" a="1"/>
  <c r="G982" i="1" a="1"/>
  <c r="G1067" i="1" a="1"/>
  <c r="G586" i="1" a="1"/>
  <c r="G1153" i="1" a="1"/>
  <c r="G1281" i="1" a="1"/>
  <c r="G767" i="1" a="1"/>
  <c r="G966" i="1" a="1"/>
  <c r="G1129" i="1" a="1"/>
  <c r="G1261" i="1" a="1"/>
  <c r="G1009" i="1" a="1"/>
  <c r="G1265" i="1" a="1"/>
  <c r="G998" i="1" a="1"/>
  <c r="G1193" i="1" a="1"/>
  <c r="G663" i="1" a="1"/>
  <c r="G976" i="1" a="1"/>
  <c r="G1137" i="1" a="1"/>
  <c r="G1245" i="1" a="1"/>
  <c r="G977" i="1" a="1"/>
  <c r="G1269" i="1" a="1"/>
  <c r="G944" i="1" a="1"/>
  <c r="G1111" i="1" a="1"/>
  <c r="G1229" i="1" a="1"/>
  <c r="G1073" i="1" a="1"/>
  <c r="G1233" i="1" a="1"/>
  <c r="C3484" i="1" a="1"/>
  <c r="C15" i="1" a="1"/>
  <c r="C31" i="1" a="1"/>
  <c r="C47" i="1" a="1"/>
  <c r="C63" i="1" a="1"/>
  <c r="C79" i="1" a="1"/>
  <c r="C95" i="1" a="1"/>
  <c r="C111" i="1" a="1"/>
  <c r="C127" i="1" a="1"/>
  <c r="C143" i="1" a="1"/>
  <c r="C159" i="1" a="1"/>
  <c r="C175" i="1" a="1"/>
  <c r="C191" i="1" a="1"/>
  <c r="C207" i="1" a="1"/>
  <c r="C223" i="1" a="1"/>
  <c r="C239" i="1" a="1"/>
  <c r="C255" i="1" a="1"/>
  <c r="C271" i="1" a="1"/>
  <c r="C287" i="1" a="1"/>
  <c r="C303" i="1" a="1"/>
  <c r="C319" i="1" a="1"/>
  <c r="C335" i="1" a="1"/>
  <c r="C8" i="1" a="1"/>
  <c r="C24" i="1" a="1"/>
  <c r="C40" i="1" a="1"/>
  <c r="C56" i="1" a="1"/>
  <c r="C72" i="1" a="1"/>
  <c r="C88" i="1" a="1"/>
  <c r="C104" i="1" a="1"/>
  <c r="C120" i="1" a="1"/>
  <c r="C136" i="1" a="1"/>
  <c r="C152" i="1" a="1"/>
  <c r="C168" i="1" a="1"/>
  <c r="C184" i="1" a="1"/>
  <c r="C200" i="1" a="1"/>
  <c r="C216" i="1" a="1"/>
  <c r="C232" i="1" a="1"/>
  <c r="C248" i="1" a="1"/>
  <c r="C264" i="1" a="1"/>
  <c r="C280" i="1" a="1"/>
  <c r="C296" i="1" a="1"/>
  <c r="C312" i="1" a="1"/>
  <c r="C328" i="1" a="1"/>
  <c r="C5" i="1" a="1"/>
  <c r="C37" i="1" a="1"/>
  <c r="C69" i="1" a="1"/>
  <c r="C101" i="1" a="1"/>
  <c r="C133" i="1" a="1"/>
  <c r="G397" i="1" a="1"/>
  <c r="G969" i="1" a="1"/>
  <c r="G236" i="1" a="1"/>
  <c r="G694" i="1" a="1"/>
  <c r="G897" i="1" a="1"/>
  <c r="G1107" i="1" a="1"/>
  <c r="G574" i="1" a="1"/>
  <c r="G997" i="1" a="1"/>
  <c r="G48" i="1" a="1"/>
  <c r="G573" i="1" a="1"/>
  <c r="G718" i="1" a="1"/>
  <c r="G782" i="1" a="1"/>
  <c r="G845" i="1" a="1"/>
  <c r="G890" i="1" a="1"/>
  <c r="G932" i="1" a="1"/>
  <c r="G975" i="1" a="1"/>
  <c r="G1018" i="1" a="1"/>
  <c r="G1060" i="1" a="1"/>
  <c r="G1110" i="1" a="1"/>
  <c r="G1144" i="1" a="1"/>
  <c r="G1176" i="1" a="1"/>
  <c r="G1208" i="1" a="1"/>
  <c r="G1240" i="1" a="1"/>
  <c r="G1272" i="1" a="1"/>
  <c r="G120" i="1" a="1"/>
  <c r="G547" i="1" a="1"/>
  <c r="G719" i="1" a="1"/>
  <c r="G86" i="1" a="1"/>
  <c r="G515" i="1" a="1"/>
  <c r="G726" i="1" a="1"/>
  <c r="G790" i="1" a="1"/>
  <c r="G851" i="1" a="1"/>
  <c r="G895" i="1" a="1"/>
  <c r="G938" i="1" a="1"/>
  <c r="G980" i="1" a="1"/>
  <c r="G1023" i="1" a="1"/>
  <c r="G1066" i="1" a="1"/>
  <c r="G1132" i="1" a="1"/>
  <c r="G1164" i="1" a="1"/>
  <c r="G1196" i="1" a="1"/>
  <c r="G1228" i="1" a="1"/>
  <c r="G1260" i="1" a="1"/>
  <c r="G1292" i="1" a="1"/>
  <c r="G479" i="1" a="1"/>
  <c r="G743" i="1" a="1"/>
  <c r="G853" i="1" a="1"/>
  <c r="G939" i="1" a="1"/>
  <c r="G1035" i="1" a="1"/>
  <c r="G1149" i="1" a="1"/>
  <c r="G618" i="1" a="1"/>
  <c r="G949" i="1" a="1"/>
  <c r="G1077" i="1" a="1"/>
  <c r="G1124" i="1" a="1"/>
  <c r="G626" i="1" a="1"/>
  <c r="G839" i="1" a="1"/>
  <c r="G928" i="1" a="1"/>
  <c r="G1003" i="1" a="1"/>
  <c r="G1088" i="1" a="1"/>
  <c r="G913" i="1" a="1"/>
  <c r="G1173" i="1" a="1"/>
  <c r="G870" i="1" a="1"/>
  <c r="G831" i="1" a="1"/>
  <c r="G1008" i="1" a="1"/>
  <c r="G1177" i="1" a="1"/>
  <c r="G1305" i="1" a="1"/>
  <c r="G1157" i="1" a="1"/>
  <c r="G1285" i="1" a="1"/>
  <c r="G1040" i="1" a="1"/>
  <c r="G1213" i="1" a="1"/>
  <c r="G783" i="1" a="1"/>
  <c r="G1019" i="1" a="1"/>
  <c r="G1161" i="1" a="1"/>
  <c r="G1289" i="1" a="1"/>
  <c r="G1185" i="1" a="1"/>
  <c r="G799" i="1" a="1"/>
  <c r="G987" i="1" a="1"/>
  <c r="G1141" i="1" a="1"/>
  <c r="G1273" i="1" a="1"/>
  <c r="G1145" i="1" a="1"/>
  <c r="G1253" i="1" a="1"/>
  <c r="C3" i="1" a="1"/>
  <c r="C19" i="1" a="1"/>
  <c r="C35" i="1" a="1"/>
  <c r="C51" i="1" a="1"/>
  <c r="C67" i="1" a="1"/>
  <c r="C83" i="1" a="1"/>
  <c r="C99" i="1" a="1"/>
  <c r="C115" i="1" a="1"/>
  <c r="C131" i="1" a="1"/>
  <c r="C147" i="1" a="1"/>
  <c r="C163" i="1" a="1"/>
  <c r="C179" i="1" a="1"/>
  <c r="C195" i="1" a="1"/>
  <c r="C211" i="1" a="1"/>
  <c r="C227" i="1" a="1"/>
  <c r="C243" i="1" a="1"/>
  <c r="C259" i="1" a="1"/>
  <c r="C275" i="1" a="1"/>
  <c r="C291" i="1" a="1"/>
  <c r="C307" i="1" a="1"/>
  <c r="C323" i="1" a="1"/>
  <c r="C339" i="1" a="1"/>
  <c r="C12" i="1" a="1"/>
  <c r="C28" i="1" a="1"/>
  <c r="C44" i="1" a="1"/>
  <c r="C60" i="1" a="1"/>
  <c r="C76" i="1" a="1"/>
  <c r="C92" i="1" a="1"/>
  <c r="C108" i="1" a="1"/>
  <c r="C124" i="1" a="1"/>
  <c r="C140" i="1" a="1"/>
  <c r="C156" i="1" a="1"/>
  <c r="C172" i="1" a="1"/>
  <c r="C188" i="1" a="1"/>
  <c r="C204" i="1" a="1"/>
  <c r="C220" i="1" a="1"/>
  <c r="C236" i="1" a="1"/>
  <c r="C252" i="1" a="1"/>
  <c r="C268" i="1" a="1"/>
  <c r="C284" i="1" a="1"/>
  <c r="C300" i="1" a="1"/>
  <c r="C316" i="1" a="1"/>
  <c r="C332" i="1" a="1"/>
  <c r="C13" i="1" a="1"/>
  <c r="C45" i="1" a="1"/>
  <c r="C77" i="1" a="1"/>
  <c r="C109" i="1" a="1"/>
  <c r="G1205" i="1" a="1"/>
  <c r="G1293" i="1" a="1"/>
  <c r="C23" i="1" a="1"/>
  <c r="C87" i="1" a="1"/>
  <c r="C151" i="1" a="1"/>
  <c r="C215" i="1" a="1"/>
  <c r="C279" i="1" a="1"/>
  <c r="C343" i="1" a="1"/>
  <c r="C64" i="1" a="1"/>
  <c r="C128" i="1" a="1"/>
  <c r="C192" i="1" a="1"/>
  <c r="C256" i="1" a="1"/>
  <c r="C320" i="1" a="1"/>
  <c r="C85" i="1" a="1"/>
  <c r="C149" i="1" a="1"/>
  <c r="C181" i="1" a="1"/>
  <c r="C213" i="1" a="1"/>
  <c r="C245" i="1" a="1"/>
  <c r="C277" i="1" a="1"/>
  <c r="C309" i="1" a="1"/>
  <c r="C341" i="1" a="1"/>
  <c r="C358" i="1" a="1"/>
  <c r="C374" i="1" a="1"/>
  <c r="C390" i="1" a="1"/>
  <c r="C406" i="1" a="1"/>
  <c r="C422" i="1" a="1"/>
  <c r="C438" i="1" a="1"/>
  <c r="C454" i="1" a="1"/>
  <c r="C470" i="1" a="1"/>
  <c r="C486" i="1" a="1"/>
  <c r="C502" i="1" a="1"/>
  <c r="C518" i="1" a="1"/>
  <c r="C22" i="1" a="1"/>
  <c r="C54" i="1" a="1"/>
  <c r="C86" i="1" a="1"/>
  <c r="C118" i="1" a="1"/>
  <c r="C150" i="1" a="1"/>
  <c r="C182" i="1" a="1"/>
  <c r="C214" i="1" a="1"/>
  <c r="C246" i="1" a="1"/>
  <c r="C278" i="1" a="1"/>
  <c r="C310" i="1" a="1"/>
  <c r="C342" i="1" a="1"/>
  <c r="C359" i="1" a="1"/>
  <c r="C375" i="1" a="1"/>
  <c r="C391" i="1" a="1"/>
  <c r="C407" i="1" a="1"/>
  <c r="C423" i="1" a="1"/>
  <c r="C439" i="1" a="1"/>
  <c r="C455" i="1" a="1"/>
  <c r="G859" i="1" a="1"/>
  <c r="G1169" i="1" a="1"/>
  <c r="C39" i="1" a="1"/>
  <c r="C103" i="1" a="1"/>
  <c r="C167" i="1" a="1"/>
  <c r="C231" i="1" a="1"/>
  <c r="C295" i="1" a="1"/>
  <c r="C16" i="1" a="1"/>
  <c r="C80" i="1" a="1"/>
  <c r="C144" i="1" a="1"/>
  <c r="C208" i="1" a="1"/>
  <c r="C272" i="1" a="1"/>
  <c r="C336" i="1" a="1"/>
  <c r="C117" i="1" a="1"/>
  <c r="C157" i="1" a="1"/>
  <c r="C189" i="1" a="1"/>
  <c r="C221" i="1" a="1"/>
  <c r="C253" i="1" a="1"/>
  <c r="C285" i="1" a="1"/>
  <c r="C317" i="1" a="1"/>
  <c r="C346" i="1" a="1"/>
  <c r="C362" i="1" a="1"/>
  <c r="C378" i="1" a="1"/>
  <c r="C394" i="1" a="1"/>
  <c r="C410" i="1" a="1"/>
  <c r="C426" i="1" a="1"/>
  <c r="C442" i="1" a="1"/>
  <c r="C458" i="1" a="1"/>
  <c r="C474" i="1" a="1"/>
  <c r="C490" i="1" a="1"/>
  <c r="C506" i="1" a="1"/>
  <c r="C522" i="1" a="1"/>
  <c r="C30" i="1" a="1"/>
  <c r="C62" i="1" a="1"/>
  <c r="C94" i="1" a="1"/>
  <c r="C126" i="1" a="1"/>
  <c r="C158" i="1" a="1"/>
  <c r="C190" i="1" a="1"/>
  <c r="C222" i="1" a="1"/>
  <c r="C254" i="1" a="1"/>
  <c r="C286" i="1" a="1"/>
  <c r="C318" i="1" a="1"/>
  <c r="C347" i="1" a="1"/>
  <c r="C363" i="1" a="1"/>
  <c r="C379" i="1" a="1"/>
  <c r="C395" i="1" a="1"/>
  <c r="C411" i="1" a="1"/>
  <c r="C427" i="1" a="1"/>
  <c r="C443" i="1" a="1"/>
  <c r="C459" i="1" a="1"/>
  <c r="C475" i="1" a="1"/>
  <c r="C491" i="1" a="1"/>
  <c r="C9" i="1" a="1"/>
  <c r="C73" i="1" a="1"/>
  <c r="C137" i="1" a="1"/>
  <c r="C201" i="1" a="1"/>
  <c r="C265" i="1" a="1"/>
  <c r="C329" i="1" a="1"/>
  <c r="C472" i="1" a="1"/>
  <c r="C515" i="1" a="1"/>
  <c r="C539" i="1" a="1"/>
  <c r="C344" i="1" a="1"/>
  <c r="C376" i="1" a="1"/>
  <c r="C408" i="1" a="1"/>
  <c r="C460" i="1" a="1"/>
  <c r="C535" i="1" a="1"/>
  <c r="C567" i="1" a="1"/>
  <c r="C583" i="1" a="1"/>
  <c r="C599" i="1" a="1"/>
  <c r="C615" i="1" a="1"/>
  <c r="C631" i="1" a="1"/>
  <c r="C647" i="1" a="1"/>
  <c r="C663" i="1" a="1"/>
  <c r="C26" i="1" a="1"/>
  <c r="C90" i="1" a="1"/>
  <c r="C154" i="1" a="1"/>
  <c r="C218" i="1" a="1"/>
  <c r="C282" i="1" a="1"/>
  <c r="C416" i="1" a="1"/>
  <c r="C480" i="1" a="1"/>
  <c r="C521" i="1" a="1"/>
  <c r="C554" i="1" a="1"/>
  <c r="C361" i="1" a="1"/>
  <c r="C393" i="1" a="1"/>
  <c r="C436" i="1" a="1"/>
  <c r="C500" i="1" a="1"/>
  <c r="C550" i="1" a="1"/>
  <c r="C576" i="1" a="1"/>
  <c r="C592" i="1" a="1"/>
  <c r="C113" i="1" a="1"/>
  <c r="C241" i="1" a="1"/>
  <c r="C417" i="1" a="1"/>
  <c r="C517" i="1" a="1"/>
  <c r="C596" i="1" a="1"/>
  <c r="C646" i="1" a="1"/>
  <c r="C699" i="1" a="1"/>
  <c r="C744" i="1" a="1"/>
  <c r="C771" i="1" a="1"/>
  <c r="C787" i="1" a="1"/>
  <c r="C803" i="1" a="1"/>
  <c r="C819" i="1" a="1"/>
  <c r="C835" i="1" a="1"/>
  <c r="C851" i="1" a="1"/>
  <c r="C867" i="1" a="1"/>
  <c r="C883" i="1" a="1"/>
  <c r="C899" i="1" a="1"/>
  <c r="C915" i="1" a="1"/>
  <c r="C931" i="1" a="1"/>
  <c r="C947" i="1" a="1"/>
  <c r="C963" i="1" a="1"/>
  <c r="C979" i="1" a="1"/>
  <c r="C995" i="1" a="1"/>
  <c r="C1011" i="1" a="1"/>
  <c r="C1027" i="1" a="1"/>
  <c r="C404" i="1" a="1"/>
  <c r="C537" i="1" a="1"/>
  <c r="C602" i="1" a="1"/>
  <c r="C641" i="1" a="1"/>
  <c r="C678" i="1" a="1"/>
  <c r="C700" i="1" a="1"/>
  <c r="C721" i="1" a="1"/>
  <c r="C749" i="1" a="1"/>
  <c r="C50" i="1" a="1"/>
  <c r="C178" i="1" a="1"/>
  <c r="C306" i="1" a="1"/>
  <c r="C496" i="1" a="1"/>
  <c r="C547" i="1" a="1"/>
  <c r="C604" i="1" a="1"/>
  <c r="C654" i="1" a="1"/>
  <c r="C695" i="1" a="1"/>
  <c r="C745" i="1" a="1"/>
  <c r="C772" i="1" a="1"/>
  <c r="G1030" i="1" a="1"/>
  <c r="G1297" i="1" a="1"/>
  <c r="C55" i="1" a="1"/>
  <c r="C119" i="1" a="1"/>
  <c r="C183" i="1" a="1"/>
  <c r="C247" i="1" a="1"/>
  <c r="C311" i="1" a="1"/>
  <c r="C32" i="1" a="1"/>
  <c r="C96" i="1" a="1"/>
  <c r="C160" i="1" a="1"/>
  <c r="C224" i="1" a="1"/>
  <c r="C288" i="1" a="1"/>
  <c r="C21" i="1" a="1"/>
  <c r="C125" i="1" a="1"/>
  <c r="C165" i="1" a="1"/>
  <c r="C197" i="1" a="1"/>
  <c r="C229" i="1" a="1"/>
  <c r="C261" i="1" a="1"/>
  <c r="C293" i="1" a="1"/>
  <c r="C325" i="1" a="1"/>
  <c r="C350" i="1" a="1"/>
  <c r="C366" i="1" a="1"/>
  <c r="C382" i="1" a="1"/>
  <c r="C398" i="1" a="1"/>
  <c r="C414" i="1" a="1"/>
  <c r="C430" i="1" a="1"/>
  <c r="C446" i="1" a="1"/>
  <c r="C462" i="1" a="1"/>
  <c r="C478" i="1" a="1"/>
  <c r="C494" i="1" a="1"/>
  <c r="C510" i="1" a="1"/>
  <c r="C6" i="1" a="1"/>
  <c r="C38" i="1" a="1"/>
  <c r="C70" i="1" a="1"/>
  <c r="C102" i="1" a="1"/>
  <c r="C134" i="1" a="1"/>
  <c r="C166" i="1" a="1"/>
  <c r="C198" i="1" a="1"/>
  <c r="C230" i="1" a="1"/>
  <c r="C262" i="1" a="1"/>
  <c r="C294" i="1" a="1"/>
  <c r="C326" i="1" a="1"/>
  <c r="C351" i="1" a="1"/>
  <c r="C367" i="1" a="1"/>
  <c r="C383" i="1" a="1"/>
  <c r="C399" i="1" a="1"/>
  <c r="C415" i="1" a="1"/>
  <c r="C431" i="1" a="1"/>
  <c r="C447" i="1" a="1"/>
  <c r="C463" i="1" a="1"/>
  <c r="C479" i="1" a="1"/>
  <c r="C495" i="1" a="1"/>
  <c r="C25" i="1" a="1"/>
  <c r="C89" i="1" a="1"/>
  <c r="C153" i="1" a="1"/>
  <c r="C217" i="1" a="1"/>
  <c r="C281" i="1" a="1"/>
  <c r="C433" i="1" a="1"/>
  <c r="C497" i="1" a="1"/>
  <c r="C520" i="1" a="1"/>
  <c r="C548" i="1" a="1"/>
  <c r="C352" i="1" a="1"/>
  <c r="C384" i="1" a="1"/>
  <c r="C421" i="1" a="1"/>
  <c r="C485" i="1" a="1"/>
  <c r="C544" i="1" a="1"/>
  <c r="C571" i="1" a="1"/>
  <c r="C587" i="1" a="1"/>
  <c r="C603" i="1" a="1"/>
  <c r="C619" i="1" a="1"/>
  <c r="C635" i="1" a="1"/>
  <c r="C651" i="1" a="1"/>
  <c r="C667" i="1" a="1"/>
  <c r="C42" i="1" a="1"/>
  <c r="C106" i="1" a="1"/>
  <c r="C170" i="1" a="1"/>
  <c r="C234" i="1" a="1"/>
  <c r="C298" i="1" a="1"/>
  <c r="C441" i="1" a="1"/>
  <c r="C505" i="1" a="1"/>
  <c r="C531" i="1" a="1"/>
  <c r="C563" i="1" a="1"/>
  <c r="C369" i="1" a="1"/>
  <c r="C401" i="1" a="1"/>
  <c r="C461" i="1" a="1"/>
  <c r="C527" i="1" a="1"/>
  <c r="C559" i="1" a="1"/>
  <c r="C580" i="1" a="1"/>
  <c r="C17" i="1" a="1"/>
  <c r="C145" i="1" a="1"/>
  <c r="C273" i="1" a="1"/>
  <c r="C456" i="1" a="1"/>
  <c r="C546" i="1" a="1"/>
  <c r="G1165" i="1" a="1"/>
  <c r="C7" i="1" a="1"/>
  <c r="C71" i="1" a="1"/>
  <c r="C135" i="1" a="1"/>
  <c r="C199" i="1" a="1"/>
  <c r="C263" i="1" a="1"/>
  <c r="C327" i="1" a="1"/>
  <c r="C48" i="1" a="1"/>
  <c r="C112" i="1" a="1"/>
  <c r="C176" i="1" a="1"/>
  <c r="C240" i="1" a="1"/>
  <c r="C304" i="1" a="1"/>
  <c r="C53" i="1" a="1"/>
  <c r="C141" i="1" a="1"/>
  <c r="C173" i="1" a="1"/>
  <c r="C205" i="1" a="1"/>
  <c r="C237" i="1" a="1"/>
  <c r="C269" i="1" a="1"/>
  <c r="C301" i="1" a="1"/>
  <c r="C333" i="1" a="1"/>
  <c r="C354" i="1" a="1"/>
  <c r="C370" i="1" a="1"/>
  <c r="C386" i="1" a="1"/>
  <c r="C402" i="1" a="1"/>
  <c r="C418" i="1" a="1"/>
  <c r="C434" i="1" a="1"/>
  <c r="C450" i="1" a="1"/>
  <c r="C466" i="1" a="1"/>
  <c r="C482" i="1" a="1"/>
  <c r="C498" i="1" a="1"/>
  <c r="C514" i="1" a="1"/>
  <c r="C14" i="1" a="1"/>
  <c r="C46" i="1" a="1"/>
  <c r="C78" i="1" a="1"/>
  <c r="C110" i="1" a="1"/>
  <c r="C142" i="1" a="1"/>
  <c r="C174" i="1" a="1"/>
  <c r="C206" i="1" a="1"/>
  <c r="C238" i="1" a="1"/>
  <c r="C270" i="1" a="1"/>
  <c r="C302" i="1" a="1"/>
  <c r="C334" i="1" a="1"/>
  <c r="C355" i="1" a="1"/>
  <c r="C371" i="1" a="1"/>
  <c r="C387" i="1" a="1"/>
  <c r="C403" i="1" a="1"/>
  <c r="C419" i="1" a="1"/>
  <c r="C435" i="1" a="1"/>
  <c r="C451" i="1" a="1"/>
  <c r="C467" i="1" a="1"/>
  <c r="C483" i="1" a="1"/>
  <c r="C499" i="1" a="1"/>
  <c r="C41" i="1" a="1"/>
  <c r="C105" i="1" a="1"/>
  <c r="C169" i="1" a="1"/>
  <c r="C233" i="1" a="1"/>
  <c r="C297" i="1" a="1"/>
  <c r="C440" i="1" a="1"/>
  <c r="C504" i="1" a="1"/>
  <c r="C525" i="1" a="1"/>
  <c r="C557" i="1" a="1"/>
  <c r="C360" i="1" a="1"/>
  <c r="C392" i="1" a="1"/>
  <c r="C428" i="1" a="1"/>
  <c r="C492" i="1" a="1"/>
  <c r="C553" i="1" a="1"/>
  <c r="C575" i="1" a="1"/>
  <c r="C591" i="1" a="1"/>
  <c r="C607" i="1" a="1"/>
  <c r="C623" i="1" a="1"/>
  <c r="C639" i="1" a="1"/>
  <c r="C655" i="1" a="1"/>
  <c r="C671" i="1" a="1"/>
  <c r="C58" i="1" a="1"/>
  <c r="C122" i="1" a="1"/>
  <c r="C186" i="1" a="1"/>
  <c r="C250" i="1" a="1"/>
  <c r="C314" i="1" a="1"/>
  <c r="C448" i="1" a="1"/>
  <c r="C511" i="1" a="1"/>
  <c r="C540" i="1" a="1"/>
  <c r="C345" i="1" a="1"/>
  <c r="C377" i="1" a="1"/>
  <c r="C409" i="1" a="1"/>
  <c r="C468" i="1" a="1"/>
  <c r="C536" i="1" a="1"/>
  <c r="C568" i="1" a="1"/>
  <c r="C584" i="1" a="1"/>
  <c r="C49" i="1" a="1"/>
  <c r="C177" i="1" a="1"/>
  <c r="C305" i="1" a="1"/>
  <c r="C481" i="1" a="1"/>
  <c r="C555" i="1" a="1"/>
  <c r="C621" i="1" a="1"/>
  <c r="C660" i="1" a="1"/>
  <c r="C730" i="1" a="1"/>
  <c r="C762" i="1" a="1"/>
  <c r="C779" i="1" a="1"/>
  <c r="C795" i="1" a="1"/>
  <c r="C811" i="1" a="1"/>
  <c r="C827" i="1" a="1"/>
  <c r="C843" i="1" a="1"/>
  <c r="C859" i="1" a="1"/>
  <c r="C875" i="1" a="1"/>
  <c r="C891" i="1" a="1"/>
  <c r="C907" i="1" a="1"/>
  <c r="C923" i="1" a="1"/>
  <c r="C939" i="1" a="1"/>
  <c r="C955" i="1" a="1"/>
  <c r="C971" i="1" a="1"/>
  <c r="C987" i="1" a="1"/>
  <c r="C1003" i="1" a="1"/>
  <c r="C1019" i="1" a="1"/>
  <c r="C372" i="1" a="1"/>
  <c r="C469" i="1" a="1"/>
  <c r="C581" i="1" a="1"/>
  <c r="C616" i="1" a="1"/>
  <c r="C666" i="1" a="1"/>
  <c r="C689" i="1" a="1"/>
  <c r="C710" i="1" a="1"/>
  <c r="C731" i="1" a="1"/>
  <c r="C763" i="1" a="1"/>
  <c r="C114" i="1" a="1"/>
  <c r="C242" i="1" a="1"/>
  <c r="C432" i="1" a="1"/>
  <c r="C519" i="1" a="1"/>
  <c r="C565" i="1" a="1"/>
  <c r="C471" i="1" a="1"/>
  <c r="C121" i="1" a="1"/>
  <c r="C465" i="1" a="1"/>
  <c r="C368" i="1" a="1"/>
  <c r="C558" i="1" a="1"/>
  <c r="C627" i="1" a="1"/>
  <c r="C74" i="1" a="1"/>
  <c r="C330" i="1" a="1"/>
  <c r="C353" i="1" a="1"/>
  <c r="C545" i="1" a="1"/>
  <c r="C209" i="1" a="1"/>
  <c r="C614" i="1" a="1"/>
  <c r="C715" i="1" a="1"/>
  <c r="C775" i="1" a="1"/>
  <c r="C807" i="1" a="1"/>
  <c r="C839" i="1" a="1"/>
  <c r="C871" i="1" a="1"/>
  <c r="C903" i="1" a="1"/>
  <c r="C935" i="1" a="1"/>
  <c r="C967" i="1" a="1"/>
  <c r="C999" i="1" a="1"/>
  <c r="C356" i="1" a="1"/>
  <c r="C573" i="1" a="1"/>
  <c r="C648" i="1" a="1"/>
  <c r="C705" i="1" a="1"/>
  <c r="C758" i="1" a="1"/>
  <c r="C210" i="1" a="1"/>
  <c r="C508" i="1" a="1"/>
  <c r="C622" i="1" a="1"/>
  <c r="C668" i="1" a="1"/>
  <c r="C736" i="1" a="1"/>
  <c r="C776" i="1" a="1"/>
  <c r="C792" i="1" a="1"/>
  <c r="C808" i="1" a="1"/>
  <c r="C824" i="1" a="1"/>
  <c r="C840" i="1" a="1"/>
  <c r="C856" i="1" a="1"/>
  <c r="C872" i="1" a="1"/>
  <c r="C405" i="1" a="1"/>
  <c r="C529" i="1" a="1"/>
  <c r="C590" i="1" a="1"/>
  <c r="C642" i="1" a="1"/>
  <c r="C680" i="1" a="1"/>
  <c r="C701" i="1" a="1"/>
  <c r="C722" i="1" a="1"/>
  <c r="C755" i="1" a="1"/>
  <c r="C161" i="1" a="1"/>
  <c r="C512" i="1" a="1"/>
  <c r="C637" i="1" a="1"/>
  <c r="C728" i="1" a="1"/>
  <c r="C781" i="1" a="1"/>
  <c r="C813" i="1" a="1"/>
  <c r="C845" i="1" a="1"/>
  <c r="C876" i="1" a="1"/>
  <c r="C914" i="1" a="1"/>
  <c r="C953" i="1" a="1"/>
  <c r="C1004" i="1" a="1"/>
  <c r="C1056" i="1" a="1"/>
  <c r="C1120" i="1" a="1"/>
  <c r="C1172" i="1" a="1"/>
  <c r="C1204" i="1" a="1"/>
  <c r="C1236" i="1" a="1"/>
  <c r="C437" i="1" a="1"/>
  <c r="C600" i="1" a="1"/>
  <c r="C676" i="1" a="1"/>
  <c r="C718" i="1" a="1"/>
  <c r="C877" i="1" a="1"/>
  <c r="C928" i="1" a="1"/>
  <c r="C966" i="1" a="1"/>
  <c r="C1005" i="1" a="1"/>
  <c r="C1041" i="1" a="1"/>
  <c r="C1062" i="1" a="1"/>
  <c r="C1083" i="1" a="1"/>
  <c r="C1105" i="1" a="1"/>
  <c r="C1126" i="1" a="1"/>
  <c r="C1147" i="1" a="1"/>
  <c r="C1168" i="1" a="1"/>
  <c r="C1200" i="1" a="1"/>
  <c r="C1232" i="1" a="1"/>
  <c r="C1253" i="1" a="1"/>
  <c r="C1269" i="1" a="1"/>
  <c r="C1285" i="1" a="1"/>
  <c r="C162" i="1" a="1"/>
  <c r="C489" i="1" a="1"/>
  <c r="C638" i="1" a="1"/>
  <c r="C729" i="1" a="1"/>
  <c r="C790" i="1" a="1"/>
  <c r="C822" i="1" a="1"/>
  <c r="C854" i="1" a="1"/>
  <c r="C890" i="1" a="1"/>
  <c r="C929" i="1" a="1"/>
  <c r="C980" i="1" a="1"/>
  <c r="C1018" i="1" a="1"/>
  <c r="C1068" i="1" a="1"/>
  <c r="C1132" i="1" a="1"/>
  <c r="C1182" i="1" a="1"/>
  <c r="C1214" i="1" a="1"/>
  <c r="C349" i="1" a="1"/>
  <c r="C552" i="1" a="1"/>
  <c r="C626" i="1" a="1"/>
  <c r="C688" i="1" a="1"/>
  <c r="C739" i="1" a="1"/>
  <c r="C878" i="1" a="1"/>
  <c r="C917" i="1" a="1"/>
  <c r="C968" i="1" a="1"/>
  <c r="C1006" i="1" a="1"/>
  <c r="C1042" i="1" a="1"/>
  <c r="C1063" i="1" a="1"/>
  <c r="C1085" i="1" a="1"/>
  <c r="C1106" i="1" a="1"/>
  <c r="C1127" i="1" a="1"/>
  <c r="C1149" i="1" a="1"/>
  <c r="C1178" i="1" a="1"/>
  <c r="C1210" i="1" a="1"/>
  <c r="C1242" i="1" a="1"/>
  <c r="C1258" i="1" a="1"/>
  <c r="C1274" i="1" a="1"/>
  <c r="C65" i="1" a="1"/>
  <c r="C541" i="1" a="1"/>
  <c r="C760" i="1" a="1"/>
  <c r="C825" i="1" a="1"/>
  <c r="C898" i="1" a="1"/>
  <c r="C988" i="1" a="1"/>
  <c r="C1080" i="1" a="1"/>
  <c r="C1174" i="1" a="1"/>
  <c r="C1238" i="1" a="1"/>
  <c r="C1308" i="1" a="1"/>
  <c r="C1330" i="1" a="1"/>
  <c r="C1351" i="1" a="1"/>
  <c r="C1372" i="1" a="1"/>
  <c r="C1394" i="1" a="1"/>
  <c r="C1415" i="1" a="1"/>
  <c r="C1436" i="1" a="1"/>
  <c r="C1461" i="1" a="1"/>
  <c r="C1493" i="1" a="1"/>
  <c r="C1525" i="1" a="1"/>
  <c r="C1557" i="1" a="1"/>
  <c r="C1573" i="1" a="1"/>
  <c r="C1589" i="1" a="1"/>
  <c r="C1605" i="1" a="1"/>
  <c r="C1621" i="1" a="1"/>
  <c r="C1637" i="1" a="1"/>
  <c r="C1653" i="1" a="1"/>
  <c r="C1669" i="1" a="1"/>
  <c r="C1685" i="1" a="1"/>
  <c r="C1701" i="1" a="1"/>
  <c r="C1717" i="1" a="1"/>
  <c r="C1733" i="1" a="1"/>
  <c r="C1749" i="1" a="1"/>
  <c r="C396" i="1" a="1"/>
  <c r="C632" i="1" a="1"/>
  <c r="C724" i="1" a="1"/>
  <c r="C925" i="1" a="1"/>
  <c r="C1014" i="1" a="1"/>
  <c r="C1070" i="1" a="1"/>
  <c r="C1113" i="1" a="1"/>
  <c r="C1155" i="1" a="1"/>
  <c r="C1211" i="1" a="1"/>
  <c r="C1271" i="1" a="1"/>
  <c r="C1309" i="1" a="1"/>
  <c r="C1373" i="1" a="1"/>
  <c r="C1437" i="1" a="1"/>
  <c r="C1475" i="1" a="1"/>
  <c r="C1507" i="1" a="1"/>
  <c r="C1539" i="1" a="1"/>
  <c r="C194" i="1" a="1"/>
  <c r="C743" i="1" a="1"/>
  <c r="C810" i="1" a="1"/>
  <c r="C874" i="1" a="1"/>
  <c r="C964" i="1" a="1"/>
  <c r="C1060" i="1" a="1"/>
  <c r="C1166" i="1" a="1"/>
  <c r="C1230" i="1" a="1"/>
  <c r="C1304" i="1" a="1"/>
  <c r="C1326" i="1" a="1"/>
  <c r="C1347" i="1" a="1"/>
  <c r="C1368" i="1" a="1"/>
  <c r="C1390" i="1" a="1"/>
  <c r="C1411" i="1" a="1"/>
  <c r="C1432" i="1" a="1"/>
  <c r="C1453" i="1" a="1"/>
  <c r="C1485" i="1" a="1"/>
  <c r="C1517" i="1" a="1"/>
  <c r="C1549" i="1" a="1"/>
  <c r="C1570" i="1" a="1"/>
  <c r="C1586" i="1" a="1"/>
  <c r="C1602" i="1" a="1"/>
  <c r="C1618" i="1" a="1"/>
  <c r="C1634" i="1" a="1"/>
  <c r="C1650" i="1" a="1"/>
  <c r="C1666" i="1" a="1"/>
  <c r="C452" i="1" a="1"/>
  <c r="C633" i="1" a="1"/>
  <c r="C725" i="1" a="1"/>
  <c r="C952" i="1" a="1"/>
  <c r="C1029" i="1" a="1"/>
  <c r="C1071" i="1" a="1"/>
  <c r="C1114" i="1" a="1"/>
  <c r="C1157" i="1" a="1"/>
  <c r="C1203" i="1" a="1"/>
  <c r="C1264" i="1" a="1"/>
  <c r="C1305" i="1" a="1"/>
  <c r="C1369" i="1" a="1"/>
  <c r="C1433" i="1" a="1"/>
  <c r="C1476" i="1" a="1"/>
  <c r="C1508" i="1" a="1"/>
  <c r="C1540" i="1" a="1"/>
  <c r="C669" i="1" a="1"/>
  <c r="C849" i="1" a="1"/>
  <c r="C1032" i="1" a="1"/>
  <c r="C1215" i="1" a="1"/>
  <c r="C1327" i="1" a="1"/>
  <c r="C1370" i="1" a="1"/>
  <c r="C1412" i="1" a="1"/>
  <c r="C1454" i="1" a="1"/>
  <c r="C1518" i="1" a="1"/>
  <c r="C1571" i="1" a="1"/>
  <c r="C1603" i="1" a="1"/>
  <c r="C1635" i="1" a="1"/>
  <c r="C1667" i="1" a="1"/>
  <c r="C1707" i="1" a="1"/>
  <c r="C1758" i="1" a="1"/>
  <c r="C1780" i="1" a="1"/>
  <c r="C1801" i="1" a="1"/>
  <c r="C1823" i="1" a="1"/>
  <c r="C1844" i="1" a="1"/>
  <c r="C1865" i="1" a="1"/>
  <c r="C618" i="1" a="1"/>
  <c r="C982" i="1" a="1"/>
  <c r="C1075" i="1" a="1"/>
  <c r="C1161" i="1" a="1"/>
  <c r="C1251" i="1" a="1"/>
  <c r="C1349" i="1" a="1"/>
  <c r="C1473" i="1" a="1"/>
  <c r="C1537" i="1" a="1"/>
  <c r="C1688" i="1" a="1"/>
  <c r="C1727" i="1" a="1"/>
  <c r="C1770" i="1" a="1"/>
  <c r="C1834" i="1" a="1"/>
  <c r="C1874" i="1" a="1"/>
  <c r="C1890" i="1" a="1"/>
  <c r="C1906" i="1" a="1"/>
  <c r="C1922" i="1" a="1"/>
  <c r="C1938" i="1" a="1"/>
  <c r="C1954" i="1" a="1"/>
  <c r="C1970" i="1" a="1"/>
  <c r="C1986" i="1" a="1"/>
  <c r="C487" i="1" a="1"/>
  <c r="C185" i="1" a="1"/>
  <c r="C509" i="1" a="1"/>
  <c r="C400" i="1" a="1"/>
  <c r="C579" i="1" a="1"/>
  <c r="C643" i="1" a="1"/>
  <c r="C138" i="1" a="1"/>
  <c r="C473" i="1" a="1"/>
  <c r="C385" i="1" a="1"/>
  <c r="C572" i="1" a="1"/>
  <c r="C337" i="1" a="1"/>
  <c r="C628" i="1" a="1"/>
  <c r="C735" i="1" a="1"/>
  <c r="C783" i="1" a="1"/>
  <c r="C815" i="1" a="1"/>
  <c r="C847" i="1" a="1"/>
  <c r="C879" i="1" a="1"/>
  <c r="C911" i="1" a="1"/>
  <c r="C943" i="1" a="1"/>
  <c r="C975" i="1" a="1"/>
  <c r="C1007" i="1" a="1"/>
  <c r="C388" i="1" a="1"/>
  <c r="C589" i="1" a="1"/>
  <c r="C673" i="1" a="1"/>
  <c r="C716" i="1" a="1"/>
  <c r="C18" i="1" a="1"/>
  <c r="C274" i="1" a="1"/>
  <c r="C538" i="1" a="1"/>
  <c r="C629" i="1" a="1"/>
  <c r="C679" i="1" a="1"/>
  <c r="C754" i="1" a="1"/>
  <c r="C780" i="1" a="1"/>
  <c r="C796" i="1" a="1"/>
  <c r="C812" i="1" a="1"/>
  <c r="C828" i="1" a="1"/>
  <c r="C844" i="1" a="1"/>
  <c r="C860" i="1" a="1"/>
  <c r="C357" i="1" a="1"/>
  <c r="C420" i="1" a="1"/>
  <c r="C566" i="1" a="1"/>
  <c r="C610" i="1" a="1"/>
  <c r="C649" i="1" a="1"/>
  <c r="C685" i="1" a="1"/>
  <c r="C706" i="1" a="1"/>
  <c r="C732" i="1" a="1"/>
  <c r="C764" i="1" a="1"/>
  <c r="C225" i="1" a="1"/>
  <c r="C532" i="1" a="1"/>
  <c r="C662" i="1" a="1"/>
  <c r="C737" i="1" a="1"/>
  <c r="C789" i="1" a="1"/>
  <c r="C821" i="1" a="1"/>
  <c r="C853" i="1" a="1"/>
  <c r="C882" i="1" a="1"/>
  <c r="C921" i="1" a="1"/>
  <c r="C972" i="1" a="1"/>
  <c r="C1010" i="1" a="1"/>
  <c r="C1072" i="1" a="1"/>
  <c r="C1136" i="1" a="1"/>
  <c r="C1181" i="1" a="1"/>
  <c r="C1213" i="1" a="1"/>
  <c r="C348" i="1" a="1"/>
  <c r="C551" i="1" a="1"/>
  <c r="C625" i="1" a="1"/>
  <c r="C686" i="1" a="1"/>
  <c r="C747" i="1" a="1"/>
  <c r="C896" i="1" a="1"/>
  <c r="C934" i="1" a="1"/>
  <c r="C973" i="1" a="1"/>
  <c r="C1024" i="1" a="1"/>
  <c r="C1046" i="1" a="1"/>
  <c r="C1067" i="1" a="1"/>
  <c r="C1089" i="1" a="1"/>
  <c r="C1110" i="1" a="1"/>
  <c r="C1131" i="1" a="1"/>
  <c r="C1153" i="1" a="1"/>
  <c r="C1177" i="1" a="1"/>
  <c r="C1209" i="1" a="1"/>
  <c r="C1241" i="1" a="1"/>
  <c r="C1257" i="1" a="1"/>
  <c r="C1273" i="1" a="1"/>
  <c r="C1289" i="1" a="1"/>
  <c r="C226" i="1" a="1"/>
  <c r="C513" i="1" a="1"/>
  <c r="C652" i="1" a="1"/>
  <c r="C738" i="1" a="1"/>
  <c r="C798" i="1" a="1"/>
  <c r="C830" i="1" a="1"/>
  <c r="C862" i="1" a="1"/>
  <c r="C897" i="1" a="1"/>
  <c r="C948" i="1" a="1"/>
  <c r="C986" i="1" a="1"/>
  <c r="C1025" i="1" a="1"/>
  <c r="C1084" i="1" a="1"/>
  <c r="C1148" i="1" a="1"/>
  <c r="C1191" i="1" a="1"/>
  <c r="C1223" i="1" a="1"/>
  <c r="C381" i="1" a="1"/>
  <c r="C570" i="1" a="1"/>
  <c r="C640" i="1" a="1"/>
  <c r="C698" i="1" a="1"/>
  <c r="C748" i="1" a="1"/>
  <c r="C885" i="1" a="1"/>
  <c r="C936" i="1" a="1"/>
  <c r="C974" i="1" a="1"/>
  <c r="C1013" i="1" a="1"/>
  <c r="C1047" i="1" a="1"/>
  <c r="C1069" i="1" a="1"/>
  <c r="C1090" i="1" a="1"/>
  <c r="C1111" i="1" a="1"/>
  <c r="C1133" i="1" a="1"/>
  <c r="C1154" i="1" a="1"/>
  <c r="C1187" i="1" a="1"/>
  <c r="C1219" i="1" a="1"/>
  <c r="C1246" i="1" a="1"/>
  <c r="C1262" i="1" a="1"/>
  <c r="C1278" i="1" a="1"/>
  <c r="C193" i="1" a="1"/>
  <c r="C605" i="1" a="1"/>
  <c r="C777" i="1" a="1"/>
  <c r="C841" i="1" a="1"/>
  <c r="C924" i="1" a="1"/>
  <c r="C1001" i="1" a="1"/>
  <c r="C1112" i="1" a="1"/>
  <c r="C1183" i="1" a="1"/>
  <c r="C1292" i="1" a="1"/>
  <c r="C1314" i="1" a="1"/>
  <c r="C1335" i="1" a="1"/>
  <c r="C1356" i="1" a="1"/>
  <c r="C1378" i="1" a="1"/>
  <c r="C1399" i="1" a="1"/>
  <c r="C1420" i="1" a="1"/>
  <c r="C1442" i="1" a="1"/>
  <c r="C1470" i="1" a="1"/>
  <c r="C1502" i="1" a="1"/>
  <c r="C1534" i="1" a="1"/>
  <c r="C1561" i="1" a="1"/>
  <c r="C1577" i="1" a="1"/>
  <c r="C1593" i="1" a="1"/>
  <c r="C1609" i="1" a="1"/>
  <c r="C1625" i="1" a="1"/>
  <c r="C1641" i="1" a="1"/>
  <c r="C1657" i="1" a="1"/>
  <c r="C1673" i="1" a="1"/>
  <c r="C1689" i="1" a="1"/>
  <c r="C1705" i="1" a="1"/>
  <c r="C1721" i="1" a="1"/>
  <c r="C1737" i="1" a="1"/>
  <c r="C1753" i="1" a="1"/>
  <c r="C501" i="1" a="1"/>
  <c r="C657" i="1" a="1"/>
  <c r="C742" i="1" a="1"/>
  <c r="C950" i="1" a="1"/>
  <c r="C1038" i="1" a="1"/>
  <c r="C1081" i="1" a="1"/>
  <c r="C1123" i="1" a="1"/>
  <c r="C1184" i="1" a="1"/>
  <c r="C1247" i="1" a="1"/>
  <c r="C1279" i="1" a="1"/>
  <c r="C1325" i="1" a="1"/>
  <c r="C1389" i="1" a="1"/>
  <c r="C1452" i="1" a="1"/>
  <c r="C1484" i="1" a="1"/>
  <c r="C1516" i="1" a="1"/>
  <c r="C1548" i="1" a="1"/>
  <c r="C322" i="1" a="1"/>
  <c r="C761" i="1" a="1"/>
  <c r="C826" i="1" a="1"/>
  <c r="C900" i="1" a="1"/>
  <c r="C977" i="1" a="1"/>
  <c r="C1092" i="1" a="1"/>
  <c r="C1175" i="1" a="1"/>
  <c r="C1239" i="1" a="1"/>
  <c r="C1310" i="1" a="1"/>
  <c r="C1331" i="1" a="1"/>
  <c r="C1352" i="1" a="1"/>
  <c r="C1374" i="1" a="1"/>
  <c r="C1395" i="1" a="1"/>
  <c r="C1416" i="1" a="1"/>
  <c r="C1438" i="1" a="1"/>
  <c r="C1462" i="1" a="1"/>
  <c r="C1494" i="1" a="1"/>
  <c r="C1526" i="1" a="1"/>
  <c r="C1558" i="1" a="1"/>
  <c r="C1574" i="1" a="1"/>
  <c r="C1590" i="1" a="1"/>
  <c r="C1606" i="1" a="1"/>
  <c r="C1622" i="1" a="1"/>
  <c r="C1638" i="1" a="1"/>
  <c r="C1654" i="1" a="1"/>
  <c r="C1670" i="1" a="1"/>
  <c r="C543" i="1" a="1"/>
  <c r="C658" i="1" a="1"/>
  <c r="C888" i="1" a="1"/>
  <c r="C965" i="1" a="1"/>
  <c r="C1039" i="1" a="1"/>
  <c r="C1082" i="1" a="1"/>
  <c r="C1125" i="1" a="1"/>
  <c r="C1176" i="1" a="1"/>
  <c r="C1240" i="1" a="1"/>
  <c r="C1272" i="1" a="1"/>
  <c r="C1321" i="1" a="1"/>
  <c r="C1385" i="1" a="1"/>
  <c r="C1449" i="1" a="1"/>
  <c r="C1481" i="1" a="1"/>
  <c r="C1513" i="1" a="1"/>
  <c r="C1545" i="1" a="1"/>
  <c r="C751" i="1" a="1"/>
  <c r="C905" i="1" a="1"/>
  <c r="C1096" i="1" a="1"/>
  <c r="C1295" i="1" a="1"/>
  <c r="C1338" i="1" a="1"/>
  <c r="C1380" i="1" a="1"/>
  <c r="C1423" i="1" a="1"/>
  <c r="C1463" i="1" a="1"/>
  <c r="C1527" i="1" a="1"/>
  <c r="C1579" i="1" a="1"/>
  <c r="C1611" i="1" a="1"/>
  <c r="C1643" i="1" a="1"/>
  <c r="C1675" i="1" a="1"/>
  <c r="C1726" i="1" a="1"/>
  <c r="C1764" i="1" a="1"/>
  <c r="C1785" i="1" a="1"/>
  <c r="C1807" i="1" a="1"/>
  <c r="C1828" i="1" a="1"/>
  <c r="C1849" i="1" a="1"/>
  <c r="C364" i="1" a="1"/>
  <c r="C713" i="1" a="1"/>
  <c r="C1008" i="1" a="1"/>
  <c r="C1097" i="1" a="1"/>
  <c r="C1179" i="1" a="1"/>
  <c r="C1267" i="1" a="1"/>
  <c r="C1381" i="1" a="1"/>
  <c r="C1482" i="1" a="1"/>
  <c r="C1546" i="1" a="1"/>
  <c r="C1695" i="1" a="1"/>
  <c r="C1746" i="1" a="1"/>
  <c r="C1786" i="1" a="1"/>
  <c r="C1850" i="1" a="1"/>
  <c r="C1878" i="1" a="1"/>
  <c r="C1894" i="1" a="1"/>
  <c r="C1910" i="1" a="1"/>
  <c r="C1926" i="1" a="1"/>
  <c r="C1942" i="1" a="1"/>
  <c r="C1958" i="1" a="1"/>
  <c r="C1974" i="1" a="1"/>
  <c r="C1990" i="1" a="1"/>
  <c r="C2006" i="1" a="1"/>
  <c r="C2022" i="1" a="1"/>
  <c r="C130" i="1" a="1"/>
  <c r="C786" i="1" a="1"/>
  <c r="C906" i="1" a="1"/>
  <c r="C1140" i="1" a="1"/>
  <c r="C1307" i="1" a="1"/>
  <c r="C1350" i="1" a="1"/>
  <c r="C503" i="1" a="1"/>
  <c r="C249" i="1" a="1"/>
  <c r="C530" i="1" a="1"/>
  <c r="C453" i="1" a="1"/>
  <c r="C595" i="1" a="1"/>
  <c r="C659" i="1" a="1"/>
  <c r="C202" i="1" a="1"/>
  <c r="C516" i="1" a="1"/>
  <c r="C429" i="1" a="1"/>
  <c r="C588" i="1" a="1"/>
  <c r="C507" i="1" a="1"/>
  <c r="C653" i="1" a="1"/>
  <c r="C753" i="1" a="1"/>
  <c r="C791" i="1" a="1"/>
  <c r="C823" i="1" a="1"/>
  <c r="C855" i="1" a="1"/>
  <c r="C887" i="1" a="1"/>
  <c r="C919" i="1" a="1"/>
  <c r="C951" i="1" a="1"/>
  <c r="C983" i="1" a="1"/>
  <c r="C1015" i="1" a="1"/>
  <c r="C444" i="1" a="1"/>
  <c r="C609" i="1" a="1"/>
  <c r="C684" i="1" a="1"/>
  <c r="C726" i="1" a="1"/>
  <c r="C82" i="1" a="1"/>
  <c r="C338" i="1" a="1"/>
  <c r="C556" i="1" a="1"/>
  <c r="C636" i="1" a="1"/>
  <c r="C711" i="1" a="1"/>
  <c r="C759" i="1" a="1"/>
  <c r="C784" i="1" a="1"/>
  <c r="C800" i="1" a="1"/>
  <c r="C816" i="1" a="1"/>
  <c r="C832" i="1" a="1"/>
  <c r="C848" i="1" a="1"/>
  <c r="C864" i="1" a="1"/>
  <c r="C373" i="1" a="1"/>
  <c r="C445" i="1" a="1"/>
  <c r="C574" i="1" a="1"/>
  <c r="C617" i="1" a="1"/>
  <c r="C656" i="1" a="1"/>
  <c r="C690" i="1" a="1"/>
  <c r="C712" i="1" a="1"/>
  <c r="C741" i="1" a="1"/>
  <c r="C33" i="1" a="1"/>
  <c r="C289" i="1" a="1"/>
  <c r="C598" i="1" a="1"/>
  <c r="C675" i="1" a="1"/>
  <c r="C746" i="1" a="1"/>
  <c r="C797" i="1" a="1"/>
  <c r="C829" i="1" a="1"/>
  <c r="C861" i="1" a="1"/>
  <c r="C889" i="1" a="1"/>
  <c r="C940" i="1" a="1"/>
  <c r="C978" i="1" a="1"/>
  <c r="C1017" i="1" a="1"/>
  <c r="C1088" i="1" a="1"/>
  <c r="C1152" i="1" a="1"/>
  <c r="C1190" i="1" a="1"/>
  <c r="C1222" i="1" a="1"/>
  <c r="C380" i="1" a="1"/>
  <c r="C569" i="1" a="1"/>
  <c r="C650" i="1" a="1"/>
  <c r="C697" i="1" a="1"/>
  <c r="C756" i="1" a="1"/>
  <c r="C902" i="1" a="1"/>
  <c r="C941" i="1" a="1"/>
  <c r="C992" i="1" a="1"/>
  <c r="C1030" i="1" a="1"/>
  <c r="C1051" i="1" a="1"/>
  <c r="C1073" i="1" a="1"/>
  <c r="C1094" i="1" a="1"/>
  <c r="C1115" i="1" a="1"/>
  <c r="C1137" i="1" a="1"/>
  <c r="C1158" i="1" a="1"/>
  <c r="C1186" i="1" a="1"/>
  <c r="C1218" i="1" a="1"/>
  <c r="C1245" i="1" a="1"/>
  <c r="C1261" i="1" a="1"/>
  <c r="C1277" i="1" a="1"/>
  <c r="C34" i="1" a="1"/>
  <c r="C290" i="1" a="1"/>
  <c r="C533" i="1" a="1"/>
  <c r="C687" i="1" a="1"/>
  <c r="C774" i="1" a="1"/>
  <c r="C806" i="1" a="1"/>
  <c r="C838" i="1" a="1"/>
  <c r="C870" i="1" a="1"/>
  <c r="C916" i="1" a="1"/>
  <c r="C954" i="1" a="1"/>
  <c r="C993" i="1" a="1"/>
  <c r="C1036" i="1" a="1"/>
  <c r="C1100" i="1" a="1"/>
  <c r="C1164" i="1" a="1"/>
  <c r="C1196" i="1" a="1"/>
  <c r="C1228" i="1" a="1"/>
  <c r="C413" i="1" a="1"/>
  <c r="C586" i="1" a="1"/>
  <c r="C665" i="1" a="1"/>
  <c r="C709" i="1" a="1"/>
  <c r="C757" i="1" a="1"/>
  <c r="C904" i="1" a="1"/>
  <c r="C942" i="1" a="1"/>
  <c r="C981" i="1" a="1"/>
  <c r="C1031" i="1" a="1"/>
  <c r="C1053" i="1" a="1"/>
  <c r="C1074" i="1" a="1"/>
  <c r="C1095" i="1" a="1"/>
  <c r="C1117" i="1" a="1"/>
  <c r="C1138" i="1" a="1"/>
  <c r="C1159" i="1" a="1"/>
  <c r="C1192" i="1" a="1"/>
  <c r="C1224" i="1" a="1"/>
  <c r="C1250" i="1" a="1"/>
  <c r="C1266" i="1" a="1"/>
  <c r="C1282" i="1" a="1"/>
  <c r="C321" i="1" a="1"/>
  <c r="C630" i="1" a="1"/>
  <c r="C793" i="1" a="1"/>
  <c r="C857" i="1" a="1"/>
  <c r="C937" i="1" a="1"/>
  <c r="C1026" i="1" a="1"/>
  <c r="C1144" i="1" a="1"/>
  <c r="C1220" i="1" a="1"/>
  <c r="C1298" i="1" a="1"/>
  <c r="C1319" i="1" a="1"/>
  <c r="C1340" i="1" a="1"/>
  <c r="C1362" i="1" a="1"/>
  <c r="C1383" i="1" a="1"/>
  <c r="C1404" i="1" a="1"/>
  <c r="C1426" i="1" a="1"/>
  <c r="C1447" i="1" a="1"/>
  <c r="C1479" i="1" a="1"/>
  <c r="C1511" i="1" a="1"/>
  <c r="C1543" i="1" a="1"/>
  <c r="C1565" i="1" a="1"/>
  <c r="C1581" i="1" a="1"/>
  <c r="C1597" i="1" a="1"/>
  <c r="C1613" i="1" a="1"/>
  <c r="C1629" i="1" a="1"/>
  <c r="C1645" i="1" a="1"/>
  <c r="C1661" i="1" a="1"/>
  <c r="C1677" i="1" a="1"/>
  <c r="C1693" i="1" a="1"/>
  <c r="C1709" i="1" a="1"/>
  <c r="C1725" i="1" a="1"/>
  <c r="C1741" i="1" a="1"/>
  <c r="C1757" i="1" a="1"/>
  <c r="C542" i="1" a="1"/>
  <c r="C681" i="1" a="1"/>
  <c r="C886" i="1" a="1"/>
  <c r="C976" i="1" a="1"/>
  <c r="C1049" i="1" a="1"/>
  <c r="C1091" i="1" a="1"/>
  <c r="C1134" i="1" a="1"/>
  <c r="C1193" i="1" a="1"/>
  <c r="C1255" i="1" a="1"/>
  <c r="C1287" i="1" a="1"/>
  <c r="C1341" i="1" a="1"/>
  <c r="C1405" i="1" a="1"/>
  <c r="C1457" i="1" a="1"/>
  <c r="C1489" i="1" a="1"/>
  <c r="C1521" i="1" a="1"/>
  <c r="C1553" i="1" a="1"/>
  <c r="C606" i="1" a="1"/>
  <c r="C778" i="1" a="1"/>
  <c r="C842" i="1" a="1"/>
  <c r="C913" i="1" a="1"/>
  <c r="C1002" i="1" a="1"/>
  <c r="C1124" i="1" a="1"/>
  <c r="C1212" i="1" a="1"/>
  <c r="C1294" i="1" a="1"/>
  <c r="C1315" i="1" a="1"/>
  <c r="C1336" i="1" a="1"/>
  <c r="C1358" i="1" a="1"/>
  <c r="C1379" i="1" a="1"/>
  <c r="C1400" i="1" a="1"/>
  <c r="C1422" i="1" a="1"/>
  <c r="C1443" i="1" a="1"/>
  <c r="C1471" i="1" a="1"/>
  <c r="C1503" i="1" a="1"/>
  <c r="C1535" i="1" a="1"/>
  <c r="C1562" i="1" a="1"/>
  <c r="C1578" i="1" a="1"/>
  <c r="C1594" i="1" a="1"/>
  <c r="C1610" i="1" a="1"/>
  <c r="C1626" i="1" a="1"/>
  <c r="C1642" i="1" a="1"/>
  <c r="C1658" i="1" a="1"/>
  <c r="C1674" i="1" a="1"/>
  <c r="C578" i="1" a="1"/>
  <c r="C682" i="1" a="1"/>
  <c r="C901" i="1" a="1"/>
  <c r="C990" i="1" a="1"/>
  <c r="C1050" i="1" a="1"/>
  <c r="C1093" i="1" a="1"/>
  <c r="C1135" i="1" a="1"/>
  <c r="C1185" i="1" a="1"/>
  <c r="C1248" i="1" a="1"/>
  <c r="C1280" i="1" a="1"/>
  <c r="C1337" i="1" a="1"/>
  <c r="C1401" i="1" a="1"/>
  <c r="C1458" i="1" a="1"/>
  <c r="C1490" i="1" a="1"/>
  <c r="C1522" i="1" a="1"/>
  <c r="C1554" i="1" a="1"/>
  <c r="C785" i="1" a="1"/>
  <c r="C930" i="1" a="1"/>
  <c r="C1160" i="1" a="1"/>
  <c r="C1306" i="1" a="1"/>
  <c r="C1348" i="1" a="1"/>
  <c r="C1391" i="1" a="1"/>
  <c r="C1434" i="1" a="1"/>
  <c r="C1472" i="1" a="1"/>
  <c r="C1536" i="1" a="1"/>
  <c r="C1587" i="1" a="1"/>
  <c r="C1619" i="1" a="1"/>
  <c r="C1651" i="1" a="1"/>
  <c r="C1694" i="1" a="1"/>
  <c r="C1732" i="1" a="1"/>
  <c r="C1769" i="1" a="1"/>
  <c r="C1791" i="1" a="1"/>
  <c r="C1812" i="1" a="1"/>
  <c r="C1833" i="1" a="1"/>
  <c r="C1855" i="1" a="1"/>
  <c r="C476" i="1" a="1"/>
  <c r="C880" i="1" a="1"/>
  <c r="C1033" i="1" a="1"/>
  <c r="C1118" i="1" a="1"/>
  <c r="C1216" i="1" a="1"/>
  <c r="C1283" i="1" a="1"/>
  <c r="C1413" i="1" a="1"/>
  <c r="C1491" i="1" a="1"/>
  <c r="C1555" i="1" a="1"/>
  <c r="C1714" i="1" a="1"/>
  <c r="C1752" i="1" a="1"/>
  <c r="C1802" i="1" a="1"/>
  <c r="C1866" i="1" a="1"/>
  <c r="C1882" i="1" a="1"/>
  <c r="C1898" i="1" a="1"/>
  <c r="C1914" i="1" a="1"/>
  <c r="C1930" i="1" a="1"/>
  <c r="C1946" i="1" a="1"/>
  <c r="C1962" i="1" a="1"/>
  <c r="C1978" i="1" a="1"/>
  <c r="C1994" i="1" a="1"/>
  <c r="C2010" i="1" a="1"/>
  <c r="C2026" i="1" a="1"/>
  <c r="C620" i="1" a="1"/>
  <c r="C818" i="1" a="1"/>
  <c r="C932" i="1" a="1"/>
  <c r="C1180" i="1" a="1"/>
  <c r="C1318" i="1" a="1"/>
  <c r="C1360" i="1" a="1"/>
  <c r="C57" i="1" a="1"/>
  <c r="C313" i="1" a="1"/>
  <c r="C562" i="1" a="1"/>
  <c r="C526" i="1" a="1"/>
  <c r="C611" i="1" a="1"/>
  <c r="C10" i="1" a="1"/>
  <c r="C266" i="1" a="1"/>
  <c r="C549" i="1" a="1"/>
  <c r="C493" i="1" a="1"/>
  <c r="C81" i="1" a="1"/>
  <c r="C564" i="1" a="1"/>
  <c r="C683" i="1" a="1"/>
  <c r="C767" i="1" a="1"/>
  <c r="C799" i="1" a="1"/>
  <c r="C831" i="1" a="1"/>
  <c r="C863" i="1" a="1"/>
  <c r="C895" i="1" a="1"/>
  <c r="C927" i="1" a="1"/>
  <c r="C959" i="1" a="1"/>
  <c r="C991" i="1" a="1"/>
  <c r="C1023" i="1" a="1"/>
  <c r="C528" i="1" a="1"/>
  <c r="C634" i="1" a="1"/>
  <c r="C694" i="1" a="1"/>
  <c r="C740" i="1" a="1"/>
  <c r="C146" i="1" a="1"/>
  <c r="C457" i="1" a="1"/>
  <c r="C597" i="1" a="1"/>
  <c r="C661" i="1" a="1"/>
  <c r="C727" i="1" a="1"/>
  <c r="C768" i="1" a="1"/>
  <c r="C788" i="1" a="1"/>
  <c r="C804" i="1" a="1"/>
  <c r="C820" i="1" a="1"/>
  <c r="C836" i="1" a="1"/>
  <c r="C852" i="1" a="1"/>
  <c r="C868" i="1" a="1"/>
  <c r="C389" i="1" a="1"/>
  <c r="C484" i="1" a="1"/>
  <c r="C582" i="1" a="1"/>
  <c r="C624" i="1" a="1"/>
  <c r="C674" i="1" a="1"/>
  <c r="C696" i="1" a="1"/>
  <c r="C717" i="1" a="1"/>
  <c r="C750" i="1" a="1"/>
  <c r="C97" i="1" a="1"/>
  <c r="C488" i="1" a="1"/>
  <c r="C612" i="1" a="1"/>
  <c r="C707" i="1" a="1"/>
  <c r="C773" i="1" a="1"/>
  <c r="C805" i="1" a="1"/>
  <c r="C837" i="1" a="1"/>
  <c r="C869" i="1" a="1"/>
  <c r="C908" i="1" a="1"/>
  <c r="C946" i="1" a="1"/>
  <c r="C985" i="1" a="1"/>
  <c r="C1040" i="1" a="1"/>
  <c r="C1104" i="1" a="1"/>
  <c r="C1167" i="1" a="1"/>
  <c r="C1199" i="1" a="1"/>
  <c r="C1231" i="1" a="1"/>
  <c r="C412" i="1" a="1"/>
  <c r="C585" i="1" a="1"/>
  <c r="C664" i="1" a="1"/>
  <c r="C708" i="1" a="1"/>
  <c r="C765" i="1" a="1"/>
  <c r="C909" i="1" a="1"/>
  <c r="C960" i="1" a="1"/>
  <c r="C998" i="1" a="1"/>
  <c r="C1035" i="1" a="1"/>
  <c r="C1057" i="1" a="1"/>
  <c r="C1078" i="1" a="1"/>
  <c r="C1099" i="1" a="1"/>
  <c r="C1121" i="1" a="1"/>
  <c r="C1142" i="1" a="1"/>
  <c r="C1163" i="1" a="1"/>
  <c r="C1195" i="1" a="1"/>
  <c r="C1227" i="1" a="1"/>
  <c r="C1249" i="1" a="1"/>
  <c r="C1265" i="1" a="1"/>
  <c r="C1281" i="1" a="1"/>
  <c r="C98" i="1" a="1"/>
  <c r="C464" i="1" a="1"/>
  <c r="C613" i="1" a="1"/>
  <c r="C719" i="1" a="1"/>
  <c r="C782" i="1" a="1"/>
  <c r="C814" i="1" a="1"/>
  <c r="C846" i="1" a="1"/>
  <c r="C884" i="1" a="1"/>
  <c r="C922" i="1" a="1"/>
  <c r="C961" i="1" a="1"/>
  <c r="C1012" i="1" a="1"/>
  <c r="C1052" i="1" a="1"/>
  <c r="C1116" i="1" a="1"/>
  <c r="C1173" i="1" a="1"/>
  <c r="C1205" i="1" a="1"/>
  <c r="C1237" i="1" a="1"/>
  <c r="C534" i="1" a="1"/>
  <c r="C601" i="1" a="1"/>
  <c r="C677" i="1" a="1"/>
  <c r="C720" i="1" a="1"/>
  <c r="C766" i="1" a="1"/>
  <c r="C910" i="1" a="1"/>
  <c r="C949" i="1" a="1"/>
  <c r="C1000" i="1" a="1"/>
  <c r="C1037" i="1" a="1"/>
  <c r="C1058" i="1" a="1"/>
  <c r="C1079" i="1" a="1"/>
  <c r="C1101" i="1" a="1"/>
  <c r="C1122" i="1" a="1"/>
  <c r="C1143" i="1" a="1"/>
  <c r="C1169" i="1" a="1"/>
  <c r="C1201" i="1" a="1"/>
  <c r="C1233" i="1" a="1"/>
  <c r="C1254" i="1" a="1"/>
  <c r="C1270" i="1" a="1"/>
  <c r="C1286" i="1" a="1"/>
  <c r="C449" i="1" a="1"/>
  <c r="C723" i="1" a="1"/>
  <c r="C809" i="1" a="1"/>
  <c r="C873" i="1" a="1"/>
  <c r="C962" i="1" a="1"/>
  <c r="C1048" i="1" a="1"/>
  <c r="C1165" i="1" a="1"/>
  <c r="C1229" i="1" a="1"/>
  <c r="C1303" i="1" a="1"/>
  <c r="C1324" i="1" a="1"/>
  <c r="C1346" i="1" a="1"/>
  <c r="C1367" i="1" a="1"/>
  <c r="C1388" i="1" a="1"/>
  <c r="C1410" i="1" a="1"/>
  <c r="C1431" i="1" a="1"/>
  <c r="C1456" i="1" a="1"/>
  <c r="C1488" i="1" a="1"/>
  <c r="C1520" i="1" a="1"/>
  <c r="C1552" i="1" a="1"/>
  <c r="C1569" i="1" a="1"/>
  <c r="C1585" i="1" a="1"/>
  <c r="C1601" i="1" a="1"/>
  <c r="C1617" i="1" a="1"/>
  <c r="C1633" i="1" a="1"/>
  <c r="C1649" i="1" a="1"/>
  <c r="C1665" i="1" a="1"/>
  <c r="C1681" i="1" a="1"/>
  <c r="C1697" i="1" a="1"/>
  <c r="C1713" i="1" a="1"/>
  <c r="C1729" i="1" a="1"/>
  <c r="C1745" i="1" a="1"/>
  <c r="C1761" i="1" a="1"/>
  <c r="C577" i="1" a="1"/>
  <c r="C702" i="1" a="1"/>
  <c r="C912" i="1" a="1"/>
  <c r="C989" i="1" a="1"/>
  <c r="C1059" i="1" a="1"/>
  <c r="C1102" i="1" a="1"/>
  <c r="C1145" i="1" a="1"/>
  <c r="C1202" i="1" a="1"/>
  <c r="C1263" i="1" a="1"/>
  <c r="C1293" i="1" a="1"/>
  <c r="C1357" i="1" a="1"/>
  <c r="C1421" i="1" a="1"/>
  <c r="C1466" i="1" a="1"/>
  <c r="C1498" i="1" a="1"/>
  <c r="C1530" i="1" a="1"/>
  <c r="C66" i="1" a="1"/>
  <c r="C703" i="1" a="1"/>
  <c r="C794" i="1" a="1"/>
  <c r="C858" i="1" a="1"/>
  <c r="C938" i="1" a="1"/>
  <c r="C1028" i="1" a="1"/>
  <c r="C1156" i="1" a="1"/>
  <c r="C1221" i="1" a="1"/>
  <c r="C1299" i="1" a="1"/>
  <c r="C1320" i="1" a="1"/>
  <c r="C1342" i="1" a="1"/>
  <c r="C1363" i="1" a="1"/>
  <c r="C1384" i="1" a="1"/>
  <c r="C1406" i="1" a="1"/>
  <c r="C1427" i="1" a="1"/>
  <c r="C1448" i="1" a="1"/>
  <c r="C1480" i="1" a="1"/>
  <c r="C1512" i="1" a="1"/>
  <c r="C1544" i="1" a="1"/>
  <c r="C1566" i="1" a="1"/>
  <c r="C1582" i="1" a="1"/>
  <c r="C1598" i="1" a="1"/>
  <c r="C1614" i="1" a="1"/>
  <c r="C1630" i="1" a="1"/>
  <c r="C1646" i="1" a="1"/>
  <c r="C1662" i="1" a="1"/>
  <c r="C397" i="1" a="1"/>
  <c r="C608" i="1" a="1"/>
  <c r="C704" i="1" a="1"/>
  <c r="C926" i="1" a="1"/>
  <c r="C1016" i="1" a="1"/>
  <c r="C1061" i="1" a="1"/>
  <c r="C1103" i="1" a="1"/>
  <c r="C1146" i="1" a="1"/>
  <c r="C1194" i="1" a="1"/>
  <c r="C1256" i="1" a="1"/>
  <c r="C1288" i="1" a="1"/>
  <c r="C1353" i="1" a="1"/>
  <c r="C1417" i="1" a="1"/>
  <c r="C1467" i="1" a="1"/>
  <c r="C1499" i="1" a="1"/>
  <c r="C1531" i="1" a="1"/>
  <c r="C129" i="1" a="1"/>
  <c r="C817" i="1" a="1"/>
  <c r="C956" i="1" a="1"/>
  <c r="C1197" i="1" a="1"/>
  <c r="C1316" i="1" a="1"/>
  <c r="C1359" i="1" a="1"/>
  <c r="C1402" i="1" a="1"/>
  <c r="C1444" i="1" a="1"/>
  <c r="C1509" i="1" a="1"/>
  <c r="C1563" i="1" a="1"/>
  <c r="C1595" i="1" a="1"/>
  <c r="C1627" i="1" a="1"/>
  <c r="C1659" i="1" a="1"/>
  <c r="C1700" i="1" a="1"/>
  <c r="C1739" i="1" a="1"/>
  <c r="C1775" i="1" a="1"/>
  <c r="C1796" i="1" a="1"/>
  <c r="C1817" i="1" a="1"/>
  <c r="C1839" i="1" a="1"/>
  <c r="C1860" i="1" a="1"/>
  <c r="C560" i="1" a="1"/>
  <c r="C957" i="1" a="1"/>
  <c r="C1054" i="1" a="1"/>
  <c r="C1139" i="1" a="1"/>
  <c r="C1234" i="1" a="1"/>
  <c r="C1317" i="1" a="1"/>
  <c r="C1445" i="1" a="1"/>
  <c r="C1500" i="1" a="1"/>
  <c r="C1682" i="1" a="1"/>
  <c r="C1720" i="1" a="1"/>
  <c r="C1759" i="1" a="1"/>
  <c r="C1818" i="1" a="1"/>
  <c r="C1870" i="1" a="1"/>
  <c r="C1886" i="1" a="1"/>
  <c r="C1902" i="1" a="1"/>
  <c r="C1918" i="1" a="1"/>
  <c r="C1934" i="1" a="1"/>
  <c r="C1950" i="1" a="1"/>
  <c r="C1966" i="1" a="1"/>
  <c r="C1982" i="1" a="1"/>
  <c r="C1998" i="1" a="1"/>
  <c r="C2014" i="1" a="1"/>
  <c r="C2030" i="1" a="1"/>
  <c r="C670" i="1" a="1"/>
  <c r="C850" i="1" a="1"/>
  <c r="C1009" i="1" a="1"/>
  <c r="C1198" i="1" a="1"/>
  <c r="C1328" i="1" a="1"/>
  <c r="C1371" i="1" a="1"/>
  <c r="C2002" i="1" a="1"/>
  <c r="C881" i="1" a="1"/>
  <c r="C1382" i="1" a="1"/>
  <c r="C1424" i="1" a="1"/>
  <c r="C1464" i="1" a="1"/>
  <c r="C1528" i="1" a="1"/>
  <c r="C1588" i="1" a="1"/>
  <c r="C1620" i="1" a="1"/>
  <c r="C1652" i="1" a="1"/>
  <c r="C1683" i="1" a="1"/>
  <c r="C1734" i="1" a="1"/>
  <c r="C1771" i="1" a="1"/>
  <c r="C1792" i="1" a="1"/>
  <c r="C1813" i="1" a="1"/>
  <c r="C1835" i="1" a="1"/>
  <c r="C1856" i="1" a="1"/>
  <c r="C561" i="1" a="1"/>
  <c r="C958" i="1" a="1"/>
  <c r="C1077" i="1" a="1"/>
  <c r="C1162" i="1" a="1"/>
  <c r="C1268" i="1" a="1"/>
  <c r="C1361" i="1" a="1"/>
  <c r="C1474" i="1" a="1"/>
  <c r="C1538" i="1" a="1"/>
  <c r="C1696" i="1" a="1"/>
  <c r="C1735" i="1" a="1"/>
  <c r="C1782" i="1" a="1"/>
  <c r="C1846" i="1" a="1"/>
  <c r="C1875" i="1" a="1"/>
  <c r="C1891" i="1" a="1"/>
  <c r="C1907" i="1" a="1"/>
  <c r="C1923" i="1" a="1"/>
  <c r="C1939" i="1" a="1"/>
  <c r="C1955" i="1" a="1"/>
  <c r="C1971" i="1" a="1"/>
  <c r="C1987" i="1" a="1"/>
  <c r="C2003" i="1" a="1"/>
  <c r="C2019" i="1" a="1"/>
  <c r="C644" i="1" a="1"/>
  <c r="C1020" i="1" a="1"/>
  <c r="C1311" i="1" a="1"/>
  <c r="C1396" i="1" a="1"/>
  <c r="C1495" i="1" a="1"/>
  <c r="C1599" i="1" a="1"/>
  <c r="C1663" i="1" a="1"/>
  <c r="C1742" i="1" a="1"/>
  <c r="C1788" i="1" a="1"/>
  <c r="C1831" i="1" a="1"/>
  <c r="C2029" i="1" a="1"/>
  <c r="C2052" i="1" a="1"/>
  <c r="C2073" i="1" a="1"/>
  <c r="C2095" i="1" a="1"/>
  <c r="C2116" i="1" a="1"/>
  <c r="C2137" i="1" a="1"/>
  <c r="C2159" i="1" a="1"/>
  <c r="C2180" i="1" a="1"/>
  <c r="C2201" i="1" a="1"/>
  <c r="C2223" i="1" a="1"/>
  <c r="C2251" i="1" a="1"/>
  <c r="C2283" i="1" a="1"/>
  <c r="C2315" i="1" a="1"/>
  <c r="C2347" i="1" a="1"/>
  <c r="C2379" i="1" a="1"/>
  <c r="C1021" i="1" a="1"/>
  <c r="C1225" i="1" a="1"/>
  <c r="C1459" i="1" a="1"/>
  <c r="C1704" i="1" a="1"/>
  <c r="C1810" i="1" a="1"/>
  <c r="C1888" i="1" a="1"/>
  <c r="C1920" i="1" a="1"/>
  <c r="C1952" i="1" a="1"/>
  <c r="C1984" i="1" a="1"/>
  <c r="C2016" i="1" a="1"/>
  <c r="C2058" i="1" a="1"/>
  <c r="C2122" i="1" a="1"/>
  <c r="C2186" i="1" a="1"/>
  <c r="C2238" i="1" a="1"/>
  <c r="C2270" i="1" a="1"/>
  <c r="C2302" i="1" a="1"/>
  <c r="C2334" i="1" a="1"/>
  <c r="C2366" i="1" a="1"/>
  <c r="C2397" i="1" a="1"/>
  <c r="C2413" i="1" a="1"/>
  <c r="C2429" i="1" a="1"/>
  <c r="C2445" i="1" a="1"/>
  <c r="C2461" i="1" a="1"/>
  <c r="C2477" i="1" a="1"/>
  <c r="C2493" i="1" a="1"/>
  <c r="C2509" i="1" a="1"/>
  <c r="C2525" i="1" a="1"/>
  <c r="C2541" i="1" a="1"/>
  <c r="C2557" i="1" a="1"/>
  <c r="C2573" i="1" a="1"/>
  <c r="C2589" i="1" a="1"/>
  <c r="C2605" i="1" a="1"/>
  <c r="C2621" i="1" a="1"/>
  <c r="C2637" i="1" a="1"/>
  <c r="C2653" i="1" a="1"/>
  <c r="C2669" i="1" a="1"/>
  <c r="C2685" i="1" a="1"/>
  <c r="C2701" i="1" a="1"/>
  <c r="C2717" i="1" a="1"/>
  <c r="C2733" i="1" a="1"/>
  <c r="C2749" i="1" a="1"/>
  <c r="C2765" i="1" a="1"/>
  <c r="C2781" i="1" a="1"/>
  <c r="C2797" i="1" a="1"/>
  <c r="C2813" i="1" a="1"/>
  <c r="C2829" i="1" a="1"/>
  <c r="C2845" i="1" a="1"/>
  <c r="C2861" i="1" a="1"/>
  <c r="C258" i="1" a="1"/>
  <c r="C866" i="1" a="1"/>
  <c r="C1291" i="1" a="1"/>
  <c r="C1376" i="1" a="1"/>
  <c r="C1478" i="1" a="1"/>
  <c r="C1568" i="1" a="1"/>
  <c r="C1632" i="1" a="1"/>
  <c r="C1718" i="1" a="1"/>
  <c r="C1779" i="1" a="1"/>
  <c r="C1821" i="1" a="1"/>
  <c r="C1864" i="1" a="1"/>
  <c r="C2053" i="1" a="1"/>
  <c r="C2075" i="1" a="1"/>
  <c r="C2096" i="1" a="1"/>
  <c r="C2117" i="1" a="1"/>
  <c r="C2139" i="1" a="1"/>
  <c r="C2160" i="1" a="1"/>
  <c r="C2181" i="1" a="1"/>
  <c r="C2203" i="1" a="1"/>
  <c r="C2224" i="1" a="1"/>
  <c r="C2252" i="1" a="1"/>
  <c r="C2284" i="1" a="1"/>
  <c r="C2316" i="1" a="1"/>
  <c r="C2348" i="1" a="1"/>
  <c r="C2380" i="1" a="1"/>
  <c r="C1022" i="1" a="1"/>
  <c r="C1226" i="1" a="1"/>
  <c r="C1441" i="1" a="1"/>
  <c r="C1680" i="1" a="1"/>
  <c r="C1790" i="1" a="1"/>
  <c r="C1881" i="1" a="1"/>
  <c r="C1913" i="1" a="1"/>
  <c r="C1945" i="1" a="1"/>
  <c r="C1977" i="1" a="1"/>
  <c r="C2009" i="1" a="1"/>
  <c r="C2038" i="1" a="1"/>
  <c r="C2102" i="1" a="1"/>
  <c r="C2166" i="1" a="1"/>
  <c r="C2230" i="1" a="1"/>
  <c r="C2262" i="1" a="1"/>
  <c r="C2294" i="1" a="1"/>
  <c r="C2326" i="1" a="1"/>
  <c r="C2358" i="1" a="1"/>
  <c r="C2390" i="1" a="1"/>
  <c r="C2406" i="1" a="1"/>
  <c r="C2422" i="1" a="1"/>
  <c r="C2438" i="1" a="1"/>
  <c r="C2454" i="1" a="1"/>
  <c r="C2470" i="1" a="1"/>
  <c r="C2486" i="1" a="1"/>
  <c r="C2502" i="1" a="1"/>
  <c r="C2518" i="1" a="1"/>
  <c r="C2534" i="1" a="1"/>
  <c r="C2550" i="1" a="1"/>
  <c r="C2566" i="1" a="1"/>
  <c r="C2582" i="1" a="1"/>
  <c r="C2598" i="1" a="1"/>
  <c r="C2614" i="1" a="1"/>
  <c r="C2630" i="1" a="1"/>
  <c r="C2646" i="1" a="1"/>
  <c r="C2662" i="1" a="1"/>
  <c r="C2678" i="1" a="1"/>
  <c r="C2694" i="1" a="1"/>
  <c r="C2710" i="1" a="1"/>
  <c r="C2726" i="1" a="1"/>
  <c r="C691" i="1" a="1"/>
  <c r="C1322" i="1" a="1"/>
  <c r="C1559" i="1" a="1"/>
  <c r="C1684" i="1" a="1"/>
  <c r="C1825" i="1" a="1"/>
  <c r="C2049" i="1" a="1"/>
  <c r="C2092" i="1" a="1"/>
  <c r="C2135" i="1" a="1"/>
  <c r="C2177" i="1" a="1"/>
  <c r="C2220" i="1" a="1"/>
  <c r="C2285" i="1" a="1"/>
  <c r="C2349" i="1" a="1"/>
  <c r="C2763" i="1" a="1"/>
  <c r="C2802" i="1" a="1"/>
  <c r="C2852" i="1" a="1"/>
  <c r="C2883" i="1" a="1"/>
  <c r="C2904" i="1" a="1"/>
  <c r="C2926" i="1" a="1"/>
  <c r="C2947" i="1" a="1"/>
  <c r="C2968" i="1" a="1"/>
  <c r="C2990" i="1" a="1"/>
  <c r="C3011" i="1" a="1"/>
  <c r="C3032" i="1" a="1"/>
  <c r="C3054" i="1" a="1"/>
  <c r="C3075" i="1" a="1"/>
  <c r="C3096" i="1" a="1"/>
  <c r="C3118" i="1" a="1"/>
  <c r="C3139" i="1" a="1"/>
  <c r="C3160" i="1" a="1"/>
  <c r="C3182" i="1" a="1"/>
  <c r="C3203" i="1" a="1"/>
  <c r="C3224" i="1" a="1"/>
  <c r="C3250" i="1" a="1"/>
  <c r="C3282" i="1" a="1"/>
  <c r="C2934" i="1" a="1"/>
  <c r="C3115" i="1" a="1"/>
  <c r="C3206" i="1" a="1"/>
  <c r="C944" i="1" a="1"/>
  <c r="C1365" i="1" a="1"/>
  <c r="C1736" i="1" a="1"/>
  <c r="C1884" i="1" a="1"/>
  <c r="C1948" i="1" a="1"/>
  <c r="C2012" i="1" a="1"/>
  <c r="C2146" i="1" a="1"/>
  <c r="C2240" i="1" a="1"/>
  <c r="C2304" i="1" a="1"/>
  <c r="C2368" i="1" a="1"/>
  <c r="C2411" i="1" a="1"/>
  <c r="C2443" i="1" a="1"/>
  <c r="C2475" i="1" a="1"/>
  <c r="C2507" i="1" a="1"/>
  <c r="C2539" i="1" a="1"/>
  <c r="C2571" i="1" a="1"/>
  <c r="C2603" i="1" a="1"/>
  <c r="C2635" i="1" a="1"/>
  <c r="C2667" i="1" a="1"/>
  <c r="C2699" i="1" a="1"/>
  <c r="C2731" i="1" a="1"/>
  <c r="C2776" i="1" a="1"/>
  <c r="C2815" i="1" a="1"/>
  <c r="C2854" i="1" a="1"/>
  <c r="C2921" i="1" a="1"/>
  <c r="C2985" i="1" a="1"/>
  <c r="C3049" i="1" a="1"/>
  <c r="C3113" i="1" a="1"/>
  <c r="C3177" i="1" a="1"/>
  <c r="C3241" i="1" a="1"/>
  <c r="C3269" i="1" a="1"/>
  <c r="C3301" i="1" a="1"/>
  <c r="C3317" i="1" a="1"/>
  <c r="C3333" i="1" a="1"/>
  <c r="C3349" i="1" a="1"/>
  <c r="C3365" i="1" a="1"/>
  <c r="C3381" i="1" a="1"/>
  <c r="C3397" i="1" a="1"/>
  <c r="C3413" i="1" a="1"/>
  <c r="C3429" i="1" a="1"/>
  <c r="C3445" i="1" a="1"/>
  <c r="C3461" i="1" a="1"/>
  <c r="C2018" i="1" a="1"/>
  <c r="C1076" i="1" a="1"/>
  <c r="C1392" i="1" a="1"/>
  <c r="C1435" i="1" a="1"/>
  <c r="C1501" i="1" a="1"/>
  <c r="C1564" i="1" a="1"/>
  <c r="C1596" i="1" a="1"/>
  <c r="C1628" i="1" a="1"/>
  <c r="C1660" i="1" a="1"/>
  <c r="C1702" i="1" a="1"/>
  <c r="C1740" i="1" a="1"/>
  <c r="C1776" i="1" a="1"/>
  <c r="C1797" i="1" a="1"/>
  <c r="C1819" i="1" a="1"/>
  <c r="C1840" i="1" a="1"/>
  <c r="C1861" i="1" a="1"/>
  <c r="C672" i="1" a="1"/>
  <c r="C984" i="1" a="1"/>
  <c r="C1098" i="1" a="1"/>
  <c r="C1217" i="1" a="1"/>
  <c r="C1284" i="1" a="1"/>
  <c r="C1393" i="1" a="1"/>
  <c r="C1483" i="1" a="1"/>
  <c r="C1547" i="1" a="1"/>
  <c r="C1703" i="1" a="1"/>
  <c r="C1754" i="1" a="1"/>
  <c r="C1798" i="1" a="1"/>
  <c r="C1862" i="1" a="1"/>
  <c r="C1879" i="1" a="1"/>
  <c r="C1895" i="1" a="1"/>
  <c r="C1911" i="1" a="1"/>
  <c r="C1927" i="1" a="1"/>
  <c r="C1943" i="1" a="1"/>
  <c r="C1959" i="1" a="1"/>
  <c r="C1975" i="1" a="1"/>
  <c r="C1991" i="1" a="1"/>
  <c r="C2007" i="1" a="1"/>
  <c r="C2023" i="1" a="1"/>
  <c r="C801" i="1" a="1"/>
  <c r="C1064" i="1" a="1"/>
  <c r="C1332" i="1" a="1"/>
  <c r="C1418" i="1" a="1"/>
  <c r="C1550" i="1" a="1"/>
  <c r="C1615" i="1" a="1"/>
  <c r="C1678" i="1" a="1"/>
  <c r="C1755" i="1" a="1"/>
  <c r="C1799" i="1" a="1"/>
  <c r="C1841" i="1" a="1"/>
  <c r="C2036" i="1" a="1"/>
  <c r="C2057" i="1" a="1"/>
  <c r="C2079" i="1" a="1"/>
  <c r="C2100" i="1" a="1"/>
  <c r="C2121" i="1" a="1"/>
  <c r="C2143" i="1" a="1"/>
  <c r="C2164" i="1" a="1"/>
  <c r="C2185" i="1" a="1"/>
  <c r="C2207" i="1" a="1"/>
  <c r="C2228" i="1" a="1"/>
  <c r="C2260" i="1" a="1"/>
  <c r="C2292" i="1" a="1"/>
  <c r="C2324" i="1" a="1"/>
  <c r="C2356" i="1" a="1"/>
  <c r="C2388" i="1" a="1"/>
  <c r="C1065" i="1" a="1"/>
  <c r="C1259" i="1" a="1"/>
  <c r="C1514" i="1" a="1"/>
  <c r="C1730" i="1" a="1"/>
  <c r="C1842" i="1" a="1"/>
  <c r="C1896" i="1" a="1"/>
  <c r="C1928" i="1" a="1"/>
  <c r="C1960" i="1" a="1"/>
  <c r="C1992" i="1" a="1"/>
  <c r="C2024" i="1" a="1"/>
  <c r="C2074" i="1" a="1"/>
  <c r="C2138" i="1" a="1"/>
  <c r="C2202" i="1" a="1"/>
  <c r="C2247" i="1" a="1"/>
  <c r="C2279" i="1" a="1"/>
  <c r="C2311" i="1" a="1"/>
  <c r="C2343" i="1" a="1"/>
  <c r="C2375" i="1" a="1"/>
  <c r="C2401" i="1" a="1"/>
  <c r="C2417" i="1" a="1"/>
  <c r="C2433" i="1" a="1"/>
  <c r="C2449" i="1" a="1"/>
  <c r="C2465" i="1" a="1"/>
  <c r="C2481" i="1" a="1"/>
  <c r="C2497" i="1" a="1"/>
  <c r="C2513" i="1" a="1"/>
  <c r="C2529" i="1" a="1"/>
  <c r="C2545" i="1" a="1"/>
  <c r="C2561" i="1" a="1"/>
  <c r="C2577" i="1" a="1"/>
  <c r="C2593" i="1" a="1"/>
  <c r="C2609" i="1" a="1"/>
  <c r="C2625" i="1" a="1"/>
  <c r="C2641" i="1" a="1"/>
  <c r="C2657" i="1" a="1"/>
  <c r="C2673" i="1" a="1"/>
  <c r="C2689" i="1" a="1"/>
  <c r="C2705" i="1" a="1"/>
  <c r="C2721" i="1" a="1"/>
  <c r="C2737" i="1" a="1"/>
  <c r="C2753" i="1" a="1"/>
  <c r="C2769" i="1" a="1"/>
  <c r="C2785" i="1" a="1"/>
  <c r="C2801" i="1" a="1"/>
  <c r="C2817" i="1" a="1"/>
  <c r="C2833" i="1" a="1"/>
  <c r="C2849" i="1" a="1"/>
  <c r="C2865" i="1" a="1"/>
  <c r="C524" i="1" a="1"/>
  <c r="C970" i="1" a="1"/>
  <c r="C1312" i="1" a="1"/>
  <c r="C1398" i="1" a="1"/>
  <c r="C1496" i="1" a="1"/>
  <c r="C1584" i="1" a="1"/>
  <c r="C1648" i="1" a="1"/>
  <c r="C1731" i="1" a="1"/>
  <c r="C1789" i="1" a="1"/>
  <c r="C1832" i="1" a="1"/>
  <c r="C2037" i="1" a="1"/>
  <c r="C2059" i="1" a="1"/>
  <c r="C2080" i="1" a="1"/>
  <c r="C2101" i="1" a="1"/>
  <c r="C2123" i="1" a="1"/>
  <c r="C2144" i="1" a="1"/>
  <c r="C2165" i="1" a="1"/>
  <c r="C2187" i="1" a="1"/>
  <c r="C2208" i="1" a="1"/>
  <c r="C2229" i="1" a="1"/>
  <c r="C2261" i="1" a="1"/>
  <c r="C2293" i="1" a="1"/>
  <c r="C2325" i="1" a="1"/>
  <c r="C2357" i="1" a="1"/>
  <c r="C2389" i="1" a="1"/>
  <c r="C1066" i="1" a="1"/>
  <c r="C1260" i="1" a="1"/>
  <c r="C1460" i="1" a="1"/>
  <c r="C1706" i="1" a="1"/>
  <c r="C1822" i="1" a="1"/>
  <c r="C1889" i="1" a="1"/>
  <c r="C1921" i="1" a="1"/>
  <c r="C1953" i="1" a="1"/>
  <c r="C1985" i="1" a="1"/>
  <c r="C2017" i="1" a="1"/>
  <c r="C2054" i="1" a="1"/>
  <c r="C2118" i="1" a="1"/>
  <c r="C2182" i="1" a="1"/>
  <c r="C2239" i="1" a="1"/>
  <c r="C2271" i="1" a="1"/>
  <c r="C2303" i="1" a="1"/>
  <c r="C2335" i="1" a="1"/>
  <c r="C2367" i="1" a="1"/>
  <c r="C2394" i="1" a="1"/>
  <c r="C2410" i="1" a="1"/>
  <c r="C2426" i="1" a="1"/>
  <c r="C2442" i="1" a="1"/>
  <c r="C2458" i="1" a="1"/>
  <c r="C2474" i="1" a="1"/>
  <c r="C2490" i="1" a="1"/>
  <c r="C2506" i="1" a="1"/>
  <c r="C2522" i="1" a="1"/>
  <c r="C2538" i="1" a="1"/>
  <c r="C2554" i="1" a="1"/>
  <c r="C2570" i="1" a="1"/>
  <c r="C2586" i="1" a="1"/>
  <c r="C2602" i="1" a="1"/>
  <c r="C2618" i="1" a="1"/>
  <c r="C2634" i="1" a="1"/>
  <c r="C2650" i="1" a="1"/>
  <c r="C2666" i="1" a="1"/>
  <c r="C2682" i="1" a="1"/>
  <c r="C2698" i="1" a="1"/>
  <c r="C2714" i="1" a="1"/>
  <c r="C2730" i="1" a="1"/>
  <c r="C833" i="1" a="1"/>
  <c r="C1364" i="1" a="1"/>
  <c r="C1591" i="1" a="1"/>
  <c r="C1710" i="1" a="1"/>
  <c r="C1847" i="1" a="1"/>
  <c r="C2060" i="1" a="1"/>
  <c r="C2103" i="1" a="1"/>
  <c r="C2145" i="1" a="1"/>
  <c r="C2188" i="1" a="1"/>
  <c r="C2258" i="1" a="1"/>
  <c r="C2322" i="1" a="1"/>
  <c r="C2386" i="1" a="1"/>
  <c r="C2770" i="1" a="1"/>
  <c r="C2820" i="1" a="1"/>
  <c r="C2859" i="1" a="1"/>
  <c r="C2888" i="1" a="1"/>
  <c r="C2910" i="1" a="1"/>
  <c r="C2931" i="1" a="1"/>
  <c r="C2952" i="1" a="1"/>
  <c r="C2974" i="1" a="1"/>
  <c r="C2995" i="1" a="1"/>
  <c r="C3016" i="1" a="1"/>
  <c r="C3038" i="1" a="1"/>
  <c r="C3059" i="1" a="1"/>
  <c r="C3080" i="1" a="1"/>
  <c r="C3102" i="1" a="1"/>
  <c r="C3123" i="1" a="1"/>
  <c r="C3144" i="1" a="1"/>
  <c r="C3166" i="1" a="1"/>
  <c r="C3187" i="1" a="1"/>
  <c r="C3208" i="1" a="1"/>
  <c r="C3230" i="1" a="1"/>
  <c r="C3259" i="1" a="1"/>
  <c r="C3291" i="1" a="1"/>
  <c r="C3040" i="1" a="1"/>
  <c r="C3136" i="1" a="1"/>
  <c r="C3227" i="1" a="1"/>
  <c r="C1043" i="1" a="1"/>
  <c r="C1450" i="1" a="1"/>
  <c r="C1762" i="1" a="1"/>
  <c r="C1900" i="1" a="1"/>
  <c r="C1964" i="1" a="1"/>
  <c r="C2050" i="1" a="1"/>
  <c r="C2178" i="1" a="1"/>
  <c r="C2249" i="1" a="1"/>
  <c r="C2313" i="1" a="1"/>
  <c r="C2377" i="1" a="1"/>
  <c r="C2419" i="1" a="1"/>
  <c r="C2451" i="1" a="1"/>
  <c r="C2483" i="1" a="1"/>
  <c r="C2515" i="1" a="1"/>
  <c r="C2547" i="1" a="1"/>
  <c r="C2579" i="1" a="1"/>
  <c r="C2611" i="1" a="1"/>
  <c r="C2643" i="1" a="1"/>
  <c r="C2675" i="1" a="1"/>
  <c r="C2707" i="1" a="1"/>
  <c r="C2744" i="1" a="1"/>
  <c r="C2783" i="1" a="1"/>
  <c r="C2822" i="1" a="1"/>
  <c r="C2872" i="1" a="1"/>
  <c r="C2937" i="1" a="1"/>
  <c r="C3001" i="1" a="1"/>
  <c r="C3065" i="1" a="1"/>
  <c r="C3129" i="1" a="1"/>
  <c r="C3193" i="1" a="1"/>
  <c r="C3246" i="1" a="1"/>
  <c r="C3278" i="1" a="1"/>
  <c r="C3305" i="1" a="1"/>
  <c r="C3321" i="1" a="1"/>
  <c r="C3337" i="1" a="1"/>
  <c r="C3353" i="1" a="1"/>
  <c r="C3369" i="1" a="1"/>
  <c r="C3385" i="1" a="1"/>
  <c r="C3401" i="1" a="1"/>
  <c r="C3417" i="1" a="1"/>
  <c r="C3433" i="1" a="1"/>
  <c r="C3449" i="1" a="1"/>
  <c r="C3465" i="1" a="1"/>
  <c r="C2034" i="1" a="1"/>
  <c r="C1296" i="1" a="1"/>
  <c r="C1403" i="1" a="1"/>
  <c r="C1446" i="1" a="1"/>
  <c r="C1510" i="1" a="1"/>
  <c r="C1572" i="1" a="1"/>
  <c r="C1604" i="1" a="1"/>
  <c r="C1636" i="1" a="1"/>
  <c r="C1668" i="1" a="1"/>
  <c r="C1708" i="1" a="1"/>
  <c r="C1747" i="1" a="1"/>
  <c r="C1781" i="1" a="1"/>
  <c r="C1803" i="1" a="1"/>
  <c r="C1824" i="1" a="1"/>
  <c r="C1845" i="1" a="1"/>
  <c r="C365" i="1" a="1"/>
  <c r="C714" i="1" a="1"/>
  <c r="C1034" i="1" a="1"/>
  <c r="C1119" i="1" a="1"/>
  <c r="C1235" i="1" a="1"/>
  <c r="C1297" i="1" a="1"/>
  <c r="C1425" i="1" a="1"/>
  <c r="C1492" i="1" a="1"/>
  <c r="C1556" i="1" a="1"/>
  <c r="C1722" i="1" a="1"/>
  <c r="C1760" i="1" a="1"/>
  <c r="C1814" i="1" a="1"/>
  <c r="C1867" i="1" a="1"/>
  <c r="C1883" i="1" a="1"/>
  <c r="C1899" i="1" a="1"/>
  <c r="C1915" i="1" a="1"/>
  <c r="C1931" i="1" a="1"/>
  <c r="C1947" i="1" a="1"/>
  <c r="C1963" i="1" a="1"/>
  <c r="C1979" i="1" a="1"/>
  <c r="C1995" i="1" a="1"/>
  <c r="C2011" i="1" a="1"/>
  <c r="C257" i="1" a="1"/>
  <c r="C865" i="1" a="1"/>
  <c r="C1188" i="1" a="1"/>
  <c r="C1354" i="1" a="1"/>
  <c r="C1439" i="1" a="1"/>
  <c r="C1567" i="1" a="1"/>
  <c r="C1631" i="1" a="1"/>
  <c r="C1691" i="1" a="1"/>
  <c r="C1767" i="1" a="1"/>
  <c r="C1809" i="1" a="1"/>
  <c r="C1852" i="1" a="1"/>
  <c r="C2041" i="1" a="1"/>
  <c r="C2063" i="1" a="1"/>
  <c r="C2084" i="1" a="1"/>
  <c r="C2105" i="1" a="1"/>
  <c r="C2127" i="1" a="1"/>
  <c r="C2148" i="1" a="1"/>
  <c r="C2169" i="1" a="1"/>
  <c r="C2191" i="1" a="1"/>
  <c r="C2212" i="1" a="1"/>
  <c r="C2237" i="1" a="1"/>
  <c r="C2269" i="1" a="1"/>
  <c r="C2301" i="1" a="1"/>
  <c r="C2333" i="1" a="1"/>
  <c r="C2365" i="1" a="1"/>
  <c r="C733" i="1" a="1"/>
  <c r="C1107" i="1" a="1"/>
  <c r="C1333" i="1" a="1"/>
  <c r="C1532" i="1" a="1"/>
  <c r="C1743" i="1" a="1"/>
  <c r="C1872" i="1" a="1"/>
  <c r="C1904" i="1" a="1"/>
  <c r="C1936" i="1" a="1"/>
  <c r="C1968" i="1" a="1"/>
  <c r="C2000" i="1" a="1"/>
  <c r="C2031" i="1" a="1"/>
  <c r="C2090" i="1" a="1"/>
  <c r="C2154" i="1" a="1"/>
  <c r="C2218" i="1" a="1"/>
  <c r="C2256" i="1" a="1"/>
  <c r="C2288" i="1" a="1"/>
  <c r="C2320" i="1" a="1"/>
  <c r="C2352" i="1" a="1"/>
  <c r="C2384" i="1" a="1"/>
  <c r="C2405" i="1" a="1"/>
  <c r="C2421" i="1" a="1"/>
  <c r="C2437" i="1" a="1"/>
  <c r="C2453" i="1" a="1"/>
  <c r="C2469" i="1" a="1"/>
  <c r="C2485" i="1" a="1"/>
  <c r="C2501" i="1" a="1"/>
  <c r="C2517" i="1" a="1"/>
  <c r="C2533" i="1" a="1"/>
  <c r="C2549" i="1" a="1"/>
  <c r="C2565" i="1" a="1"/>
  <c r="C2581" i="1" a="1"/>
  <c r="C2597" i="1" a="1"/>
  <c r="C2613" i="1" a="1"/>
  <c r="C2629" i="1" a="1"/>
  <c r="C2645" i="1" a="1"/>
  <c r="C2661" i="1" a="1"/>
  <c r="C2677" i="1" a="1"/>
  <c r="C2693" i="1" a="1"/>
  <c r="C2709" i="1" a="1"/>
  <c r="C2725" i="1" a="1"/>
  <c r="C2741" i="1" a="1"/>
  <c r="C2757" i="1" a="1"/>
  <c r="C2773" i="1" a="1"/>
  <c r="C2789" i="1" a="1"/>
  <c r="C2805" i="1" a="1"/>
  <c r="C2821" i="1" a="1"/>
  <c r="C2837" i="1" a="1"/>
  <c r="C2853" i="1" a="1"/>
  <c r="C2869" i="1" a="1"/>
  <c r="C645" i="1" a="1"/>
  <c r="C1108" i="1" a="1"/>
  <c r="C1334" i="1" a="1"/>
  <c r="C1419" i="1" a="1"/>
  <c r="C1533" i="1" a="1"/>
  <c r="C1600" i="1" a="1"/>
  <c r="C1664" i="1" a="1"/>
  <c r="C1756" i="1" a="1"/>
  <c r="C1800" i="1" a="1"/>
  <c r="C1843" i="1" a="1"/>
  <c r="C2043" i="1" a="1"/>
  <c r="C2064" i="1" a="1"/>
  <c r="C2085" i="1" a="1"/>
  <c r="C2107" i="1" a="1"/>
  <c r="C2128" i="1" a="1"/>
  <c r="C2149" i="1" a="1"/>
  <c r="C2171" i="1" a="1"/>
  <c r="C2192" i="1" a="1"/>
  <c r="C2213" i="1" a="1"/>
  <c r="C2234" i="1" a="1"/>
  <c r="C2266" i="1" a="1"/>
  <c r="C2298" i="1" a="1"/>
  <c r="C2330" i="1" a="1"/>
  <c r="C2362" i="1" a="1"/>
  <c r="C734" i="1" a="1"/>
  <c r="C1109" i="1" a="1"/>
  <c r="C1313" i="1" a="1"/>
  <c r="C1497" i="1" a="1"/>
  <c r="C1719" i="1" a="1"/>
  <c r="C1854" i="1" a="1"/>
  <c r="C1897" i="1" a="1"/>
  <c r="C1929" i="1" a="1"/>
  <c r="C1961" i="1" a="1"/>
  <c r="C1993" i="1" a="1"/>
  <c r="C2025" i="1" a="1"/>
  <c r="C2070" i="1" a="1"/>
  <c r="C2134" i="1" a="1"/>
  <c r="C2198" i="1" a="1"/>
  <c r="C2248" i="1" a="1"/>
  <c r="C2280" i="1" a="1"/>
  <c r="C2312" i="1" a="1"/>
  <c r="C2344" i="1" a="1"/>
  <c r="C2376" i="1" a="1"/>
  <c r="C2398" i="1" a="1"/>
  <c r="C2414" i="1" a="1"/>
  <c r="C2430" i="1" a="1"/>
  <c r="C2446" i="1" a="1"/>
  <c r="C2462" i="1" a="1"/>
  <c r="C2478" i="1" a="1"/>
  <c r="C2494" i="1" a="1"/>
  <c r="C2510" i="1" a="1"/>
  <c r="C2526" i="1" a="1"/>
  <c r="C2542" i="1" a="1"/>
  <c r="C2558" i="1" a="1"/>
  <c r="C2574" i="1" a="1"/>
  <c r="C2590" i="1" a="1"/>
  <c r="C2606" i="1" a="1"/>
  <c r="C2622" i="1" a="1"/>
  <c r="C2638" i="1" a="1"/>
  <c r="C2654" i="1" a="1"/>
  <c r="C2670" i="1" a="1"/>
  <c r="C2686" i="1" a="1"/>
  <c r="C2702" i="1" a="1"/>
  <c r="C2718" i="1" a="1"/>
  <c r="C2734" i="1" a="1"/>
  <c r="C1128" i="1" a="1"/>
  <c r="C1407" i="1" a="1"/>
  <c r="C1623" i="1" a="1"/>
  <c r="C1783" i="1" a="1"/>
  <c r="C2027" i="1" a="1"/>
  <c r="C2071" i="1" a="1"/>
  <c r="C2113" i="1" a="1"/>
  <c r="C2156" i="1" a="1"/>
  <c r="C2199" i="1" a="1"/>
  <c r="C2267" i="1" a="1"/>
  <c r="C2331" i="1" a="1"/>
  <c r="C2738" i="1" a="1"/>
  <c r="C2788" i="1" a="1"/>
  <c r="C2827" i="1" a="1"/>
  <c r="C2866" i="1" a="1"/>
  <c r="C2894" i="1" a="1"/>
  <c r="C2915" i="1" a="1"/>
  <c r="C2936" i="1" a="1"/>
  <c r="C2958" i="1" a="1"/>
  <c r="C2979" i="1" a="1"/>
  <c r="C3000" i="1" a="1"/>
  <c r="C3022" i="1" a="1"/>
  <c r="C3043" i="1" a="1"/>
  <c r="C3064" i="1" a="1"/>
  <c r="C3086" i="1" a="1"/>
  <c r="C3107" i="1" a="1"/>
  <c r="C3128" i="1" a="1"/>
  <c r="C3150" i="1" a="1"/>
  <c r="C3171" i="1" a="1"/>
  <c r="C3192" i="1" a="1"/>
  <c r="C3214" i="1" a="1"/>
  <c r="C3235" i="1" a="1"/>
  <c r="C3268" i="1" a="1"/>
  <c r="C3300" i="1" a="1"/>
  <c r="C3072" i="1" a="1"/>
  <c r="C3163" i="1" a="1"/>
  <c r="C3252" i="1" a="1"/>
  <c r="C1129" i="1" a="1"/>
  <c r="C1523" i="1" a="1"/>
  <c r="C1826" i="1" a="1"/>
  <c r="C1916" i="1" a="1"/>
  <c r="C1980" i="1" a="1"/>
  <c r="C2082" i="1" a="1"/>
  <c r="C2210" i="1" a="1"/>
  <c r="C2286" i="1" a="1"/>
  <c r="C2350" i="1" a="1"/>
  <c r="C2395" i="1" a="1"/>
  <c r="C2427" i="1" a="1"/>
  <c r="C2459" i="1" a="1"/>
  <c r="C2491" i="1" a="1"/>
  <c r="C2523" i="1" a="1"/>
  <c r="C2555" i="1" a="1"/>
  <c r="C2587" i="1" a="1"/>
  <c r="C2619" i="1" a="1"/>
  <c r="C2651" i="1" a="1"/>
  <c r="C2683" i="1" a="1"/>
  <c r="C2715" i="1" a="1"/>
  <c r="C2751" i="1" a="1"/>
  <c r="C2790" i="1" a="1"/>
  <c r="C2840" i="1" a="1"/>
  <c r="C2889" i="1" a="1"/>
  <c r="C2953" i="1" a="1"/>
  <c r="C3017" i="1" a="1"/>
  <c r="C3081" i="1" a="1"/>
  <c r="C3145" i="1" a="1"/>
  <c r="C3209" i="1" a="1"/>
  <c r="C3255" i="1" a="1"/>
  <c r="C3287" i="1" a="1"/>
  <c r="C3309" i="1" a="1"/>
  <c r="C3325" i="1" a="1"/>
  <c r="C3341" i="1" a="1"/>
  <c r="C3357" i="1" a="1"/>
  <c r="C3373" i="1" a="1"/>
  <c r="C3389" i="1" a="1"/>
  <c r="C3405" i="1" a="1"/>
  <c r="C3421" i="1" a="1"/>
  <c r="C3437" i="1" a="1"/>
  <c r="C3453" i="1" a="1"/>
  <c r="C3469" i="1" a="1"/>
  <c r="C752" i="1" a="1"/>
  <c r="C1339" i="1" a="1"/>
  <c r="C1414" i="1" a="1"/>
  <c r="C1455" i="1" a="1"/>
  <c r="C1519" i="1" a="1"/>
  <c r="C1580" i="1" a="1"/>
  <c r="C1612" i="1" a="1"/>
  <c r="C1644" i="1" a="1"/>
  <c r="C1676" i="1" a="1"/>
  <c r="C1715" i="1" a="1"/>
  <c r="C1765" i="1" a="1"/>
  <c r="C1787" i="1" a="1"/>
  <c r="C1808" i="1" a="1"/>
  <c r="C1829" i="1" a="1"/>
  <c r="C1851" i="1" a="1"/>
  <c r="C477" i="1" a="1"/>
  <c r="C933" i="1" a="1"/>
  <c r="C1055" i="1" a="1"/>
  <c r="C1141" i="1" a="1"/>
  <c r="C1252" i="1" a="1"/>
  <c r="C1329" i="1" a="1"/>
  <c r="C1465" i="1" a="1"/>
  <c r="C1529" i="1" a="1"/>
  <c r="C1690" i="1" a="1"/>
  <c r="C1728" i="1" a="1"/>
  <c r="C1766" i="1" a="1"/>
  <c r="C1830" i="1" a="1"/>
  <c r="C1871" i="1" a="1"/>
  <c r="C1887" i="1" a="1"/>
  <c r="C1903" i="1" a="1"/>
  <c r="C1919" i="1" a="1"/>
  <c r="C1935" i="1" a="1"/>
  <c r="C1951" i="1" a="1"/>
  <c r="C1967" i="1" a="1"/>
  <c r="C1983" i="1" a="1"/>
  <c r="C1999" i="1" a="1"/>
  <c r="C2015" i="1" a="1"/>
  <c r="C523" i="1" a="1"/>
  <c r="C969" i="1" a="1"/>
  <c r="C1290" i="1" a="1"/>
  <c r="C1375" i="1" a="1"/>
  <c r="C1477" i="1" a="1"/>
  <c r="C1583" i="1" a="1"/>
  <c r="C1647" i="1" a="1"/>
  <c r="C1716" i="1" a="1"/>
  <c r="C1777" i="1" a="1"/>
  <c r="C1820" i="1" a="1"/>
  <c r="C1863" i="1" a="1"/>
  <c r="C2047" i="1" a="1"/>
  <c r="C2068" i="1" a="1"/>
  <c r="C2089" i="1" a="1"/>
  <c r="C2111" i="1" a="1"/>
  <c r="C2132" i="1" a="1"/>
  <c r="C2153" i="1" a="1"/>
  <c r="C2175" i="1" a="1"/>
  <c r="C2196" i="1" a="1"/>
  <c r="C2217" i="1" a="1"/>
  <c r="C2242" i="1" a="1"/>
  <c r="C2274" i="1" a="1"/>
  <c r="C2306" i="1" a="1"/>
  <c r="C2338" i="1" a="1"/>
  <c r="C2370" i="1" a="1"/>
  <c r="C918" i="1" a="1"/>
  <c r="C1150" i="1" a="1"/>
  <c r="C1397" i="1" a="1"/>
  <c r="C1679" i="1" a="1"/>
  <c r="C1778" i="1" a="1"/>
  <c r="C1880" i="1" a="1"/>
  <c r="C1912" i="1" a="1"/>
  <c r="C1944" i="1" a="1"/>
  <c r="C1976" i="1" a="1"/>
  <c r="C2008" i="1" a="1"/>
  <c r="C2042" i="1" a="1"/>
  <c r="C2106" i="1" a="1"/>
  <c r="C2170" i="1" a="1"/>
  <c r="C2233" i="1" a="1"/>
  <c r="C2265" i="1" a="1"/>
  <c r="C2297" i="1" a="1"/>
  <c r="C2329" i="1" a="1"/>
  <c r="C2361" i="1" a="1"/>
  <c r="C2393" i="1" a="1"/>
  <c r="C2409" i="1" a="1"/>
  <c r="C2425" i="1" a="1"/>
  <c r="C2441" i="1" a="1"/>
  <c r="C2457" i="1" a="1"/>
  <c r="C2473" i="1" a="1"/>
  <c r="C2489" i="1" a="1"/>
  <c r="C2505" i="1" a="1"/>
  <c r="C2521" i="1" a="1"/>
  <c r="C2537" i="1" a="1"/>
  <c r="C2553" i="1" a="1"/>
  <c r="C2569" i="1" a="1"/>
  <c r="C2585" i="1" a="1"/>
  <c r="C2601" i="1" a="1"/>
  <c r="C2617" i="1" a="1"/>
  <c r="C2633" i="1" a="1"/>
  <c r="C2649" i="1" a="1"/>
  <c r="C2665" i="1" a="1"/>
  <c r="C2681" i="1" a="1"/>
  <c r="C2697" i="1" a="1"/>
  <c r="C2713" i="1" a="1"/>
  <c r="C2729" i="1" a="1"/>
  <c r="C2745" i="1" a="1"/>
  <c r="C2761" i="1" a="1"/>
  <c r="C2777" i="1" a="1"/>
  <c r="C2793" i="1" a="1"/>
  <c r="C2809" i="1" a="1"/>
  <c r="C2825" i="1" a="1"/>
  <c r="C2841" i="1" a="1"/>
  <c r="C2857" i="1" a="1"/>
  <c r="C2873" i="1" a="1"/>
  <c r="C802" i="1" a="1"/>
  <c r="C1189" i="1" a="1"/>
  <c r="C1355" i="1" a="1"/>
  <c r="C1440" i="1" a="1"/>
  <c r="C1551" i="1" a="1"/>
  <c r="C1616" i="1" a="1"/>
  <c r="C1692" i="1" a="1"/>
  <c r="C1768" i="1" a="1"/>
  <c r="C1811" i="1" a="1"/>
  <c r="C1853" i="1" a="1"/>
  <c r="C2048" i="1" a="1"/>
  <c r="C2069" i="1" a="1"/>
  <c r="C2091" i="1" a="1"/>
  <c r="C2112" i="1" a="1"/>
  <c r="C2133" i="1" a="1"/>
  <c r="C2155" i="1" a="1"/>
  <c r="C2176" i="1" a="1"/>
  <c r="C2197" i="1" a="1"/>
  <c r="C2219" i="1" a="1"/>
  <c r="C2243" i="1" a="1"/>
  <c r="C2275" i="1" a="1"/>
  <c r="C2307" i="1" a="1"/>
  <c r="C2339" i="1" a="1"/>
  <c r="C2371" i="1" a="1"/>
  <c r="C920" i="1" a="1"/>
  <c r="C1151" i="1" a="1"/>
  <c r="C1377" i="1" a="1"/>
  <c r="C1515" i="1" a="1"/>
  <c r="C1744" i="1" a="1"/>
  <c r="C1873" i="1" a="1"/>
  <c r="C1905" i="1" a="1"/>
  <c r="C1937" i="1" a="1"/>
  <c r="C1969" i="1" a="1"/>
  <c r="C2001" i="1" a="1"/>
  <c r="C2032" i="1" a="1"/>
  <c r="C2086" i="1" a="1"/>
  <c r="C2150" i="1" a="1"/>
  <c r="C2214" i="1" a="1"/>
  <c r="C2257" i="1" a="1"/>
  <c r="C2289" i="1" a="1"/>
  <c r="C2321" i="1" a="1"/>
  <c r="C2353" i="1" a="1"/>
  <c r="C2385" i="1" a="1"/>
  <c r="C2402" i="1" a="1"/>
  <c r="C2418" i="1" a="1"/>
  <c r="C2434" i="1" a="1"/>
  <c r="C2450" i="1" a="1"/>
  <c r="C2466" i="1" a="1"/>
  <c r="C2482" i="1" a="1"/>
  <c r="C2498" i="1" a="1"/>
  <c r="C2514" i="1" a="1"/>
  <c r="C2530" i="1" a="1"/>
  <c r="C2546" i="1" a="1"/>
  <c r="C2562" i="1" a="1"/>
  <c r="C2578" i="1" a="1"/>
  <c r="C2594" i="1" a="1"/>
  <c r="C2610" i="1" a="1"/>
  <c r="C2626" i="1" a="1"/>
  <c r="C2642" i="1" a="1"/>
  <c r="C2658" i="1" a="1"/>
  <c r="C2674" i="1" a="1"/>
  <c r="C2690" i="1" a="1"/>
  <c r="C2706" i="1" a="1"/>
  <c r="C2722" i="1" a="1"/>
  <c r="C424" i="1" a="1"/>
  <c r="C1206" i="1" a="1"/>
  <c r="C1486" i="1" a="1"/>
  <c r="C1655" i="1" a="1"/>
  <c r="C1804" i="1" a="1"/>
  <c r="C2039" i="1" a="1"/>
  <c r="C2081" i="1" a="1"/>
  <c r="C2124" i="1" a="1"/>
  <c r="C2167" i="1" a="1"/>
  <c r="C2209" i="1" a="1"/>
  <c r="C2276" i="1" a="1"/>
  <c r="C2340" i="1" a="1"/>
  <c r="C2756" i="1" a="1"/>
  <c r="C2795" i="1" a="1"/>
  <c r="C2834" i="1" a="1"/>
  <c r="C2878" i="1" a="1"/>
  <c r="C2899" i="1" a="1"/>
  <c r="C2920" i="1" a="1"/>
  <c r="C2942" i="1" a="1"/>
  <c r="C2963" i="1" a="1"/>
  <c r="C2984" i="1" a="1"/>
  <c r="C3006" i="1" a="1"/>
  <c r="C3027" i="1" a="1"/>
  <c r="C3048" i="1" a="1"/>
  <c r="C3070" i="1" a="1"/>
  <c r="C3091" i="1" a="1"/>
  <c r="C3112" i="1" a="1"/>
  <c r="C3134" i="1" a="1"/>
  <c r="C3155" i="1" a="1"/>
  <c r="C3176" i="1" a="1"/>
  <c r="C3198" i="1" a="1"/>
  <c r="C3219" i="1" a="1"/>
  <c r="C3240" i="1" a="1"/>
  <c r="C3273" i="1" a="1"/>
  <c r="C994" i="1" a="1"/>
  <c r="C3088" i="1" a="1"/>
  <c r="C3184" i="1" a="1"/>
  <c r="C692" i="1" a="1"/>
  <c r="C1275" i="1" a="1"/>
  <c r="C1711" i="1" a="1"/>
  <c r="C1868" i="1" a="1"/>
  <c r="C1932" i="1" a="1"/>
  <c r="C1996" i="1" a="1"/>
  <c r="C2114" i="1" a="1"/>
  <c r="C2231" i="1" a="1"/>
  <c r="C2295" i="1" a="1"/>
  <c r="C2359" i="1" a="1"/>
  <c r="C2403" i="1" a="1"/>
  <c r="C2435" i="1" a="1"/>
  <c r="C2467" i="1" a="1"/>
  <c r="C2499" i="1" a="1"/>
  <c r="C2531" i="1" a="1"/>
  <c r="C2563" i="1" a="1"/>
  <c r="C2595" i="1" a="1"/>
  <c r="C2627" i="1" a="1"/>
  <c r="C2659" i="1" a="1"/>
  <c r="C2691" i="1" a="1"/>
  <c r="C2723" i="1" a="1"/>
  <c r="C2758" i="1" a="1"/>
  <c r="C2808" i="1" a="1"/>
  <c r="C2847" i="1" a="1"/>
  <c r="C2905" i="1" a="1"/>
  <c r="C2969" i="1" a="1"/>
  <c r="C3033" i="1" a="1"/>
  <c r="C3097" i="1" a="1"/>
  <c r="C3161" i="1" a="1"/>
  <c r="C3225" i="1" a="1"/>
  <c r="C3264" i="1" a="1"/>
  <c r="C3296" i="1" a="1"/>
  <c r="C3313" i="1" a="1"/>
  <c r="C3329" i="1" a="1"/>
  <c r="C3345" i="1" a="1"/>
  <c r="C3361" i="1" a="1"/>
  <c r="C3377" i="1" a="1"/>
  <c r="C3393" i="1" a="1"/>
  <c r="C3409" i="1" a="1"/>
  <c r="C3425" i="1" a="1"/>
  <c r="C3441" i="1" a="1"/>
  <c r="C3457" i="1" a="1"/>
  <c r="C3473" i="1" a="1"/>
  <c r="C3477" i="1" a="1"/>
  <c r="C3493" i="1" a="1"/>
  <c r="C1300" i="1" a="1"/>
  <c r="C1504" i="1" a="1"/>
  <c r="C1639" i="1" a="1"/>
  <c r="C1772" i="1" a="1"/>
  <c r="C1857" i="1" a="1"/>
  <c r="C2076" i="1" a="1"/>
  <c r="C2119" i="1" a="1"/>
  <c r="C2161" i="1" a="1"/>
  <c r="C2204" i="1" a="1"/>
  <c r="C2244" i="1" a="1"/>
  <c r="C2308" i="1" a="1"/>
  <c r="C2372" i="1" a="1"/>
  <c r="C2754" i="1" a="1"/>
  <c r="C2804" i="1" a="1"/>
  <c r="C2843" i="1" a="1"/>
  <c r="C2880" i="1" a="1"/>
  <c r="C2907" i="1" a="1"/>
  <c r="C2939" i="1" a="1"/>
  <c r="C2987" i="1" a="1"/>
  <c r="C3046" i="1" a="1"/>
  <c r="C3147" i="1" a="1"/>
  <c r="C425" i="1" a="1"/>
  <c r="C1207" i="1" a="1"/>
  <c r="C1487" i="1" a="1"/>
  <c r="C1656" i="1" a="1"/>
  <c r="C1805" i="1" a="1"/>
  <c r="C2040" i="1" a="1"/>
  <c r="C2083" i="1" a="1"/>
  <c r="C2125" i="1" a="1"/>
  <c r="C2168" i="1" a="1"/>
  <c r="C2211" i="1" a="1"/>
  <c r="C2268" i="1" a="1"/>
  <c r="C2332" i="1" a="1"/>
  <c r="C2739" i="1" a="1"/>
  <c r="C2778" i="1" a="1"/>
  <c r="C2828" i="1" a="1"/>
  <c r="C2867" i="1" a="1"/>
  <c r="C2890" i="1" a="1"/>
  <c r="C2911" i="1" a="1"/>
  <c r="C2932" i="1" a="1"/>
  <c r="C2954" i="1" a="1"/>
  <c r="C2975" i="1" a="1"/>
  <c r="C2996" i="1" a="1"/>
  <c r="C3018" i="1" a="1"/>
  <c r="C3039" i="1" a="1"/>
  <c r="C3060" i="1" a="1"/>
  <c r="C3082" i="1" a="1"/>
  <c r="C3103" i="1" a="1"/>
  <c r="C3124" i="1" a="1"/>
  <c r="C3146" i="1" a="1"/>
  <c r="C3167" i="1" a="1"/>
  <c r="C3188" i="1" a="1"/>
  <c r="C3210" i="1" a="1"/>
  <c r="C3231" i="1" a="1"/>
  <c r="C3260" i="1" a="1"/>
  <c r="C3292" i="1" a="1"/>
  <c r="C2923" i="1" a="1"/>
  <c r="C2982" i="1" a="1"/>
  <c r="C3019" i="1" a="1"/>
  <c r="C3056" i="1" a="1"/>
  <c r="C3120" i="1" a="1"/>
  <c r="C3195" i="1" a="1"/>
  <c r="C693" i="1" a="1"/>
  <c r="C1276" i="1" a="1"/>
  <c r="C1687" i="1" a="1"/>
  <c r="C1869" i="1" a="1"/>
  <c r="C1933" i="1" a="1"/>
  <c r="C1997" i="1" a="1"/>
  <c r="C2126" i="1" a="1"/>
  <c r="C2232" i="1" a="1"/>
  <c r="C2296" i="1" a="1"/>
  <c r="C2360" i="1" a="1"/>
  <c r="C2412" i="1" a="1"/>
  <c r="C2444" i="1" a="1"/>
  <c r="C2476" i="1" a="1"/>
  <c r="C2508" i="1" a="1"/>
  <c r="C2540" i="1" a="1"/>
  <c r="C2572" i="1" a="1"/>
  <c r="C2604" i="1" a="1"/>
  <c r="C2636" i="1" a="1"/>
  <c r="C2668" i="1" a="1"/>
  <c r="C2700" i="1" a="1"/>
  <c r="C2732" i="1" a="1"/>
  <c r="C2784" i="1" a="1"/>
  <c r="C2823" i="1" a="1"/>
  <c r="C2862" i="1" a="1"/>
  <c r="C2933" i="1" a="1"/>
  <c r="C2997" i="1" a="1"/>
  <c r="C3061" i="1" a="1"/>
  <c r="C3125" i="1" a="1"/>
  <c r="C3189" i="1" a="1"/>
  <c r="C3247" i="1" a="1"/>
  <c r="C3279" i="1" a="1"/>
  <c r="C3306" i="1" a="1"/>
  <c r="C3322" i="1" a="1"/>
  <c r="C3338" i="1" a="1"/>
  <c r="C3354" i="1" a="1"/>
  <c r="C3370" i="1" a="1"/>
  <c r="C3386" i="1" a="1"/>
  <c r="C3402" i="1" a="1"/>
  <c r="C3418" i="1" a="1"/>
  <c r="C3434" i="1" a="1"/>
  <c r="C3450" i="1" a="1"/>
  <c r="C3466" i="1" a="1"/>
  <c r="C3482" i="1" a="1"/>
  <c r="C3498" i="1" a="1"/>
  <c r="C3110" i="1" a="1"/>
  <c r="C3200" i="1" a="1"/>
  <c r="C894" i="1" a="1"/>
  <c r="C1972" i="1" a="1"/>
  <c r="C2162" i="1" a="1"/>
  <c r="C2318" i="1" a="1"/>
  <c r="C2408" i="1" a="1"/>
  <c r="C2536" i="1" a="1"/>
  <c r="C2664" i="1" a="1"/>
  <c r="C2767" i="1" a="1"/>
  <c r="C2870" i="1" a="1"/>
  <c r="C2940" i="1" a="1"/>
  <c r="C3053" i="1" a="1"/>
  <c r="C3169" i="1" a="1"/>
  <c r="C3271" i="1" a="1"/>
  <c r="C3323" i="1" a="1"/>
  <c r="C3355" i="1" a="1"/>
  <c r="C3387" i="1" a="1"/>
  <c r="C3419" i="1" a="1"/>
  <c r="C3451" i="1" a="1"/>
  <c r="C3483" i="1" a="1"/>
  <c r="C1086" i="1" a="1"/>
  <c r="C1672" i="1" a="1"/>
  <c r="C2033" i="1" a="1"/>
  <c r="C2281" i="1" a="1"/>
  <c r="C2487" i="1" a="1"/>
  <c r="C2615" i="1" a="1"/>
  <c r="C2742" i="1" a="1"/>
  <c r="C2876" i="1" a="1"/>
  <c r="C2989" i="1" a="1"/>
  <c r="C3105" i="1" a="1"/>
  <c r="C3218" i="1" a="1"/>
  <c r="C3294" i="1" a="1"/>
  <c r="C3327" i="1" a="1"/>
  <c r="C1301" i="1" a="1"/>
  <c r="C2035" i="1" a="1"/>
  <c r="C2205" i="1" a="1"/>
  <c r="C2355" i="1" a="1"/>
  <c r="C2464" i="1" a="1"/>
  <c r="C2592" i="1" a="1"/>
  <c r="C2720" i="1" a="1"/>
  <c r="C2844" i="1" a="1"/>
  <c r="C2935" i="1" a="1"/>
  <c r="C3020" i="1" a="1"/>
  <c r="C3133" i="1" a="1"/>
  <c r="C3245" i="1" a="1"/>
  <c r="C893" i="1" a="1"/>
  <c r="C1506" i="1" a="1"/>
  <c r="C1816" i="1" a="1"/>
  <c r="C2067" i="1" a="1"/>
  <c r="C2236" i="1" a="1"/>
  <c r="C2407" i="1" a="1"/>
  <c r="C2535" i="1" a="1"/>
  <c r="C2663" i="1" a="1"/>
  <c r="C2762" i="1" a="1"/>
  <c r="C2881" i="1" a="1"/>
  <c r="C2994" i="1" a="1"/>
  <c r="C1468" i="1" a="1"/>
  <c r="C2046" i="1" a="1"/>
  <c r="C2496" i="1" a="1"/>
  <c r="C2750" i="1" a="1"/>
  <c r="C2999" i="1" a="1"/>
  <c r="C3164" i="1" a="1"/>
  <c r="C3298" i="1" a="1"/>
  <c r="C3392" i="1" a="1"/>
  <c r="C3500" i="1" a="1"/>
  <c r="C1469" i="1" a="1"/>
  <c r="C2226" i="1" a="1"/>
  <c r="C2631" i="1" a="1"/>
  <c r="C2887" i="1" a="1"/>
  <c r="C3074" i="1" a="1"/>
  <c r="C3212" i="1" a="1"/>
  <c r="C3324" i="1" a="1"/>
  <c r="C3415" i="1" a="1"/>
  <c r="C3492" i="1" a="1"/>
  <c r="C2056" i="1" a="1"/>
  <c r="C2327" i="1" a="1"/>
  <c r="C2544" i="1" a="1"/>
  <c r="C2755" i="1" a="1"/>
  <c r="C2973" i="1" a="1"/>
  <c r="C3100" i="1" a="1"/>
  <c r="C3254" i="1" a="1"/>
  <c r="C3416" i="1" a="1"/>
  <c r="C2130" i="1" a="1"/>
  <c r="C2512" i="1" a="1"/>
  <c r="C2799" i="1" a="1"/>
  <c r="C3010" i="1" a="1"/>
  <c r="C3127" i="1" a="1"/>
  <c r="C3272" i="1" a="1"/>
  <c r="C3364" i="1" a="1"/>
  <c r="C3428" i="1" a="1"/>
  <c r="C3495" i="1" a="1"/>
  <c r="C2020" i="1" a="1"/>
  <c r="C2345" i="1" a="1"/>
  <c r="C2607" i="1" a="1"/>
  <c r="C2838" i="1" a="1"/>
  <c r="C3084" i="1" a="1"/>
  <c r="C3290" i="1" a="1"/>
  <c r="C3408" i="1" a="1"/>
  <c r="C3138" i="1" a="1"/>
  <c r="C3249" i="1" a="1"/>
  <c r="C3359" i="1" a="1"/>
  <c r="C3423" i="1" a="1"/>
  <c r="C996" i="1" a="1"/>
  <c r="C1940" i="1" a="1"/>
  <c r="C2346" i="1" a="1"/>
  <c r="C2567" i="1" a="1"/>
  <c r="C2806" i="1" a="1"/>
  <c r="C3015" i="1" a="1"/>
  <c r="C3223" i="1" a="1"/>
  <c r="C3367" i="1" a="1"/>
  <c r="C3431" i="1" a="1"/>
  <c r="C2495" i="1" a="1"/>
  <c r="C2021" i="1" a="1"/>
  <c r="C2399" i="1" a="1"/>
  <c r="C2655" i="1" a="1"/>
  <c r="C2903" i="1" a="1"/>
  <c r="C3137" i="1" a="1"/>
  <c r="C3263" i="1" a="1"/>
  <c r="C3400" i="1" a="1"/>
  <c r="C3488" i="1" a="1"/>
  <c r="C2099" i="1" a="1"/>
  <c r="C2623" i="1" a="1"/>
  <c r="C2882" i="1" a="1"/>
  <c r="C3069" i="1" a="1"/>
  <c r="C3481" i="1" a="1"/>
  <c r="C3497" i="1" a="1"/>
  <c r="C1343" i="1" a="1"/>
  <c r="C1541" i="1" a="1"/>
  <c r="C1671" i="1" a="1"/>
  <c r="C1793" i="1" a="1"/>
  <c r="C2044" i="1" a="1"/>
  <c r="C2087" i="1" a="1"/>
  <c r="C2129" i="1" a="1"/>
  <c r="C2172" i="1" a="1"/>
  <c r="C2215" i="1" a="1"/>
  <c r="C2253" i="1" a="1"/>
  <c r="C2317" i="1" a="1"/>
  <c r="C2381" i="1" a="1"/>
  <c r="C2772" i="1" a="1"/>
  <c r="C2811" i="1" a="1"/>
  <c r="C2850" i="1" a="1"/>
  <c r="C2886" i="1" a="1"/>
  <c r="C2912" i="1" a="1"/>
  <c r="C2950" i="1" a="1"/>
  <c r="C2998" i="1" a="1"/>
  <c r="C3078" i="1" a="1"/>
  <c r="C3174" i="1" a="1"/>
  <c r="C834" i="1" a="1"/>
  <c r="C1323" i="1" a="1"/>
  <c r="C1560" i="1" a="1"/>
  <c r="C1686" i="1" a="1"/>
  <c r="C1827" i="1" a="1"/>
  <c r="C2051" i="1" a="1"/>
  <c r="C2093" i="1" a="1"/>
  <c r="C2136" i="1" a="1"/>
  <c r="C2179" i="1" a="1"/>
  <c r="C2221" i="1" a="1"/>
  <c r="C2277" i="1" a="1"/>
  <c r="C2341" i="1" a="1"/>
  <c r="C2746" i="1" a="1"/>
  <c r="C2796" i="1" a="1"/>
  <c r="C2835" i="1" a="1"/>
  <c r="C2874" i="1" a="1"/>
  <c r="C2895" i="1" a="1"/>
  <c r="C2916" i="1" a="1"/>
  <c r="C2938" i="1" a="1"/>
  <c r="C2959" i="1" a="1"/>
  <c r="C2980" i="1" a="1"/>
  <c r="C3002" i="1" a="1"/>
  <c r="C3023" i="1" a="1"/>
  <c r="C3044" i="1" a="1"/>
  <c r="C3066" i="1" a="1"/>
  <c r="C3087" i="1" a="1"/>
  <c r="C3108" i="1" a="1"/>
  <c r="C3130" i="1" a="1"/>
  <c r="C3151" i="1" a="1"/>
  <c r="C3172" i="1" a="1"/>
  <c r="C3194" i="1" a="1"/>
  <c r="C3215" i="1" a="1"/>
  <c r="C3236" i="1" a="1"/>
  <c r="C3265" i="1" a="1"/>
  <c r="C3297" i="1" a="1"/>
  <c r="C2944" i="1" a="1"/>
  <c r="C2992" i="1" a="1"/>
  <c r="C3024" i="1" a="1"/>
  <c r="C3067" i="1" a="1"/>
  <c r="C3142" i="1" a="1"/>
  <c r="C3222" i="1" a="1"/>
  <c r="C1045" i="1" a="1"/>
  <c r="C1409" i="1" a="1"/>
  <c r="C1712" i="1" a="1"/>
  <c r="C1885" i="1" a="1"/>
  <c r="C1949" i="1" a="1"/>
  <c r="C2013" i="1" a="1"/>
  <c r="C2158" i="1" a="1"/>
  <c r="C2241" i="1" a="1"/>
  <c r="C2305" i="1" a="1"/>
  <c r="C2369" i="1" a="1"/>
  <c r="C2420" i="1" a="1"/>
  <c r="C2452" i="1" a="1"/>
  <c r="C2484" i="1" a="1"/>
  <c r="C2516" i="1" a="1"/>
  <c r="C2548" i="1" a="1"/>
  <c r="C2580" i="1" a="1"/>
  <c r="C2612" i="1" a="1"/>
  <c r="C2644" i="1" a="1"/>
  <c r="C2676" i="1" a="1"/>
  <c r="C2708" i="1" a="1"/>
  <c r="C2752" i="1" a="1"/>
  <c r="C2791" i="1" a="1"/>
  <c r="C2830" i="1" a="1"/>
  <c r="C2885" i="1" a="1"/>
  <c r="C2949" i="1" a="1"/>
  <c r="C3013" i="1" a="1"/>
  <c r="C3077" i="1" a="1"/>
  <c r="C3141" i="1" a="1"/>
  <c r="C3205" i="1" a="1"/>
  <c r="C3256" i="1" a="1"/>
  <c r="C3288" i="1" a="1"/>
  <c r="C3310" i="1" a="1"/>
  <c r="C3326" i="1" a="1"/>
  <c r="C3342" i="1" a="1"/>
  <c r="C3358" i="1" a="1"/>
  <c r="C3374" i="1" a="1"/>
  <c r="C3390" i="1" a="1"/>
  <c r="C3406" i="1" a="1"/>
  <c r="C3422" i="1" a="1"/>
  <c r="C3438" i="1" a="1"/>
  <c r="C3454" i="1" a="1"/>
  <c r="C3470" i="1" a="1"/>
  <c r="C3486" i="1" a="1"/>
  <c r="C2955" i="1" a="1"/>
  <c r="C3131" i="1" a="1"/>
  <c r="C3216" i="1" a="1"/>
  <c r="C1542" i="1" a="1"/>
  <c r="C2005" i="1" a="1"/>
  <c r="C2216" i="1" a="1"/>
  <c r="C2337" i="1" a="1"/>
  <c r="C2455" i="1" a="1"/>
  <c r="C2583" i="1" a="1"/>
  <c r="C2711" i="1" a="1"/>
  <c r="C2782" i="1" a="1"/>
  <c r="C2898" i="1" a="1"/>
  <c r="C2983" i="1" a="1"/>
  <c r="C3068" i="1" a="1"/>
  <c r="C3181" i="1" a="1"/>
  <c r="C3280" i="1" a="1"/>
  <c r="C3331" i="1" a="1"/>
  <c r="C3363" i="1" a="1"/>
  <c r="C3395" i="1" a="1"/>
  <c r="C3427" i="1" a="1"/>
  <c r="C3459" i="1" a="1"/>
  <c r="C3491" i="1" a="1"/>
  <c r="C1244" i="1" a="1"/>
  <c r="C1859" i="1" a="1"/>
  <c r="C2088" i="1" a="1"/>
  <c r="C2374" i="1" a="1"/>
  <c r="C2504" i="1" a="1"/>
  <c r="C2632" i="1" a="1"/>
  <c r="C2792" i="1" a="1"/>
  <c r="C2919" i="1" a="1"/>
  <c r="C3004" i="1" a="1"/>
  <c r="C3117" i="1" a="1"/>
  <c r="C3233" i="1" a="1"/>
  <c r="C3303" i="1" a="1"/>
  <c r="C3335" i="1" a="1"/>
  <c r="C1750" i="1" a="1"/>
  <c r="C2066" i="1" a="1"/>
  <c r="C2255" i="1" a="1"/>
  <c r="C2382" i="1" a="1"/>
  <c r="C2511" i="1" a="1"/>
  <c r="C2639" i="1" a="1"/>
  <c r="C2760" i="1" a="1"/>
  <c r="C2863" i="1" a="1"/>
  <c r="C2978" i="1" a="1"/>
  <c r="C3063" i="1" a="1"/>
  <c r="C3148" i="1" a="1"/>
  <c r="C3258" i="1" a="1"/>
  <c r="C1087" i="1" a="1"/>
  <c r="C1608" i="1" a="1"/>
  <c r="C1876" i="1" a="1"/>
  <c r="C2098" i="1" a="1"/>
  <c r="C2263" i="1" a="1"/>
  <c r="C2424" i="1" a="1"/>
  <c r="C2552" i="1" a="1"/>
  <c r="C2680" i="1" a="1"/>
  <c r="C2812" i="1" a="1"/>
  <c r="C2893" i="1" a="1"/>
  <c r="C3009" i="1" a="1"/>
  <c r="C1640" i="1" a="1"/>
  <c r="C2163" i="1" a="1"/>
  <c r="C2543" i="1" a="1"/>
  <c r="C2819" i="1" a="1"/>
  <c r="C3073" i="1" a="1"/>
  <c r="C3186" i="1" a="1"/>
  <c r="C3336" i="1" a="1"/>
  <c r="C3424" i="1" a="1"/>
  <c r="C2503" i="1" a="1"/>
  <c r="C1794" i="1" a="1"/>
  <c r="C2319" i="1" a="1"/>
  <c r="C2712" i="1" a="1"/>
  <c r="C2945" i="1" a="1"/>
  <c r="C3122" i="1" a="1"/>
  <c r="C3284" i="1" a="1"/>
  <c r="C3372" i="1" a="1"/>
  <c r="C3436" i="1" a="1"/>
  <c r="C1795" i="1" a="1"/>
  <c r="C2110" i="1" a="1"/>
  <c r="C2373" i="1" a="1"/>
  <c r="C2591" i="1" a="1"/>
  <c r="C2824" i="1" a="1"/>
  <c r="C3031" i="1" a="1"/>
  <c r="C3170" i="1" a="1"/>
  <c r="C3286" i="1" a="1"/>
  <c r="C3456" i="1" a="1"/>
  <c r="C2184" i="1" a="1"/>
  <c r="C2559" i="1" a="1"/>
  <c r="C2864" i="1" a="1"/>
  <c r="C3036" i="1" a="1"/>
  <c r="C3149" i="1" a="1"/>
  <c r="C3289" i="1" a="1"/>
  <c r="C3375" i="1" a="1"/>
  <c r="C3439" i="1" a="1"/>
  <c r="C1344" i="1" a="1"/>
  <c r="C2077" i="1" a="1"/>
  <c r="C2432" i="1" a="1"/>
  <c r="C2688" i="1" a="1"/>
  <c r="C2929" i="1" a="1"/>
  <c r="C3153" i="1" a="1"/>
  <c r="C3304" i="1" a="1"/>
  <c r="C3440" i="1" a="1"/>
  <c r="C3185" i="1" a="1"/>
  <c r="C3281" i="1" a="1"/>
  <c r="C3380" i="1" a="1"/>
  <c r="C3444" i="1" a="1"/>
  <c r="C1345" i="1" a="1"/>
  <c r="C2078" i="1" a="1"/>
  <c r="C2392" i="1" a="1"/>
  <c r="C2648" i="1" a="1"/>
  <c r="C2871" i="1" a="1"/>
  <c r="C3042" i="1" a="1"/>
  <c r="C3277" i="1" a="1"/>
  <c r="C3388" i="1" a="1"/>
  <c r="C3460" i="1" a="1"/>
  <c r="C997" i="1" a="1"/>
  <c r="C2141" i="1" a="1"/>
  <c r="C2480" i="1" a="1"/>
  <c r="C2736" i="1" a="1"/>
  <c r="C2961" i="1" a="1"/>
  <c r="C3180" i="1" a="1"/>
  <c r="C3320" i="1" a="1"/>
  <c r="C3432" i="1" a="1"/>
  <c r="C1170" i="1" a="1"/>
  <c r="C2310" i="1" a="1"/>
  <c r="C2704" i="1" a="1"/>
  <c r="C2909" i="1" a="1"/>
  <c r="C3159" i="1" a="1"/>
  <c r="C3485" i="1" a="1"/>
  <c r="C3501" i="1" a="1"/>
  <c r="C1386" i="1" a="1"/>
  <c r="C1575" i="1" a="1"/>
  <c r="C1723" i="1" a="1"/>
  <c r="C1815" i="1" a="1"/>
  <c r="C2055" i="1" a="1"/>
  <c r="C2097" i="1" a="1"/>
  <c r="C2140" i="1" a="1"/>
  <c r="C2183" i="1" a="1"/>
  <c r="C2225" i="1" a="1"/>
  <c r="C2290" i="1" a="1"/>
  <c r="C2354" i="1" a="1"/>
  <c r="C2740" i="1" a="1"/>
  <c r="C2779" i="1" a="1"/>
  <c r="C2818" i="1" a="1"/>
  <c r="C2868" i="1" a="1"/>
  <c r="C2891" i="1" a="1"/>
  <c r="C2918" i="1" a="1"/>
  <c r="C2966" i="1" a="1"/>
  <c r="C3014" i="1" a="1"/>
  <c r="C3104" i="1" a="1"/>
  <c r="C3190" i="1" a="1"/>
  <c r="C945" i="1" a="1"/>
  <c r="C1366" i="1" a="1"/>
  <c r="C1592" i="1" a="1"/>
  <c r="C1763" i="1" a="1"/>
  <c r="C1848" i="1" a="1"/>
  <c r="C2061" i="1" a="1"/>
  <c r="C2104" i="1" a="1"/>
  <c r="C2147" i="1" a="1"/>
  <c r="C2189" i="1" a="1"/>
  <c r="C2250" i="1" a="1"/>
  <c r="C2314" i="1" a="1"/>
  <c r="C2378" i="1" a="1"/>
  <c r="C2764" i="1" a="1"/>
  <c r="C2803" i="1" a="1"/>
  <c r="C2842" i="1" a="1"/>
  <c r="C2879" i="1" a="1"/>
  <c r="C2900" i="1" a="1"/>
  <c r="C2922" i="1" a="1"/>
  <c r="C2943" i="1" a="1"/>
  <c r="C2964" i="1" a="1"/>
  <c r="C2986" i="1" a="1"/>
  <c r="C3007" i="1" a="1"/>
  <c r="C3028" i="1" a="1"/>
  <c r="C3050" i="1" a="1"/>
  <c r="C3071" i="1" a="1"/>
  <c r="C3092" i="1" a="1"/>
  <c r="C3114" i="1" a="1"/>
  <c r="C3135" i="1" a="1"/>
  <c r="C3156" i="1" a="1"/>
  <c r="C3178" i="1" a="1"/>
  <c r="C3199" i="1" a="1"/>
  <c r="C3220" i="1" a="1"/>
  <c r="C3242" i="1" a="1"/>
  <c r="C3274" i="1" a="1"/>
  <c r="C892" i="1" a="1"/>
  <c r="C2960" i="1" a="1"/>
  <c r="C3003" i="1" a="1"/>
  <c r="C3035" i="1" a="1"/>
  <c r="C3083" i="1" a="1"/>
  <c r="C3158" i="1" a="1"/>
  <c r="C3243" i="1" a="1"/>
  <c r="C1130" i="1" a="1"/>
  <c r="C1451" i="1" a="1"/>
  <c r="C1738" i="1" a="1"/>
  <c r="C1901" i="1" a="1"/>
  <c r="C1965" i="1" a="1"/>
  <c r="C2062" i="1" a="1"/>
  <c r="C2190" i="1" a="1"/>
  <c r="C2278" i="1" a="1"/>
  <c r="C2342" i="1" a="1"/>
  <c r="C2396" i="1" a="1"/>
  <c r="C2428" i="1" a="1"/>
  <c r="C2460" i="1" a="1"/>
  <c r="C2492" i="1" a="1"/>
  <c r="C2524" i="1" a="1"/>
  <c r="C2556" i="1" a="1"/>
  <c r="C2588" i="1" a="1"/>
  <c r="C2620" i="1" a="1"/>
  <c r="C2652" i="1" a="1"/>
  <c r="C2684" i="1" a="1"/>
  <c r="C2716" i="1" a="1"/>
  <c r="C2759" i="1" a="1"/>
  <c r="C2798" i="1" a="1"/>
  <c r="C2848" i="1" a="1"/>
  <c r="C2901" i="1" a="1"/>
  <c r="C2965" i="1" a="1"/>
  <c r="C3029" i="1" a="1"/>
  <c r="C3093" i="1" a="1"/>
  <c r="C3157" i="1" a="1"/>
  <c r="C3221" i="1" a="1"/>
  <c r="C3261" i="1" a="1"/>
  <c r="C3293" i="1" a="1"/>
  <c r="C3314" i="1" a="1"/>
  <c r="C3330" i="1" a="1"/>
  <c r="C3346" i="1" a="1"/>
  <c r="C3362" i="1" a="1"/>
  <c r="C3378" i="1" a="1"/>
  <c r="C3394" i="1" a="1"/>
  <c r="C3410" i="1" a="1"/>
  <c r="C3426" i="1" a="1"/>
  <c r="C3442" i="1" a="1"/>
  <c r="C3458" i="1" a="1"/>
  <c r="C3474" i="1" a="1"/>
  <c r="C3490" i="1" a="1"/>
  <c r="C3062" i="1" a="1"/>
  <c r="C3152" i="1" a="1"/>
  <c r="C3232" i="1" a="1"/>
  <c r="C1773" i="1" a="1"/>
  <c r="C2045" i="1" a="1"/>
  <c r="C2264" i="1" a="1"/>
  <c r="C2364" i="1" a="1"/>
  <c r="C2472" i="1" a="1"/>
  <c r="C2600" i="1" a="1"/>
  <c r="C2728" i="1" a="1"/>
  <c r="C2832" i="1" a="1"/>
  <c r="C2913" i="1" a="1"/>
  <c r="C3026" i="1" a="1"/>
  <c r="C3111" i="1" a="1"/>
  <c r="C3196" i="1" a="1"/>
  <c r="C3307" i="1" a="1"/>
  <c r="C3339" i="1" a="1"/>
  <c r="C3371" i="1" a="1"/>
  <c r="C3403" i="1" a="1"/>
  <c r="C3435" i="1" a="1"/>
  <c r="C3467" i="1" a="1"/>
  <c r="C3499" i="1" a="1"/>
  <c r="C1387" i="1" a="1"/>
  <c r="C1908" i="1" a="1"/>
  <c r="C2142" i="1" a="1"/>
  <c r="C2423" i="1" a="1"/>
  <c r="C2551" i="1" a="1"/>
  <c r="C2679" i="1" a="1"/>
  <c r="C2807" i="1" a="1"/>
  <c r="C2962" i="1" a="1"/>
  <c r="C3047" i="1" a="1"/>
  <c r="C3132" i="1" a="1"/>
  <c r="C3244" i="1" a="1"/>
  <c r="C3311" i="1" a="1"/>
  <c r="C3343" i="1" a="1"/>
  <c r="C1956" i="1" a="1"/>
  <c r="C2120" i="1" a="1"/>
  <c r="C2282" i="1" a="1"/>
  <c r="C2400" i="1" a="1"/>
  <c r="C2528" i="1" a="1"/>
  <c r="C2656" i="1" a="1"/>
  <c r="C2775" i="1" a="1"/>
  <c r="C2877" i="1" a="1"/>
  <c r="C2993" i="1" a="1"/>
  <c r="C3106" i="1" a="1"/>
  <c r="C3191" i="1" a="1"/>
  <c r="C3267" i="1" a="1"/>
  <c r="C1302" i="1" a="1"/>
  <c r="C1698" i="1" a="1"/>
  <c r="C1909" i="1" a="1"/>
  <c r="C2152" i="1" a="1"/>
  <c r="C2309" i="1" a="1"/>
  <c r="C2471" i="1" a="1"/>
  <c r="C2599" i="1" a="1"/>
  <c r="C2727" i="1" a="1"/>
  <c r="C2831" i="1" a="1"/>
  <c r="C2908" i="1" a="1"/>
  <c r="C3021" i="1" a="1"/>
  <c r="C1774" i="1" a="1"/>
  <c r="C2272" i="1" a="1"/>
  <c r="C2624" i="1" a="1"/>
  <c r="C2914" i="1" a="1"/>
  <c r="C3095" i="1" a="1"/>
  <c r="C3229" i="1" a="1"/>
  <c r="C3348" i="1" a="1"/>
  <c r="C3455" i="1" a="1"/>
  <c r="C594" i="1" a="1"/>
  <c r="C1973" i="1" a="1"/>
  <c r="C2456" i="1" a="1"/>
  <c r="C2787" i="1" a="1"/>
  <c r="C2972" i="1" a="1"/>
  <c r="C3143" i="1" a="1"/>
  <c r="C3299" i="1" a="1"/>
  <c r="C3383" i="1" a="1"/>
  <c r="C3447" i="1" a="1"/>
  <c r="C1893" i="1" a="1"/>
  <c r="C2227" i="1" a="1"/>
  <c r="C2416" i="1" a="1"/>
  <c r="C2672" i="1" a="1"/>
  <c r="C2858" i="1" a="1"/>
  <c r="C3057" i="1" a="1"/>
  <c r="C3213" i="1" a="1"/>
  <c r="C3352" i="1" a="1"/>
  <c r="C1699" i="1" a="1"/>
  <c r="C2383" i="1" a="1"/>
  <c r="C2640" i="1" a="1"/>
  <c r="C2897" i="1" a="1"/>
  <c r="C3058" i="1" a="1"/>
  <c r="C3217" i="1" a="1"/>
  <c r="C3328" i="1" a="1"/>
  <c r="C3396" i="1" a="1"/>
  <c r="C3448" i="1" a="1"/>
  <c r="C1837" i="1" a="1"/>
  <c r="C2194" i="1" a="1"/>
  <c r="C2479" i="1" a="1"/>
  <c r="C2735" i="1" a="1"/>
  <c r="C2956" i="1" a="1"/>
  <c r="C3197" i="1" a="1"/>
  <c r="C3316" i="1" a="1"/>
  <c r="C3468" i="1" a="1"/>
  <c r="C3207" i="1" a="1"/>
  <c r="C3295" i="1" a="1"/>
  <c r="C3391" i="1" a="1"/>
  <c r="C3463" i="1" a="1"/>
  <c r="C1724" i="1" a="1"/>
  <c r="C2195" i="1" a="1"/>
  <c r="C2439" i="1" a="1"/>
  <c r="C2695" i="1" a="1"/>
  <c r="C2930" i="1" a="1"/>
  <c r="C3085" i="1" a="1"/>
  <c r="C3344" i="1" a="1"/>
  <c r="C3399" i="1" a="1"/>
  <c r="C3479" i="1" a="1"/>
  <c r="C1576" i="1" a="1"/>
  <c r="C2254" i="1" a="1"/>
  <c r="C2527" i="1" a="1"/>
  <c r="C2774" i="1" a="1"/>
  <c r="C2988" i="1" a="1"/>
  <c r="C3202" i="1" a="1"/>
  <c r="C3332" i="1" a="1"/>
  <c r="C3452" i="1" a="1"/>
  <c r="C1430" i="1" a="1"/>
  <c r="C2448" i="1" a="1"/>
  <c r="C2780" i="1" a="1"/>
  <c r="C2967" i="1" a="1"/>
  <c r="C3266" i="1" a="1"/>
  <c r="C3489" i="1" a="1"/>
  <c r="C769" i="1" a="1"/>
  <c r="C1428" i="1" a="1"/>
  <c r="C1607" i="1" a="1"/>
  <c r="C1748" i="1" a="1"/>
  <c r="C1836" i="1" a="1"/>
  <c r="C2065" i="1" a="1"/>
  <c r="C2108" i="1" a="1"/>
  <c r="C2151" i="1" a="1"/>
  <c r="C2193" i="1" a="1"/>
  <c r="C2235" i="1" a="1"/>
  <c r="C2299" i="1" a="1"/>
  <c r="C2363" i="1" a="1"/>
  <c r="C2747" i="1" a="1"/>
  <c r="C2786" i="1" a="1"/>
  <c r="C2836" i="1" a="1"/>
  <c r="C2875" i="1" a="1"/>
  <c r="C2896" i="1" a="1"/>
  <c r="C2928" i="1" a="1"/>
  <c r="C2976" i="1" a="1"/>
  <c r="C3030" i="1" a="1"/>
  <c r="C3126" i="1" a="1"/>
  <c r="C3211" i="1" a="1"/>
  <c r="C1044" i="1" a="1"/>
  <c r="C1408" i="1" a="1"/>
  <c r="C1624" i="1" a="1"/>
  <c r="C1784" i="1" a="1"/>
  <c r="C2028" i="1" a="1"/>
  <c r="C2072" i="1" a="1"/>
  <c r="C2115" i="1" a="1"/>
  <c r="C2157" i="1" a="1"/>
  <c r="C2200" i="1" a="1"/>
  <c r="C2259" i="1" a="1"/>
  <c r="C2323" i="1" a="1"/>
  <c r="C2387" i="1" a="1"/>
  <c r="C2771" i="1" a="1"/>
  <c r="C2810" i="1" a="1"/>
  <c r="C2860" i="1" a="1"/>
  <c r="C2884" i="1" a="1"/>
  <c r="C2906" i="1" a="1"/>
  <c r="C2927" i="1" a="1"/>
  <c r="C2948" i="1" a="1"/>
  <c r="C2970" i="1" a="1"/>
  <c r="C2991" i="1" a="1"/>
  <c r="C3012" i="1" a="1"/>
  <c r="C3034" i="1" a="1"/>
  <c r="C3055" i="1" a="1"/>
  <c r="C3076" i="1" a="1"/>
  <c r="C3098" i="1" a="1"/>
  <c r="C3119" i="1" a="1"/>
  <c r="C3140" i="1" a="1"/>
  <c r="C3162" i="1" a="1"/>
  <c r="C3183" i="1" a="1"/>
  <c r="C3204" i="1" a="1"/>
  <c r="C3226" i="1" a="1"/>
  <c r="C3251" i="1" a="1"/>
  <c r="C3283" i="1" a="1"/>
  <c r="C2902" i="1" a="1"/>
  <c r="C2971" i="1" a="1"/>
  <c r="C3008" i="1" a="1"/>
  <c r="C3051" i="1" a="1"/>
  <c r="C3099" i="1" a="1"/>
  <c r="C3168" i="1" a="1"/>
  <c r="C3257" i="1" a="1"/>
  <c r="C1208" i="1" a="1"/>
  <c r="C1524" i="1" a="1"/>
  <c r="C1806" i="1" a="1"/>
  <c r="C1917" i="1" a="1"/>
  <c r="C1981" i="1" a="1"/>
  <c r="C2094" i="1" a="1"/>
  <c r="C2222" i="1" a="1"/>
  <c r="C2287" i="1" a="1"/>
  <c r="C2351" i="1" a="1"/>
  <c r="C2404" i="1" a="1"/>
  <c r="C2436" i="1" a="1"/>
  <c r="C2468" i="1" a="1"/>
  <c r="C2500" i="1" a="1"/>
  <c r="C2532" i="1" a="1"/>
  <c r="C2564" i="1" a="1"/>
  <c r="C2596" i="1" a="1"/>
  <c r="C2628" i="1" a="1"/>
  <c r="C2660" i="1" a="1"/>
  <c r="C2692" i="1" a="1"/>
  <c r="C2724" i="1" a="1"/>
  <c r="C2766" i="1" a="1"/>
  <c r="C2816" i="1" a="1"/>
  <c r="C2855" i="1" a="1"/>
  <c r="C2917" i="1" a="1"/>
  <c r="C2981" i="1" a="1"/>
  <c r="C3045" i="1" a="1"/>
  <c r="C3109" i="1" a="1"/>
  <c r="C3173" i="1" a="1"/>
  <c r="C3237" i="1" a="1"/>
  <c r="C3270" i="1" a="1"/>
  <c r="C3302" i="1" a="1"/>
  <c r="C3318" i="1" a="1"/>
  <c r="C3334" i="1" a="1"/>
  <c r="C3350" i="1" a="1"/>
  <c r="C3366" i="1" a="1"/>
  <c r="C3382" i="1" a="1"/>
  <c r="C3398" i="1" a="1"/>
  <c r="C3414" i="1" a="1"/>
  <c r="C3430" i="1" a="1"/>
  <c r="C3446" i="1" a="1"/>
  <c r="C3462" i="1" a="1"/>
  <c r="C3478" i="1" a="1"/>
  <c r="C3494" i="1" a="1"/>
  <c r="C3094" i="1" a="1"/>
  <c r="C3179" i="1" a="1"/>
  <c r="C593" i="1" a="1"/>
  <c r="C1877" i="1" a="1"/>
  <c r="C2131" i="1" a="1"/>
  <c r="C2291" i="1" a="1"/>
  <c r="C2391" i="1" a="1"/>
  <c r="C2519" i="1" a="1"/>
  <c r="C2647" i="1" a="1"/>
  <c r="C2748" i="1" a="1"/>
  <c r="C2851" i="1" a="1"/>
  <c r="C2925" i="1" a="1"/>
  <c r="C3041" i="1" a="1"/>
  <c r="C3154" i="1" a="1"/>
  <c r="C3262" i="1" a="1"/>
  <c r="C3315" i="1" a="1"/>
  <c r="C3347" i="1" a="1"/>
  <c r="C3379" i="1" a="1"/>
  <c r="C3411" i="1" a="1"/>
  <c r="C3443" i="1" a="1"/>
  <c r="C3475" i="1" a="1"/>
  <c r="C770" i="1" a="1"/>
  <c r="C1505" i="1" a="1"/>
  <c r="C1941" i="1" a="1"/>
  <c r="C2173" i="1" a="1"/>
  <c r="C2440" i="1" a="1"/>
  <c r="C2568" i="1" a="1"/>
  <c r="C2696" i="1" a="1"/>
  <c r="C2826" i="1" a="1"/>
  <c r="C2977" i="1" a="1"/>
  <c r="C3090" i="1" a="1"/>
  <c r="C3175" i="1" a="1"/>
  <c r="C3285" i="1" a="1"/>
  <c r="C3319" i="1" a="1"/>
  <c r="C3351" i="1" a="1"/>
  <c r="C1989" i="1" a="1"/>
  <c r="C2174" i="1" a="1"/>
  <c r="C2328" i="1" a="1"/>
  <c r="C2447" i="1" a="1"/>
  <c r="C2575" i="1" a="1"/>
  <c r="C2703" i="1" a="1"/>
  <c r="C2794" i="1" a="1"/>
  <c r="C2892" i="1" a="1"/>
  <c r="C3005" i="1" a="1"/>
  <c r="C3121" i="1" a="1"/>
  <c r="C3234" i="1" a="1"/>
  <c r="C3276" i="1" a="1"/>
  <c r="C1429" i="1" a="1"/>
  <c r="C1751" i="1" a="1"/>
  <c r="C2004" i="1" a="1"/>
  <c r="C2206" i="1" a="1"/>
  <c r="C2336" i="1" a="1"/>
  <c r="C2488" i="1" a="1"/>
  <c r="C2616" i="1" a="1"/>
  <c r="C2743" i="1" a="1"/>
  <c r="C2846" i="1" a="1"/>
  <c r="C2951" i="1" a="1"/>
  <c r="C1171" i="1" a="1"/>
  <c r="C1892" i="1" a="1"/>
  <c r="C2415" i="1" a="1"/>
  <c r="C2671" i="1" a="1"/>
  <c r="C2941" i="1" a="1"/>
  <c r="C3116" i="1" a="1"/>
  <c r="C3253" i="1" a="1"/>
  <c r="C3360" i="1" a="1"/>
  <c r="C3472" i="1" a="1"/>
  <c r="C1243" i="1" a="1"/>
  <c r="C2109" i="1" a="1"/>
  <c r="C2584" i="1" a="1"/>
  <c r="C2856" i="1" a="1"/>
  <c r="C3052" i="1" a="1"/>
  <c r="C3165" i="1" a="1"/>
  <c r="C3312" i="1" a="1"/>
  <c r="C3404" i="1" a="1"/>
  <c r="C3464" i="1" a="1"/>
  <c r="C1988" i="1" a="1"/>
  <c r="C2273" i="1" a="1"/>
  <c r="C2463" i="1" a="1"/>
  <c r="C2719" i="1" a="1"/>
  <c r="C2946" i="1" a="1"/>
  <c r="C3079" i="1" a="1"/>
  <c r="C3238" i="1" a="1"/>
  <c r="C3384" i="1" a="1"/>
  <c r="C1924" i="1" a="1"/>
  <c r="C2431" i="1" a="1"/>
  <c r="C2687" i="1" a="1"/>
  <c r="C2924" i="1" a="1"/>
  <c r="C3101" i="1" a="1"/>
  <c r="C3239" i="1" a="1"/>
  <c r="C3340" i="1" a="1"/>
  <c r="C3407" i="1" a="1"/>
  <c r="C3476" i="1" a="1"/>
  <c r="C1925" i="1" a="1"/>
  <c r="C2245" i="1" a="1"/>
  <c r="C2560" i="1" a="1"/>
  <c r="C2800" i="1" a="1"/>
  <c r="C3037" i="1" a="1"/>
  <c r="C3275" i="1" a="1"/>
  <c r="C3376" i="1" a="1"/>
  <c r="C3487" i="1" a="1"/>
  <c r="C3228" i="1" a="1"/>
  <c r="C3308" i="1" a="1"/>
  <c r="C3412" i="1" a="1"/>
  <c r="C3480" i="1" a="1"/>
  <c r="C1838" i="1" a="1"/>
  <c r="C2246" i="1" a="1"/>
  <c r="C2520" i="1" a="1"/>
  <c r="C2768" i="1" a="1"/>
  <c r="C2957" i="1" a="1"/>
  <c r="C3201" i="1" a="1"/>
  <c r="C3356" i="1" a="1"/>
  <c r="C3420" i="1" a="1"/>
  <c r="C3496" i="1" a="1"/>
  <c r="C1858" i="1" a="1"/>
  <c r="C2300" i="1" a="1"/>
  <c r="C2608" i="1" a="1"/>
  <c r="C2839" i="1" a="1"/>
  <c r="C3089" i="1" a="1"/>
  <c r="C3248" i="1" a="1"/>
  <c r="C3368" i="1" a="1"/>
  <c r="C3471" i="1" a="1"/>
  <c r="C1957" i="1" a="1"/>
  <c r="C2576" i="1" a="1"/>
  <c r="C2814" i="1" a="1"/>
  <c r="C3025" i="1" a="1"/>
  <c r="G1696" i="1" a="1"/>
  <c r="G1712" i="1" a="1"/>
  <c r="G1728" i="1" a="1"/>
  <c r="G1744" i="1" a="1"/>
  <c r="G1313" i="1" a="1"/>
  <c r="G1329" i="1" a="1"/>
  <c r="G1345" i="1" a="1"/>
  <c r="G1361" i="1" a="1"/>
  <c r="G1377" i="1" a="1"/>
  <c r="G1393" i="1" a="1"/>
  <c r="G1409" i="1" a="1"/>
  <c r="G1425" i="1" a="1"/>
  <c r="G1441" i="1" a="1"/>
  <c r="G1457" i="1" a="1"/>
  <c r="G1473" i="1" a="1"/>
  <c r="G1489" i="1" a="1"/>
  <c r="G1505" i="1" a="1"/>
  <c r="G1521" i="1" a="1"/>
  <c r="G1537" i="1" a="1"/>
  <c r="G1553" i="1" a="1"/>
  <c r="G1569" i="1" a="1"/>
  <c r="G1585" i="1" a="1"/>
  <c r="G1601" i="1" a="1"/>
  <c r="G1617" i="1" a="1"/>
  <c r="G1633" i="1" a="1"/>
  <c r="G1649" i="1" a="1"/>
  <c r="G1665" i="1" a="1"/>
  <c r="G1681" i="1" a="1"/>
  <c r="G1912" i="1" a="1"/>
  <c r="G1928" i="1" a="1"/>
  <c r="G1944" i="1" a="1"/>
  <c r="G1960" i="1" a="1"/>
  <c r="G1976" i="1" a="1"/>
  <c r="G1992" i="1" a="1"/>
  <c r="G2008" i="1" a="1"/>
  <c r="G2024" i="1" a="1"/>
  <c r="G2040" i="1" a="1"/>
  <c r="G1706" i="1" a="1"/>
  <c r="G1722" i="1" a="1"/>
  <c r="G1738" i="1" a="1"/>
  <c r="G1308" i="1" a="1"/>
  <c r="G1324" i="1" a="1"/>
  <c r="G1340" i="1" a="1"/>
  <c r="G1356" i="1" a="1"/>
  <c r="G1372" i="1" a="1"/>
  <c r="G1388" i="1" a="1"/>
  <c r="G1404" i="1" a="1"/>
  <c r="G1420" i="1" a="1"/>
  <c r="G1436" i="1" a="1"/>
  <c r="G1452" i="1" a="1"/>
  <c r="G1468" i="1" a="1"/>
  <c r="G1484" i="1" a="1"/>
  <c r="G1500" i="1" a="1"/>
  <c r="G1516" i="1" a="1"/>
  <c r="G1532" i="1" a="1"/>
  <c r="G1548" i="1" a="1"/>
  <c r="G1564" i="1" a="1"/>
  <c r="G1580" i="1" a="1"/>
  <c r="G1596" i="1" a="1"/>
  <c r="G1612" i="1" a="1"/>
  <c r="G1628" i="1" a="1"/>
  <c r="G1644" i="1" a="1"/>
  <c r="G1660" i="1" a="1"/>
  <c r="G1676" i="1" a="1"/>
  <c r="G1907" i="1" a="1"/>
  <c r="G1923" i="1" a="1"/>
  <c r="G1939" i="1" a="1"/>
  <c r="G1955" i="1" a="1"/>
  <c r="G1971" i="1" a="1"/>
  <c r="G1987" i="1" a="1"/>
  <c r="G2003" i="1" a="1"/>
  <c r="G2019" i="1" a="1"/>
  <c r="G1315" i="1" a="1"/>
  <c r="G1347" i="1" a="1"/>
  <c r="G1379" i="1" a="1"/>
  <c r="G1411" i="1" a="1"/>
  <c r="G1443" i="1" a="1"/>
  <c r="G1475" i="1" a="1"/>
  <c r="G1507" i="1" a="1"/>
  <c r="G1539" i="1" a="1"/>
  <c r="G1571" i="1" a="1"/>
  <c r="G1603" i="1" a="1"/>
  <c r="G1635" i="1" a="1"/>
  <c r="G1667" i="1" a="1"/>
  <c r="G1715" i="1" a="1"/>
  <c r="G1914" i="1" a="1"/>
  <c r="G1946" i="1" a="1"/>
  <c r="G1978" i="1" a="1"/>
  <c r="G2010" i="1" a="1"/>
  <c r="G2580" i="1" a="1"/>
  <c r="G2635" i="1" a="1"/>
  <c r="G2651" i="1" a="1"/>
  <c r="G2667" i="1" a="1"/>
  <c r="G2683" i="1" a="1"/>
  <c r="G2699" i="1" a="1"/>
  <c r="G2715" i="1" a="1"/>
  <c r="G2731" i="1" a="1"/>
  <c r="G2747" i="1" a="1"/>
  <c r="G2763" i="1" a="1"/>
  <c r="G2779" i="1" a="1"/>
  <c r="G2810" i="1" a="1"/>
  <c r="G2826" i="1" a="1"/>
  <c r="G2842" i="1" a="1"/>
  <c r="G2858" i="1" a="1"/>
  <c r="G2874" i="1" a="1"/>
  <c r="G2890" i="1" a="1"/>
  <c r="G2906" i="1" a="1"/>
  <c r="G2922" i="1" a="1"/>
  <c r="G2938" i="1" a="1"/>
  <c r="G2997" i="1" a="1"/>
  <c r="G3013" i="1" a="1"/>
  <c r="G3029" i="1" a="1"/>
  <c r="G3045" i="1" a="1"/>
  <c r="G3088" i="1" a="1"/>
  <c r="G3104" i="1" a="1"/>
  <c r="G3120" i="1" a="1"/>
  <c r="G3136" i="1" a="1"/>
  <c r="G3152" i="1" a="1"/>
  <c r="G3168" i="1" a="1"/>
  <c r="G3184" i="1" a="1"/>
  <c r="G3200" i="1" a="1"/>
  <c r="G3279" i="1" a="1"/>
  <c r="G3378" i="1" a="1"/>
  <c r="G3394" i="1" a="1"/>
  <c r="G3410" i="1" a="1"/>
  <c r="G3437" i="1" a="1"/>
  <c r="G3165" i="1" a="1"/>
  <c r="G3272" i="1" a="1"/>
  <c r="G3391" i="1" a="1"/>
  <c r="G2290" i="1" a="1"/>
  <c r="G2462" i="1" a="1"/>
  <c r="G2514" i="1" a="1"/>
  <c r="G2566" i="1" a="1"/>
  <c r="G2601" i="1" a="1"/>
  <c r="G1721" i="1" a="1"/>
  <c r="G1761" i="1" a="1"/>
  <c r="G1777" i="1" a="1"/>
  <c r="G1793" i="1" a="1"/>
  <c r="G1809" i="1" a="1"/>
  <c r="G1825" i="1" a="1"/>
  <c r="G1841" i="1" a="1"/>
  <c r="G1857" i="1" a="1"/>
  <c r="G1873" i="1" a="1"/>
  <c r="G1889" i="1" a="1"/>
  <c r="G2041" i="1" a="1"/>
  <c r="G2057" i="1" a="1"/>
  <c r="G2073" i="1" a="1"/>
  <c r="G2089" i="1" a="1"/>
  <c r="G2105" i="1" a="1"/>
  <c r="G2121" i="1" a="1"/>
  <c r="G2137" i="1" a="1"/>
  <c r="G2153" i="1" a="1"/>
  <c r="G2169" i="1" a="1"/>
  <c r="G2185" i="1" a="1"/>
  <c r="G2201" i="1" a="1"/>
  <c r="G2217" i="1" a="1"/>
  <c r="G2233" i="1" a="1"/>
  <c r="G2249" i="1" a="1"/>
  <c r="G2265" i="1" a="1"/>
  <c r="G2281" i="1" a="1"/>
  <c r="G2297" i="1" a="1"/>
  <c r="G2313" i="1" a="1"/>
  <c r="G2329" i="1" a="1"/>
  <c r="G2345" i="1" a="1"/>
  <c r="G2361" i="1" a="1"/>
  <c r="G2377" i="1" a="1"/>
  <c r="G2393" i="1" a="1"/>
  <c r="G2409" i="1" a="1"/>
  <c r="G2425" i="1" a="1"/>
  <c r="G2441" i="1" a="1"/>
  <c r="G2457" i="1" a="1"/>
  <c r="G2473" i="1" a="1"/>
  <c r="G2489" i="1" a="1"/>
  <c r="G2505" i="1" a="1"/>
  <c r="G2521" i="1" a="1"/>
  <c r="G2537" i="1" a="1"/>
  <c r="G2553" i="1" a="1"/>
  <c r="G2569" i="1" a="1"/>
  <c r="G2592" i="1" a="1"/>
  <c r="G2608" i="1" a="1"/>
  <c r="G2787" i="1" a="1"/>
  <c r="G2954" i="1" a="1"/>
  <c r="G2970" i="1" a="1"/>
  <c r="G2986" i="1" a="1"/>
  <c r="G3065" i="1" a="1"/>
  <c r="G3081" i="1" a="1"/>
  <c r="G3220" i="1" a="1"/>
  <c r="G3236" i="1" a="1"/>
  <c r="G3252" i="1" a="1"/>
  <c r="G3268" i="1" a="1"/>
  <c r="G3307" i="1" a="1"/>
  <c r="G3323" i="1" a="1"/>
  <c r="G3339" i="1" a="1"/>
  <c r="G3355" i="1" a="1"/>
  <c r="G3371" i="1" a="1"/>
  <c r="G3422" i="1" a="1"/>
  <c r="G3453" i="1" a="1"/>
  <c r="G3469" i="1" a="1"/>
  <c r="G3489" i="1" a="1"/>
  <c r="G3157" i="1" a="1"/>
  <c r="G3276" i="1" a="1"/>
  <c r="G3399" i="1" a="1"/>
  <c r="G2362" i="1" a="1"/>
  <c r="G2394" i="1" a="1"/>
  <c r="G2418" i="1" a="1"/>
  <c r="G2466" i="1" a="1"/>
  <c r="G2510" i="1" a="1"/>
  <c r="G2570" i="1" a="1"/>
  <c r="G2796" i="1" a="1"/>
  <c r="G1338" i="1" a="1"/>
  <c r="G1370" i="1" a="1"/>
  <c r="G1402" i="1" a="1"/>
  <c r="G1434" i="1" a="1"/>
  <c r="G1466" i="1" a="1"/>
  <c r="G1498" i="1" a="1"/>
  <c r="G1530" i="1" a="1"/>
  <c r="G1562" i="1" a="1"/>
  <c r="G1594" i="1" a="1"/>
  <c r="G1626" i="1" a="1"/>
  <c r="G1658" i="1" a="1"/>
  <c r="G1690" i="1" a="1"/>
  <c r="G1743" i="1" a="1"/>
  <c r="G1926" i="1" a="1"/>
  <c r="G1958" i="1" a="1"/>
  <c r="G1990" i="1" a="1"/>
  <c r="G2022" i="1" a="1"/>
  <c r="G2624" i="1" a="1"/>
  <c r="G2640" i="1" a="1"/>
  <c r="G2656" i="1" a="1"/>
  <c r="G2672" i="1" a="1"/>
  <c r="G2688" i="1" a="1"/>
  <c r="G2704" i="1" a="1"/>
  <c r="G2720" i="1" a="1"/>
  <c r="G2736" i="1" a="1"/>
  <c r="G2752" i="1" a="1"/>
  <c r="G2768" i="1" a="1"/>
  <c r="G2803" i="1" a="1"/>
  <c r="G2819" i="1" a="1"/>
  <c r="G2835" i="1" a="1"/>
  <c r="G2851" i="1" a="1"/>
  <c r="G2867" i="1" a="1"/>
  <c r="G2883" i="1" a="1"/>
  <c r="G2899" i="1" a="1"/>
  <c r="G2915" i="1" a="1"/>
  <c r="G2931" i="1" a="1"/>
  <c r="G2947" i="1" a="1"/>
  <c r="G3010" i="1" a="1"/>
  <c r="G3026" i="1" a="1"/>
  <c r="G3042" i="1" a="1"/>
  <c r="G3058" i="1" a="1"/>
  <c r="G3097" i="1" a="1"/>
  <c r="G3113" i="1" a="1"/>
  <c r="G3129" i="1" a="1"/>
  <c r="G3153" i="1" a="1"/>
  <c r="G3197" i="1" a="1"/>
  <c r="G3438" i="1" a="1"/>
  <c r="G2458" i="1" a="1"/>
  <c r="G2522" i="1" a="1"/>
  <c r="G2609" i="1" a="1"/>
  <c r="G1717" i="1" a="1"/>
  <c r="G1758" i="1" a="1"/>
  <c r="G1774" i="1" a="1"/>
  <c r="G1790" i="1" a="1"/>
  <c r="G1806" i="1" a="1"/>
  <c r="G1822" i="1" a="1"/>
  <c r="G1838" i="1" a="1"/>
  <c r="G1854" i="1" a="1"/>
  <c r="G1870" i="1" a="1"/>
  <c r="G1886" i="1" a="1"/>
  <c r="G1902" i="1" a="1"/>
  <c r="G2050" i="1" a="1"/>
  <c r="G2066" i="1" a="1"/>
  <c r="G2082" i="1" a="1"/>
  <c r="G2098" i="1" a="1"/>
  <c r="G2114" i="1" a="1"/>
  <c r="G2130" i="1" a="1"/>
  <c r="G2146" i="1" a="1"/>
  <c r="G2162" i="1" a="1"/>
  <c r="G2178" i="1" a="1"/>
  <c r="G2194" i="1" a="1"/>
  <c r="G2210" i="1" a="1"/>
  <c r="G2226" i="1" a="1"/>
  <c r="G2242" i="1" a="1"/>
  <c r="G2258" i="1" a="1"/>
  <c r="G2282" i="1" a="1"/>
  <c r="G2302" i="1" a="1"/>
  <c r="G2318" i="1" a="1"/>
  <c r="G2334" i="1" a="1"/>
  <c r="G2350" i="1" a="1"/>
  <c r="G2374" i="1" a="1"/>
  <c r="G2430" i="1" a="1"/>
  <c r="G2554" i="1" a="1"/>
  <c r="G1323" i="1" a="1"/>
  <c r="G1355" i="1" a="1"/>
  <c r="G1387" i="1" a="1"/>
  <c r="G1419" i="1" a="1"/>
  <c r="G1451" i="1" a="1"/>
  <c r="G1483" i="1" a="1"/>
  <c r="G1515" i="1" a="1"/>
  <c r="G1547" i="1" a="1"/>
  <c r="G1579" i="1" a="1"/>
  <c r="G1611" i="1" a="1"/>
  <c r="G1643" i="1" a="1"/>
  <c r="G1675" i="1" a="1"/>
  <c r="G1723" i="1" a="1"/>
  <c r="G1922" i="1" a="1"/>
  <c r="G1954" i="1" a="1"/>
  <c r="G1986" i="1" a="1"/>
  <c r="G2018" i="1" a="1"/>
  <c r="G1713" i="1" a="1"/>
  <c r="G1759" i="1" a="1"/>
  <c r="G1775" i="1" a="1"/>
  <c r="G1791" i="1" a="1"/>
  <c r="G1807" i="1" a="1"/>
  <c r="G1823" i="1" a="1"/>
  <c r="G1839" i="1" a="1"/>
  <c r="G1855" i="1" a="1"/>
  <c r="G1871" i="1" a="1"/>
  <c r="G1887" i="1" a="1"/>
  <c r="G1903" i="1" a="1"/>
  <c r="G2051" i="1" a="1"/>
  <c r="G2067" i="1" a="1"/>
  <c r="G2083" i="1" a="1"/>
  <c r="G2099" i="1" a="1"/>
  <c r="G2115" i="1" a="1"/>
  <c r="G2131" i="1" a="1"/>
  <c r="G2147" i="1" a="1"/>
  <c r="G2163" i="1" a="1"/>
  <c r="G2179" i="1" a="1"/>
  <c r="G2195" i="1" a="1"/>
  <c r="G2211" i="1" a="1"/>
  <c r="G2227" i="1" a="1"/>
  <c r="G2243" i="1" a="1"/>
  <c r="G2259" i="1" a="1"/>
  <c r="G2275" i="1" a="1"/>
  <c r="G2291" i="1" a="1"/>
  <c r="G1335" i="1" a="1"/>
  <c r="G1367" i="1" a="1"/>
  <c r="G1399" i="1" a="1"/>
  <c r="G1431" i="1" a="1"/>
  <c r="G1463" i="1" a="1"/>
  <c r="G1495" i="1" a="1"/>
  <c r="G1527" i="1" a="1"/>
  <c r="G1559" i="1" a="1"/>
  <c r="G1591" i="1" a="1"/>
  <c r="G1623" i="1" a="1"/>
  <c r="G1655" i="1" a="1"/>
  <c r="G1687" i="1" a="1"/>
  <c r="G1751" i="1" a="1"/>
  <c r="G1934" i="1" a="1"/>
  <c r="G1966" i="1" a="1"/>
  <c r="G1998" i="1" a="1"/>
  <c r="G2030" i="1" a="1"/>
  <c r="G2622" i="1" a="1"/>
  <c r="G2638" i="1" a="1"/>
  <c r="G2654" i="1" a="1"/>
  <c r="G2670" i="1" a="1"/>
  <c r="G2686" i="1" a="1"/>
  <c r="G2702" i="1" a="1"/>
  <c r="G2718" i="1" a="1"/>
  <c r="G2734" i="1" a="1"/>
  <c r="G2750" i="1" a="1"/>
  <c r="G2766" i="1" a="1"/>
  <c r="G2782" i="1" a="1"/>
  <c r="G2813" i="1" a="1"/>
  <c r="G2829" i="1" a="1"/>
  <c r="G2845" i="1" a="1"/>
  <c r="G2861" i="1" a="1"/>
  <c r="G2877" i="1" a="1"/>
  <c r="G2893" i="1" a="1"/>
  <c r="G2909" i="1" a="1"/>
  <c r="G2925" i="1" a="1"/>
  <c r="G2941" i="1" a="1"/>
  <c r="G3000" i="1" a="1"/>
  <c r="G3016" i="1" a="1"/>
  <c r="G3032" i="1" a="1"/>
  <c r="G3048" i="1" a="1"/>
  <c r="G3091" i="1" a="1"/>
  <c r="G3107" i="1" a="1"/>
  <c r="G3123" i="1" a="1"/>
  <c r="G3139" i="1" a="1"/>
  <c r="G3155" i="1" a="1"/>
  <c r="G3171" i="1" a="1"/>
  <c r="G3187" i="1" a="1"/>
  <c r="G3203" i="1" a="1"/>
  <c r="G3282" i="1" a="1"/>
  <c r="G3381" i="1" a="1"/>
  <c r="G3397" i="1" a="1"/>
  <c r="G3424" i="1" a="1"/>
  <c r="G2216" i="1" a="1"/>
  <c r="G2324" i="1" a="1"/>
  <c r="G2348" i="1" a="1"/>
  <c r="G2372" i="1" a="1"/>
  <c r="G2408" i="1" a="1"/>
  <c r="G2432" i="1" a="1"/>
  <c r="G2460" i="1" a="1"/>
  <c r="G2484" i="1" a="1"/>
  <c r="G2508" i="1" a="1"/>
  <c r="G2532" i="1" a="1"/>
  <c r="G1709" i="1" a="1"/>
  <c r="G1760" i="1" a="1"/>
  <c r="G1776" i="1" a="1"/>
  <c r="G1792" i="1" a="1"/>
  <c r="G1808" i="1" a="1"/>
  <c r="G1824" i="1" a="1"/>
  <c r="G1840" i="1" a="1"/>
  <c r="G1856" i="1" a="1"/>
  <c r="G1872" i="1" a="1"/>
  <c r="G1888" i="1" a="1"/>
  <c r="G1904" i="1" a="1"/>
  <c r="G2052" i="1" a="1"/>
  <c r="G2068" i="1" a="1"/>
  <c r="G2084" i="1" a="1"/>
  <c r="G2100" i="1" a="1"/>
  <c r="G2116" i="1" a="1"/>
  <c r="G2132" i="1" a="1"/>
  <c r="G2148" i="1" a="1"/>
  <c r="G2164" i="1" a="1"/>
  <c r="G2180" i="1" a="1"/>
  <c r="G2196" i="1" a="1"/>
  <c r="G2212" i="1" a="1"/>
  <c r="G2232" i="1" a="1"/>
  <c r="G2248" i="1" a="1"/>
  <c r="G2264" i="1" a="1"/>
  <c r="G2280" i="1" a="1"/>
  <c r="G2296" i="1" a="1"/>
  <c r="G2332" i="1" a="1"/>
  <c r="G2376" i="1" a="1"/>
  <c r="G2404" i="1" a="1"/>
  <c r="G2444" i="1" a="1"/>
  <c r="G2488" i="1" a="1"/>
  <c r="G2536" i="1" a="1"/>
  <c r="G2351" i="1" a="1"/>
  <c r="G2479" i="1" a="1"/>
  <c r="G2599" i="1" a="1"/>
  <c r="G2665" i="1" a="1"/>
  <c r="G2786" i="1" a="1"/>
  <c r="G2892" i="1" a="1"/>
  <c r="G2977" i="1" a="1"/>
  <c r="G3063" i="1" a="1"/>
  <c r="G3162" i="1" a="1"/>
  <c r="G3229" i="1" a="1"/>
  <c r="G3289" i="1" a="1"/>
  <c r="G3336" i="1" a="1"/>
  <c r="G3396" i="1" a="1"/>
  <c r="G3468" i="1" a="1"/>
  <c r="G2717" i="1" a="1"/>
  <c r="G2973" i="1" a="1"/>
  <c r="G3277" i="1" a="1"/>
  <c r="G3384" i="1" a="1"/>
  <c r="G3217" i="1" a="1"/>
  <c r="G2952" i="1" a="1"/>
  <c r="G3370" i="1" a="1"/>
  <c r="G3218" i="1" a="1"/>
  <c r="G3400" i="1" a="1"/>
  <c r="G2307" i="1" a="1"/>
  <c r="G2435" i="1" a="1"/>
  <c r="G2567" i="1" a="1"/>
  <c r="G2749" i="1" a="1"/>
  <c r="G3443" i="1" a="1"/>
  <c r="G3439" i="1" a="1"/>
  <c r="G2391" i="1" a="1"/>
  <c r="G2519" i="1" a="1"/>
  <c r="G2595" i="1" a="1"/>
  <c r="G2673" i="1" a="1"/>
  <c r="G2793" i="1" a="1"/>
  <c r="G2868" i="1" a="1"/>
  <c r="G2960" i="1" a="1"/>
  <c r="G3003" i="1" a="1"/>
  <c r="G3106" i="1" a="1"/>
  <c r="G3207" i="1" a="1"/>
  <c r="G3253" i="1" a="1"/>
  <c r="G3314" i="1" a="1"/>
  <c r="G3360" i="1" a="1"/>
  <c r="G3431" i="1" a="1"/>
  <c r="G3474" i="1" a="1"/>
  <c r="G2757" i="1" a="1"/>
  <c r="G2979" i="1" a="1"/>
  <c r="G3074" i="1" a="1"/>
  <c r="G3365" i="1" a="1"/>
  <c r="G3114" i="1" a="1"/>
  <c r="G3198" i="1" a="1"/>
  <c r="G2315" i="1" a="1"/>
  <c r="G2443" i="1" a="1"/>
  <c r="G2563" i="1" a="1"/>
  <c r="G2693" i="1" a="1"/>
  <c r="G3023" i="1" a="1"/>
  <c r="G2303" i="1" a="1"/>
  <c r="G2431" i="1" a="1"/>
  <c r="G2586" i="1" a="1"/>
  <c r="G2618" i="1" a="1"/>
  <c r="G2745" i="1" a="1"/>
  <c r="G2812" i="1" a="1"/>
  <c r="G2961" i="1" a="1"/>
  <c r="G3066" i="1" a="1"/>
  <c r="G2419" i="1" a="1"/>
  <c r="G2547" i="1" a="1"/>
  <c r="G2637" i="1" a="1"/>
  <c r="G2765" i="1" a="1"/>
  <c r="G2928" i="1" a="1"/>
  <c r="G2311" i="1" a="1"/>
  <c r="G2439" i="1" a="1"/>
  <c r="G2587" i="1" a="1"/>
  <c r="G2619" i="1" a="1"/>
  <c r="G2721" i="1" a="1"/>
  <c r="G2820" i="1" a="1"/>
  <c r="G2948" i="1" a="1"/>
  <c r="G2985" i="1" a="1"/>
  <c r="G3071" i="1" a="1"/>
  <c r="G3154" i="1" a="1"/>
  <c r="G3223" i="1" a="1"/>
  <c r="G3281" i="1" a="1"/>
  <c r="G3330" i="1" a="1"/>
  <c r="G3376" i="1" a="1"/>
  <c r="G3458" i="1" a="1"/>
  <c r="G3499" i="1" a="1"/>
  <c r="G3047" i="1" a="1"/>
  <c r="G3225" i="1" a="1"/>
  <c r="G3341" i="1" a="1"/>
  <c r="G3190" i="1" a="1"/>
  <c r="G3420" i="1" a="1"/>
  <c r="G3222" i="1" a="1"/>
  <c r="G3352" i="1" a="1"/>
  <c r="G3075" i="1" a="1"/>
  <c r="G3325" i="1" a="1"/>
  <c r="G2363" i="1" a="1"/>
  <c r="G2491" i="1" a="1"/>
  <c r="G2571" i="1" a="1"/>
  <c r="G2677" i="1" a="1"/>
  <c r="G2808" i="1" a="1"/>
  <c r="G2936" i="1" a="1"/>
  <c r="G2995" i="1" a="1"/>
  <c r="G3076" i="1" a="1"/>
  <c r="G3210" i="1" a="1"/>
  <c r="G3251" i="1" a="1"/>
  <c r="G3308" i="1" a="1"/>
  <c r="G3349" i="1" a="1"/>
  <c r="G3413" i="1" a="1"/>
  <c r="G3463" i="1" a="1"/>
  <c r="G2621" i="1" a="1"/>
  <c r="G2987" i="1" a="1"/>
  <c r="G3234" i="1" a="1"/>
  <c r="G3235" i="1" a="1"/>
  <c r="G3356" i="1" a="1"/>
  <c r="G3488" i="1" a="1"/>
  <c r="G3178" i="1" a="1"/>
  <c r="G3361" i="1" a="1"/>
  <c r="G3102" i="1" a="1"/>
  <c r="G3462" i="1" a="1"/>
  <c r="G2957" i="1" a="1"/>
  <c r="G3080" i="1" a="1"/>
  <c r="G3237" i="1" a="1"/>
  <c r="G3344" i="1" a="1"/>
  <c r="G3467" i="1" a="1"/>
  <c r="G3086" i="1" a="1"/>
  <c r="G3364" i="1" a="1"/>
  <c r="G3249" i="1" a="1"/>
  <c r="G3273" i="1" a="1"/>
  <c r="G3084" i="1" a="1"/>
  <c r="G2395" i="1" a="1"/>
  <c r="G2523" i="1" a="1"/>
  <c r="G2709" i="1" a="1"/>
  <c r="G2963" i="1" a="1"/>
  <c r="G3007" i="1" a="1"/>
  <c r="G3219" i="1" a="1"/>
  <c r="G3265" i="1" a="1"/>
  <c r="G3358" i="1" a="1"/>
  <c r="G3472" i="1" a="1"/>
  <c r="G3015" i="1" a="1"/>
  <c r="G3257" i="1" a="1"/>
  <c r="G3374" i="1" a="1"/>
  <c r="G2984" i="1" a="1"/>
  <c r="G3302" i="1" a="1"/>
  <c r="G1700" i="1" a="1"/>
  <c r="G1716" i="1" a="1"/>
  <c r="G1732" i="1" a="1"/>
  <c r="G1748" i="1" a="1"/>
  <c r="G1317" i="1" a="1"/>
  <c r="G1333" i="1" a="1"/>
  <c r="G1349" i="1" a="1"/>
  <c r="G1365" i="1" a="1"/>
  <c r="G1381" i="1" a="1"/>
  <c r="G1397" i="1" a="1"/>
  <c r="G1413" i="1" a="1"/>
  <c r="G1429" i="1" a="1"/>
  <c r="G1445" i="1" a="1"/>
  <c r="G1461" i="1" a="1"/>
  <c r="G1477" i="1" a="1"/>
  <c r="G1493" i="1" a="1"/>
  <c r="G1509" i="1" a="1"/>
  <c r="G1525" i="1" a="1"/>
  <c r="G1541" i="1" a="1"/>
  <c r="G1557" i="1" a="1"/>
  <c r="G1573" i="1" a="1"/>
  <c r="G1589" i="1" a="1"/>
  <c r="G1605" i="1" a="1"/>
  <c r="G1621" i="1" a="1"/>
  <c r="G1637" i="1" a="1"/>
  <c r="G1653" i="1" a="1"/>
  <c r="G1669" i="1" a="1"/>
  <c r="G1685" i="1" a="1"/>
  <c r="G1916" i="1" a="1"/>
  <c r="G1932" i="1" a="1"/>
  <c r="G1948" i="1" a="1"/>
  <c r="G1964" i="1" a="1"/>
  <c r="G1980" i="1" a="1"/>
  <c r="G1996" i="1" a="1"/>
  <c r="G2012" i="1" a="1"/>
  <c r="G2028" i="1" a="1"/>
  <c r="G1694" i="1" a="1"/>
  <c r="G1710" i="1" a="1"/>
  <c r="G1726" i="1" a="1"/>
  <c r="G1742" i="1" a="1"/>
  <c r="G1312" i="1" a="1"/>
  <c r="G1328" i="1" a="1"/>
  <c r="G1344" i="1" a="1"/>
  <c r="G1360" i="1" a="1"/>
  <c r="G1376" i="1" a="1"/>
  <c r="G1392" i="1" a="1"/>
  <c r="G1408" i="1" a="1"/>
  <c r="G1424" i="1" a="1"/>
  <c r="G1440" i="1" a="1"/>
  <c r="G1456" i="1" a="1"/>
  <c r="G1472" i="1" a="1"/>
  <c r="G1488" i="1" a="1"/>
  <c r="G1504" i="1" a="1"/>
  <c r="G1520" i="1" a="1"/>
  <c r="G1536" i="1" a="1"/>
  <c r="G1552" i="1" a="1"/>
  <c r="G1568" i="1" a="1"/>
  <c r="G1584" i="1" a="1"/>
  <c r="G1600" i="1" a="1"/>
  <c r="G1616" i="1" a="1"/>
  <c r="G1632" i="1" a="1"/>
  <c r="G1648" i="1" a="1"/>
  <c r="G1664" i="1" a="1"/>
  <c r="G1680" i="1" a="1"/>
  <c r="G1911" i="1" a="1"/>
  <c r="G1927" i="1" a="1"/>
  <c r="G1943" i="1" a="1"/>
  <c r="G1959" i="1" a="1"/>
  <c r="G1975" i="1" a="1"/>
  <c r="G1991" i="1" a="1"/>
  <c r="G2007" i="1" a="1"/>
  <c r="G2023" i="1" a="1"/>
  <c r="G1326" i="1" a="1"/>
  <c r="G1358" i="1" a="1"/>
  <c r="G1390" i="1" a="1"/>
  <c r="G1422" i="1" a="1"/>
  <c r="G1454" i="1" a="1"/>
  <c r="G1486" i="1" a="1"/>
  <c r="G1518" i="1" a="1"/>
  <c r="G1550" i="1" a="1"/>
  <c r="G1582" i="1" a="1"/>
  <c r="G1614" i="1" a="1"/>
  <c r="G1646" i="1" a="1"/>
  <c r="G1678" i="1" a="1"/>
  <c r="G1731" i="1" a="1"/>
  <c r="G1925" i="1" a="1"/>
  <c r="G1957" i="1" a="1"/>
  <c r="G1989" i="1" a="1"/>
  <c r="G2021" i="1" a="1"/>
  <c r="G2623" i="1" a="1"/>
  <c r="G2639" i="1" a="1"/>
  <c r="G2655" i="1" a="1"/>
  <c r="G2671" i="1" a="1"/>
  <c r="G2687" i="1" a="1"/>
  <c r="G2703" i="1" a="1"/>
  <c r="G2719" i="1" a="1"/>
  <c r="G2735" i="1" a="1"/>
  <c r="G2751" i="1" a="1"/>
  <c r="G2767" i="1" a="1"/>
  <c r="G2783" i="1" a="1"/>
  <c r="G2814" i="1" a="1"/>
  <c r="G2830" i="1" a="1"/>
  <c r="G2846" i="1" a="1"/>
  <c r="G2862" i="1" a="1"/>
  <c r="G2878" i="1" a="1"/>
  <c r="G2894" i="1" a="1"/>
  <c r="G2910" i="1" a="1"/>
  <c r="G2926" i="1" a="1"/>
  <c r="G2942" i="1" a="1"/>
  <c r="G3001" i="1" a="1"/>
  <c r="G3017" i="1" a="1"/>
  <c r="G3033" i="1" a="1"/>
  <c r="G3049" i="1" a="1"/>
  <c r="G3092" i="1" a="1"/>
  <c r="G3108" i="1" a="1"/>
  <c r="G3124" i="1" a="1"/>
  <c r="G3140" i="1" a="1"/>
  <c r="G3156" i="1" a="1"/>
  <c r="G3172" i="1" a="1"/>
  <c r="G3188" i="1" a="1"/>
  <c r="G3204" i="1" a="1"/>
  <c r="G3283" i="1" a="1"/>
  <c r="G3382" i="1" a="1"/>
  <c r="G3398" i="1" a="1"/>
  <c r="G3425" i="1" a="1"/>
  <c r="G3481" i="1" a="1"/>
  <c r="G3177" i="1" a="1"/>
  <c r="G3280" i="1" a="1"/>
  <c r="G3407" i="1" a="1"/>
  <c r="G2414" i="1" a="1"/>
  <c r="G2478" i="1" a="1"/>
  <c r="G2526" i="1" a="1"/>
  <c r="G2574" i="1" a="1"/>
  <c r="G2617" i="1" a="1"/>
  <c r="G1737" i="1" a="1"/>
  <c r="G1765" i="1" a="1"/>
  <c r="G1781" i="1" a="1"/>
  <c r="G1797" i="1" a="1"/>
  <c r="G1813" i="1" a="1"/>
  <c r="G1829" i="1" a="1"/>
  <c r="G1845" i="1" a="1"/>
  <c r="G1861" i="1" a="1"/>
  <c r="G1877" i="1" a="1"/>
  <c r="G1893" i="1" a="1"/>
  <c r="G2045" i="1" a="1"/>
  <c r="G2061" i="1" a="1"/>
  <c r="G2077" i="1" a="1"/>
  <c r="G2093" i="1" a="1"/>
  <c r="G2109" i="1" a="1"/>
  <c r="G2125" i="1" a="1"/>
  <c r="G2141" i="1" a="1"/>
  <c r="G2157" i="1" a="1"/>
  <c r="G2173" i="1" a="1"/>
  <c r="G2189" i="1" a="1"/>
  <c r="G2205" i="1" a="1"/>
  <c r="G2221" i="1" a="1"/>
  <c r="G2237" i="1" a="1"/>
  <c r="G2253" i="1" a="1"/>
  <c r="G2269" i="1" a="1"/>
  <c r="G2285" i="1" a="1"/>
  <c r="G2301" i="1" a="1"/>
  <c r="G2317" i="1" a="1"/>
  <c r="G2333" i="1" a="1"/>
  <c r="G2349" i="1" a="1"/>
  <c r="G2365" i="1" a="1"/>
  <c r="G2381" i="1" a="1"/>
  <c r="G2397" i="1" a="1"/>
  <c r="G2413" i="1" a="1"/>
  <c r="G2429" i="1" a="1"/>
  <c r="G2445" i="1" a="1"/>
  <c r="G2461" i="1" a="1"/>
  <c r="G2477" i="1" a="1"/>
  <c r="G2493" i="1" a="1"/>
  <c r="G2509" i="1" a="1"/>
  <c r="G2525" i="1" a="1"/>
  <c r="G2541" i="1" a="1"/>
  <c r="G2557" i="1" a="1"/>
  <c r="G2573" i="1" a="1"/>
  <c r="G2596" i="1" a="1"/>
  <c r="G2612" i="1" a="1"/>
  <c r="G2791" i="1" a="1"/>
  <c r="G2958" i="1" a="1"/>
  <c r="G2974" i="1" a="1"/>
  <c r="G2990" i="1" a="1"/>
  <c r="G3069" i="1" a="1"/>
  <c r="G3208" i="1" a="1"/>
  <c r="G3224" i="1" a="1"/>
  <c r="G3240" i="1" a="1"/>
  <c r="G3256" i="1" a="1"/>
  <c r="G3295" i="1" a="1"/>
  <c r="G3311" i="1" a="1"/>
  <c r="G3327" i="1" a="1"/>
  <c r="G3343" i="1" a="1"/>
  <c r="G3359" i="1" a="1"/>
  <c r="G3375" i="1" a="1"/>
  <c r="G3441" i="1" a="1"/>
  <c r="G3457" i="1" a="1"/>
  <c r="G3473" i="1" a="1"/>
  <c r="G3493" i="1" a="1"/>
  <c r="G3173" i="1" a="1"/>
  <c r="G3284" i="1" a="1"/>
  <c r="G3411" i="1" a="1"/>
  <c r="G2370" i="1" a="1"/>
  <c r="G2398" i="1" a="1"/>
  <c r="G2426" i="1" a="1"/>
  <c r="G2470" i="1" a="1"/>
  <c r="G2530" i="1" a="1"/>
  <c r="G2597" i="1" a="1"/>
  <c r="G1311" i="1" a="1"/>
  <c r="G1343" i="1" a="1"/>
  <c r="G1375" i="1" a="1"/>
  <c r="G1407" i="1" a="1"/>
  <c r="G1439" i="1" a="1"/>
  <c r="G1471" i="1" a="1"/>
  <c r="G1503" i="1" a="1"/>
  <c r="G1535" i="1" a="1"/>
  <c r="G1567" i="1" a="1"/>
  <c r="G1599" i="1" a="1"/>
  <c r="G1631" i="1" a="1"/>
  <c r="G1663" i="1" a="1"/>
  <c r="G1695" i="1" a="1"/>
  <c r="G1905" i="1" a="1"/>
  <c r="G1937" i="1" a="1"/>
  <c r="G1969" i="1" a="1"/>
  <c r="G2001" i="1" a="1"/>
  <c r="G2037" i="1" a="1"/>
  <c r="G2628" i="1" a="1"/>
  <c r="G2644" i="1" a="1"/>
  <c r="G2660" i="1" a="1"/>
  <c r="G2676" i="1" a="1"/>
  <c r="G2692" i="1" a="1"/>
  <c r="G2708" i="1" a="1"/>
  <c r="G2724" i="1" a="1"/>
  <c r="G2740" i="1" a="1"/>
  <c r="G2756" i="1" a="1"/>
  <c r="G2772" i="1" a="1"/>
  <c r="G2807" i="1" a="1"/>
  <c r="G2823" i="1" a="1"/>
  <c r="G2839" i="1" a="1"/>
  <c r="G2855" i="1" a="1"/>
  <c r="G2871" i="1" a="1"/>
  <c r="G2887" i="1" a="1"/>
  <c r="G2903" i="1" a="1"/>
  <c r="G2919" i="1" a="1"/>
  <c r="G2935" i="1" a="1"/>
  <c r="G2998" i="1" a="1"/>
  <c r="G3014" i="1" a="1"/>
  <c r="G3030" i="1" a="1"/>
  <c r="G3046" i="1" a="1"/>
  <c r="G3085" i="1" a="1"/>
  <c r="G3101" i="1" a="1"/>
  <c r="G3117" i="1" a="1"/>
  <c r="G3133" i="1" a="1"/>
  <c r="G3161" i="1" a="1"/>
  <c r="G3288" i="1" a="1"/>
  <c r="G2278" i="1" a="1"/>
  <c r="G2474" i="1" a="1"/>
  <c r="G2534" i="1" a="1"/>
  <c r="G2784" i="1" a="1"/>
  <c r="G1733" i="1" a="1"/>
  <c r="G1762" i="1" a="1"/>
  <c r="G1778" i="1" a="1"/>
  <c r="G1794" i="1" a="1"/>
  <c r="G1810" i="1" a="1"/>
  <c r="G1826" i="1" a="1"/>
  <c r="G1842" i="1" a="1"/>
  <c r="G1858" i="1" a="1"/>
  <c r="G1874" i="1" a="1"/>
  <c r="G1890" i="1" a="1"/>
  <c r="G2033" i="1" a="1"/>
  <c r="G2054" i="1" a="1"/>
  <c r="G2070" i="1" a="1"/>
  <c r="G2086" i="1" a="1"/>
  <c r="G2102" i="1" a="1"/>
  <c r="G2118" i="1" a="1"/>
  <c r="G2134" i="1" a="1"/>
  <c r="G2150" i="1" a="1"/>
  <c r="G2166" i="1" a="1"/>
  <c r="G2182" i="1" a="1"/>
  <c r="G2198" i="1" a="1"/>
  <c r="G2214" i="1" a="1"/>
  <c r="G2230" i="1" a="1"/>
  <c r="G2246" i="1" a="1"/>
  <c r="G2262" i="1" a="1"/>
  <c r="G2286" i="1" a="1"/>
  <c r="G2306" i="1" a="1"/>
  <c r="G2322" i="1" a="1"/>
  <c r="G2338" i="1" a="1"/>
  <c r="G2354" i="1" a="1"/>
  <c r="G2382" i="1" a="1"/>
  <c r="G2454" i="1" a="1"/>
  <c r="G2589" i="1" a="1"/>
  <c r="G1334" i="1" a="1"/>
  <c r="G1366" i="1" a="1"/>
  <c r="G1398" i="1" a="1"/>
  <c r="G1430" i="1" a="1"/>
  <c r="G1462" i="1" a="1"/>
  <c r="G1494" i="1" a="1"/>
  <c r="G1526" i="1" a="1"/>
  <c r="G1558" i="1" a="1"/>
  <c r="G1590" i="1" a="1"/>
  <c r="G1622" i="1" a="1"/>
  <c r="G1654" i="1" a="1"/>
  <c r="G1686" i="1" a="1"/>
  <c r="G1739" i="1" a="1"/>
  <c r="G1933" i="1" a="1"/>
  <c r="G1965" i="1" a="1"/>
  <c r="G1997" i="1" a="1"/>
  <c r="G2029" i="1" a="1"/>
  <c r="G1729" i="1" a="1"/>
  <c r="G1763" i="1" a="1"/>
  <c r="G1779" i="1" a="1"/>
  <c r="G1795" i="1" a="1"/>
  <c r="G1811" i="1" a="1"/>
  <c r="G1827" i="1" a="1"/>
  <c r="G1843" i="1" a="1"/>
  <c r="G1859" i="1" a="1"/>
  <c r="G1875" i="1" a="1"/>
  <c r="G1891" i="1" a="1"/>
  <c r="G2034" i="1" a="1"/>
  <c r="G2055" i="1" a="1"/>
  <c r="G2071" i="1" a="1"/>
  <c r="G2087" i="1" a="1"/>
  <c r="G2103" i="1" a="1"/>
  <c r="G2119" i="1" a="1"/>
  <c r="G2135" i="1" a="1"/>
  <c r="G2151" i="1" a="1"/>
  <c r="G2167" i="1" a="1"/>
  <c r="G2183" i="1" a="1"/>
  <c r="G2199" i="1" a="1"/>
  <c r="G2215" i="1" a="1"/>
  <c r="G2231" i="1" a="1"/>
  <c r="G2247" i="1" a="1"/>
  <c r="G2263" i="1" a="1"/>
  <c r="G2279" i="1" a="1"/>
  <c r="G1314" i="1" a="1"/>
  <c r="G1346" i="1" a="1"/>
  <c r="G1378" i="1" a="1"/>
  <c r="G1410" i="1" a="1"/>
  <c r="G1442" i="1" a="1"/>
  <c r="G1474" i="1" a="1"/>
  <c r="G1506" i="1" a="1"/>
  <c r="G1538" i="1" a="1"/>
  <c r="G1570" i="1" a="1"/>
  <c r="G1602" i="1" a="1"/>
  <c r="G1634" i="1" a="1"/>
  <c r="G1666" i="1" a="1"/>
  <c r="G1703" i="1" a="1"/>
  <c r="G1913" i="1" a="1"/>
  <c r="G1945" i="1" a="1"/>
  <c r="G1977" i="1" a="1"/>
  <c r="G2009" i="1" a="1"/>
  <c r="G2039" i="1" a="1"/>
  <c r="G2626" i="1" a="1"/>
  <c r="G2642" i="1" a="1"/>
  <c r="G2658" i="1" a="1"/>
  <c r="G2674" i="1" a="1"/>
  <c r="G2690" i="1" a="1"/>
  <c r="G2706" i="1" a="1"/>
  <c r="G2722" i="1" a="1"/>
  <c r="G2738" i="1" a="1"/>
  <c r="G2754" i="1" a="1"/>
  <c r="G2770" i="1" a="1"/>
  <c r="G2801" i="1" a="1"/>
  <c r="G2817" i="1" a="1"/>
  <c r="G2833" i="1" a="1"/>
  <c r="G2849" i="1" a="1"/>
  <c r="G2865" i="1" a="1"/>
  <c r="G2881" i="1" a="1"/>
  <c r="G2897" i="1" a="1"/>
  <c r="G2913" i="1" a="1"/>
  <c r="G2929" i="1" a="1"/>
  <c r="G2945" i="1" a="1"/>
  <c r="G3004" i="1" a="1"/>
  <c r="G3020" i="1" a="1"/>
  <c r="G3036" i="1" a="1"/>
  <c r="G3052" i="1" a="1"/>
  <c r="G3095" i="1" a="1"/>
  <c r="G3111" i="1" a="1"/>
  <c r="G3127" i="1" a="1"/>
  <c r="G3143" i="1" a="1"/>
  <c r="G3159" i="1" a="1"/>
  <c r="G3175" i="1" a="1"/>
  <c r="G3191" i="1" a="1"/>
  <c r="G3270" i="1" a="1"/>
  <c r="G3286" i="1" a="1"/>
  <c r="G3385" i="1" a="1"/>
  <c r="G3401" i="1" a="1"/>
  <c r="G3428" i="1" a="1"/>
  <c r="G2300" i="1" a="1"/>
  <c r="G2328" i="1" a="1"/>
  <c r="G2352" i="1" a="1"/>
  <c r="G2384" i="1" a="1"/>
  <c r="G2416" i="1" a="1"/>
  <c r="G2440" i="1" a="1"/>
  <c r="G2468" i="1" a="1"/>
  <c r="G2492" i="1" a="1"/>
  <c r="G2512" i="1" a="1"/>
  <c r="G2540" i="1" a="1"/>
  <c r="G1725" i="1" a="1"/>
  <c r="G1764" i="1" a="1"/>
  <c r="G1780" i="1" a="1"/>
  <c r="G1796" i="1" a="1"/>
  <c r="G1812" i="1" a="1"/>
  <c r="G1828" i="1" a="1"/>
  <c r="G1844" i="1" a="1"/>
  <c r="G1860" i="1" a="1"/>
  <c r="G1876" i="1" a="1"/>
  <c r="G1892" i="1" a="1"/>
  <c r="G2035" i="1" a="1"/>
  <c r="G2056" i="1" a="1"/>
  <c r="G2072" i="1" a="1"/>
  <c r="G2088" i="1" a="1"/>
  <c r="G2104" i="1" a="1"/>
  <c r="G2120" i="1" a="1"/>
  <c r="G2136" i="1" a="1"/>
  <c r="G2152" i="1" a="1"/>
  <c r="G2168" i="1" a="1"/>
  <c r="G2184" i="1" a="1"/>
  <c r="G2200" i="1" a="1"/>
  <c r="G2220" i="1" a="1"/>
  <c r="G2236" i="1" a="1"/>
  <c r="G2252" i="1" a="1"/>
  <c r="G2268" i="1" a="1"/>
  <c r="G2284" i="1" a="1"/>
  <c r="G2304" i="1" a="1"/>
  <c r="G2344" i="1" a="1"/>
  <c r="G2380" i="1" a="1"/>
  <c r="G2412" i="1" a="1"/>
  <c r="G2456" i="1" a="1"/>
  <c r="G2500" i="1" a="1"/>
  <c r="G2544" i="1" a="1"/>
  <c r="G2383" i="1" a="1"/>
  <c r="G2511" i="1" a="1"/>
  <c r="G2610" i="1" a="1"/>
  <c r="G2697" i="1" a="1"/>
  <c r="G2797" i="1" a="1"/>
  <c r="G2924" i="1" a="1"/>
  <c r="G2991" i="1" a="1"/>
  <c r="G3072" i="1" a="1"/>
  <c r="G3194" i="1" a="1"/>
  <c r="G3238" i="1" a="1"/>
  <c r="G3304" i="1" a="1"/>
  <c r="G3345" i="1" a="1"/>
  <c r="G3423" i="1" a="1"/>
  <c r="G3482" i="1" a="1"/>
  <c r="G2848" i="1" a="1"/>
  <c r="G3068" i="1" a="1"/>
  <c r="G3318" i="1" a="1"/>
  <c r="G3419" i="1" a="1"/>
  <c r="G3226" i="1" a="1"/>
  <c r="G3011" i="1" a="1"/>
  <c r="G3475" i="1" a="1"/>
  <c r="G3293" i="1" a="1"/>
  <c r="G3421" i="1" a="1"/>
  <c r="G2339" i="1" a="1"/>
  <c r="G2467" i="1" a="1"/>
  <c r="G2572" i="1" a="1"/>
  <c r="G3309" i="1" a="1"/>
  <c r="G2971" i="1" a="1"/>
  <c r="G2295" i="1" a="1"/>
  <c r="G2423" i="1" a="1"/>
  <c r="G2551" i="1" a="1"/>
  <c r="G2606" i="1" a="1"/>
  <c r="G2705" i="1" a="1"/>
  <c r="G2798" i="1" a="1"/>
  <c r="G2900" i="1" a="1"/>
  <c r="G2969" i="1" a="1"/>
  <c r="G3035" i="1" a="1"/>
  <c r="G3138" i="1" a="1"/>
  <c r="G3221" i="1" a="1"/>
  <c r="G3262" i="1" a="1"/>
  <c r="G3328" i="1" a="1"/>
  <c r="G3369" i="1" a="1"/>
  <c r="G3442" i="1" a="1"/>
  <c r="G3483" i="1" a="1"/>
  <c r="G2824" i="1" a="1"/>
  <c r="G2988" i="1" a="1"/>
  <c r="G3083" i="1" a="1"/>
  <c r="G3392" i="1" a="1"/>
  <c r="G3254" i="1" a="1"/>
  <c r="G3250" i="1" a="1"/>
  <c r="G2347" i="1" a="1"/>
  <c r="G2475" i="1" a="1"/>
  <c r="G2568" i="1" a="1"/>
  <c r="G2856" i="1" a="1"/>
  <c r="G3285" i="1" a="1"/>
  <c r="G2335" i="1" a="1"/>
  <c r="G2463" i="1" a="1"/>
  <c r="G2591" i="1" a="1"/>
  <c r="G2649" i="1" a="1"/>
  <c r="G2777" i="1" a="1"/>
  <c r="G2844" i="1" a="1"/>
  <c r="G2975" i="1" a="1"/>
  <c r="G2323" i="1" a="1"/>
  <c r="G2451" i="1" a="1"/>
  <c r="G2559" i="1" a="1"/>
  <c r="G2669" i="1" a="1"/>
  <c r="G2832" i="1" a="1"/>
  <c r="G2343" i="1" a="1"/>
  <c r="G2471" i="1" a="1"/>
  <c r="G2598" i="1" a="1"/>
  <c r="G2625" i="1" a="1"/>
  <c r="G2753" i="1" a="1"/>
  <c r="G2852" i="1" a="1"/>
  <c r="G2953" i="1" a="1"/>
  <c r="G3019" i="1" a="1"/>
  <c r="G3186" i="1" a="1"/>
  <c r="G3298" i="1" a="1"/>
  <c r="G3388" i="1" a="1"/>
  <c r="G2556" i="1" a="1"/>
  <c r="G3243" i="1" a="1"/>
  <c r="G3447" i="1" a="1"/>
  <c r="G3466" i="1" a="1"/>
  <c r="G3494" i="1" a="1"/>
  <c r="G2576" i="1" a="1"/>
  <c r="G2840" i="1" a="1"/>
  <c r="G3110" i="1" a="1"/>
  <c r="G3317" i="1" a="1"/>
  <c r="G3435" i="1" a="1"/>
  <c r="G2816" i="1" a="1"/>
  <c r="G3258" i="1" a="1"/>
  <c r="G3213" i="1" a="1"/>
  <c r="G1704" i="1" a="1"/>
  <c r="G1720" i="1" a="1"/>
  <c r="G1736" i="1" a="1"/>
  <c r="G1752" i="1" a="1"/>
  <c r="G1321" i="1" a="1"/>
  <c r="G1337" i="1" a="1"/>
  <c r="G1353" i="1" a="1"/>
  <c r="G1369" i="1" a="1"/>
  <c r="G1385" i="1" a="1"/>
  <c r="G1401" i="1" a="1"/>
  <c r="G1417" i="1" a="1"/>
  <c r="G1433" i="1" a="1"/>
  <c r="G1449" i="1" a="1"/>
  <c r="G1465" i="1" a="1"/>
  <c r="G1481" i="1" a="1"/>
  <c r="G1497" i="1" a="1"/>
  <c r="G1513" i="1" a="1"/>
  <c r="G1529" i="1" a="1"/>
  <c r="G1545" i="1" a="1"/>
  <c r="G1561" i="1" a="1"/>
  <c r="G1577" i="1" a="1"/>
  <c r="G1593" i="1" a="1"/>
  <c r="G1609" i="1" a="1"/>
  <c r="G1625" i="1" a="1"/>
  <c r="G1641" i="1" a="1"/>
  <c r="G1657" i="1" a="1"/>
  <c r="G1673" i="1" a="1"/>
  <c r="G1689" i="1" a="1"/>
  <c r="G1920" i="1" a="1"/>
  <c r="G1936" i="1" a="1"/>
  <c r="G1952" i="1" a="1"/>
  <c r="G1968" i="1" a="1"/>
  <c r="G1984" i="1" a="1"/>
  <c r="G2000" i="1" a="1"/>
  <c r="G2016" i="1" a="1"/>
  <c r="G2032" i="1" a="1"/>
  <c r="G1698" i="1" a="1"/>
  <c r="G1714" i="1" a="1"/>
  <c r="G1730" i="1" a="1"/>
  <c r="G1746" i="1" a="1"/>
  <c r="G1316" i="1" a="1"/>
  <c r="G1332" i="1" a="1"/>
  <c r="G1348" i="1" a="1"/>
  <c r="G1364" i="1" a="1"/>
  <c r="G1380" i="1" a="1"/>
  <c r="G1396" i="1" a="1"/>
  <c r="G1412" i="1" a="1"/>
  <c r="G1428" i="1" a="1"/>
  <c r="G1444" i="1" a="1"/>
  <c r="G1460" i="1" a="1"/>
  <c r="G1476" i="1" a="1"/>
  <c r="G1492" i="1" a="1"/>
  <c r="G1508" i="1" a="1"/>
  <c r="G1524" i="1" a="1"/>
  <c r="G1540" i="1" a="1"/>
  <c r="G1556" i="1" a="1"/>
  <c r="G1572" i="1" a="1"/>
  <c r="G1588" i="1" a="1"/>
  <c r="G1604" i="1" a="1"/>
  <c r="G1620" i="1" a="1"/>
  <c r="G1636" i="1" a="1"/>
  <c r="G1652" i="1" a="1"/>
  <c r="G1668" i="1" a="1"/>
  <c r="G1684" i="1" a="1"/>
  <c r="G1915" i="1" a="1"/>
  <c r="G1931" i="1" a="1"/>
  <c r="G1947" i="1" a="1"/>
  <c r="G1963" i="1" a="1"/>
  <c r="G1979" i="1" a="1"/>
  <c r="G1995" i="1" a="1"/>
  <c r="G2011" i="1" a="1"/>
  <c r="G2027" i="1" a="1"/>
  <c r="G1331" i="1" a="1"/>
  <c r="G1363" i="1" a="1"/>
  <c r="G1395" i="1" a="1"/>
  <c r="G1427" i="1" a="1"/>
  <c r="G1459" i="1" a="1"/>
  <c r="G1491" i="1" a="1"/>
  <c r="G1523" i="1" a="1"/>
  <c r="G1555" i="1" a="1"/>
  <c r="G1587" i="1" a="1"/>
  <c r="G1619" i="1" a="1"/>
  <c r="G1651" i="1" a="1"/>
  <c r="G1683" i="1" a="1"/>
  <c r="G1747" i="1" a="1"/>
  <c r="G1930" i="1" a="1"/>
  <c r="G1962" i="1" a="1"/>
  <c r="G1994" i="1" a="1"/>
  <c r="G2026" i="1" a="1"/>
  <c r="G2627" i="1" a="1"/>
  <c r="G2643" i="1" a="1"/>
  <c r="G2659" i="1" a="1"/>
  <c r="G2675" i="1" a="1"/>
  <c r="G2691" i="1" a="1"/>
  <c r="G2707" i="1" a="1"/>
  <c r="G2723" i="1" a="1"/>
  <c r="G2739" i="1" a="1"/>
  <c r="G2755" i="1" a="1"/>
  <c r="G2771" i="1" a="1"/>
  <c r="G2802" i="1" a="1"/>
  <c r="G2818" i="1" a="1"/>
  <c r="G2834" i="1" a="1"/>
  <c r="G2850" i="1" a="1"/>
  <c r="G2866" i="1" a="1"/>
  <c r="G2882" i="1" a="1"/>
  <c r="G2898" i="1" a="1"/>
  <c r="G2914" i="1" a="1"/>
  <c r="G2930" i="1" a="1"/>
  <c r="G2946" i="1" a="1"/>
  <c r="G3005" i="1" a="1"/>
  <c r="G3021" i="1" a="1"/>
  <c r="G3037" i="1" a="1"/>
  <c r="G3053" i="1" a="1"/>
  <c r="G3096" i="1" a="1"/>
  <c r="G3112" i="1" a="1"/>
  <c r="G3128" i="1" a="1"/>
  <c r="G3144" i="1" a="1"/>
  <c r="G3160" i="1" a="1"/>
  <c r="G3176" i="1" a="1"/>
  <c r="G3192" i="1" a="1"/>
  <c r="G3271" i="1" a="1"/>
  <c r="G3287" i="1" a="1"/>
  <c r="G3386" i="1" a="1"/>
  <c r="G3402" i="1" a="1"/>
  <c r="G3429" i="1" a="1"/>
  <c r="G3501" i="1" a="1"/>
  <c r="G3189" i="1" a="1"/>
  <c r="G3292" i="1" a="1"/>
  <c r="G3426" i="1" a="1"/>
  <c r="G2438" i="1" a="1"/>
  <c r="G2490" i="1" a="1"/>
  <c r="G2538" i="1" a="1"/>
  <c r="G2585" i="1" a="1"/>
  <c r="G2792" i="1" a="1"/>
  <c r="G1753" i="1" a="1"/>
  <c r="G1769" i="1" a="1"/>
  <c r="G1785" i="1" a="1"/>
  <c r="G1801" i="1" a="1"/>
  <c r="G1817" i="1" a="1"/>
  <c r="G1833" i="1" a="1"/>
  <c r="G1849" i="1" a="1"/>
  <c r="G1865" i="1" a="1"/>
  <c r="G1881" i="1" a="1"/>
  <c r="G1897" i="1" a="1"/>
  <c r="G2049" i="1" a="1"/>
  <c r="G2065" i="1" a="1"/>
  <c r="G2081" i="1" a="1"/>
  <c r="G2097" i="1" a="1"/>
  <c r="G2113" i="1" a="1"/>
  <c r="G2129" i="1" a="1"/>
  <c r="G2145" i="1" a="1"/>
  <c r="G2161" i="1" a="1"/>
  <c r="G2177" i="1" a="1"/>
  <c r="G2193" i="1" a="1"/>
  <c r="G2209" i="1" a="1"/>
  <c r="G2225" i="1" a="1"/>
  <c r="G2241" i="1" a="1"/>
  <c r="G2257" i="1" a="1"/>
  <c r="G2273" i="1" a="1"/>
  <c r="G2289" i="1" a="1"/>
  <c r="G2305" i="1" a="1"/>
  <c r="G2321" i="1" a="1"/>
  <c r="G2337" i="1" a="1"/>
  <c r="G2353" i="1" a="1"/>
  <c r="G2369" i="1" a="1"/>
  <c r="G2385" i="1" a="1"/>
  <c r="G2401" i="1" a="1"/>
  <c r="G2417" i="1" a="1"/>
  <c r="G2433" i="1" a="1"/>
  <c r="G2449" i="1" a="1"/>
  <c r="G2465" i="1" a="1"/>
  <c r="G2481" i="1" a="1"/>
  <c r="G2497" i="1" a="1"/>
  <c r="G2513" i="1" a="1"/>
  <c r="G2529" i="1" a="1"/>
  <c r="G2545" i="1" a="1"/>
  <c r="G2561" i="1" a="1"/>
  <c r="G2584" i="1" a="1"/>
  <c r="G2600" i="1" a="1"/>
  <c r="G2616" i="1" a="1"/>
  <c r="G2795" i="1" a="1"/>
  <c r="G2962" i="1" a="1"/>
  <c r="G2978" i="1" a="1"/>
  <c r="G2994" i="1" a="1"/>
  <c r="G3073" i="1" a="1"/>
  <c r="G3212" i="1" a="1"/>
  <c r="G3228" i="1" a="1"/>
  <c r="G3244" i="1" a="1"/>
  <c r="G3260" i="1" a="1"/>
  <c r="G3299" i="1" a="1"/>
  <c r="G3315" i="1" a="1"/>
  <c r="G3331" i="1" a="1"/>
  <c r="G3347" i="1" a="1"/>
  <c r="G3363" i="1" a="1"/>
  <c r="G3414" i="1" a="1"/>
  <c r="G3445" i="1" a="1"/>
  <c r="G3461" i="1" a="1"/>
  <c r="G3477" i="1" a="1"/>
  <c r="G3497" i="1" a="1"/>
  <c r="G3185" i="1" a="1"/>
  <c r="G3383" i="1" a="1"/>
  <c r="G3430" i="1" a="1"/>
  <c r="G2378" i="1" a="1"/>
  <c r="G2402" i="1" a="1"/>
  <c r="G2434" i="1" a="1"/>
  <c r="G2486" i="1" a="1"/>
  <c r="G2542" i="1" a="1"/>
  <c r="G2605" i="1" a="1"/>
  <c r="G1322" i="1" a="1"/>
  <c r="G1354" i="1" a="1"/>
  <c r="G1386" i="1" a="1"/>
  <c r="G1418" i="1" a="1"/>
  <c r="G1450" i="1" a="1"/>
  <c r="G1482" i="1" a="1"/>
  <c r="G1514" i="1" a="1"/>
  <c r="G1546" i="1" a="1"/>
  <c r="G1578" i="1" a="1"/>
  <c r="G1610" i="1" a="1"/>
  <c r="G1642" i="1" a="1"/>
  <c r="G1674" i="1" a="1"/>
  <c r="G1711" i="1" a="1"/>
  <c r="G1910" i="1" a="1"/>
  <c r="G1942" i="1" a="1"/>
  <c r="G1974" i="1" a="1"/>
  <c r="G2006" i="1" a="1"/>
  <c r="G2577" i="1" a="1"/>
  <c r="G2632" i="1" a="1"/>
  <c r="G2648" i="1" a="1"/>
  <c r="G2664" i="1" a="1"/>
  <c r="G2680" i="1" a="1"/>
  <c r="G2696" i="1" a="1"/>
  <c r="G2712" i="1" a="1"/>
  <c r="G2728" i="1" a="1"/>
  <c r="G2744" i="1" a="1"/>
  <c r="G2760" i="1" a="1"/>
  <c r="G2776" i="1" a="1"/>
  <c r="G2811" i="1" a="1"/>
  <c r="G2827" i="1" a="1"/>
  <c r="G2843" i="1" a="1"/>
  <c r="G2859" i="1" a="1"/>
  <c r="G2875" i="1" a="1"/>
  <c r="G2891" i="1" a="1"/>
  <c r="G2907" i="1" a="1"/>
  <c r="G2923" i="1" a="1"/>
  <c r="G2939" i="1" a="1"/>
  <c r="G3002" i="1" a="1"/>
  <c r="G3018" i="1" a="1"/>
  <c r="G3034" i="1" a="1"/>
  <c r="G3050" i="1" a="1"/>
  <c r="G3089" i="1" a="1"/>
  <c r="G3105" i="1" a="1"/>
  <c r="G3121" i="1" a="1"/>
  <c r="G3137" i="1" a="1"/>
  <c r="G3169" i="1" a="1"/>
  <c r="G3387" i="1" a="1"/>
  <c r="G2422" i="1" a="1"/>
  <c r="G2494" i="1" a="1"/>
  <c r="G2546" i="1" a="1"/>
  <c r="G2800" i="1" a="1"/>
  <c r="G1749" i="1" a="1"/>
  <c r="G1766" i="1" a="1"/>
  <c r="G1782" i="1" a="1"/>
  <c r="G1798" i="1" a="1"/>
  <c r="G1814" i="1" a="1"/>
  <c r="G1830" i="1" a="1"/>
  <c r="G1846" i="1" a="1"/>
  <c r="G1862" i="1" a="1"/>
  <c r="G1878" i="1" a="1"/>
  <c r="G1894" i="1" a="1"/>
  <c r="G2042" i="1" a="1"/>
  <c r="G2058" i="1" a="1"/>
  <c r="G2074" i="1" a="1"/>
  <c r="G2090" i="1" a="1"/>
  <c r="G2106" i="1" a="1"/>
  <c r="G2122" i="1" a="1"/>
  <c r="G2138" i="1" a="1"/>
  <c r="G2154" i="1" a="1"/>
  <c r="G2170" i="1" a="1"/>
  <c r="G2186" i="1" a="1"/>
  <c r="G2202" i="1" a="1"/>
  <c r="G2218" i="1" a="1"/>
  <c r="G2234" i="1" a="1"/>
  <c r="G2250" i="1" a="1"/>
  <c r="G2266" i="1" a="1"/>
  <c r="G2294" i="1" a="1"/>
  <c r="G2310" i="1" a="1"/>
  <c r="G2326" i="1" a="1"/>
  <c r="G2342" i="1" a="1"/>
  <c r="G2358" i="1" a="1"/>
  <c r="G2390" i="1" a="1"/>
  <c r="G2482" i="1" a="1"/>
  <c r="G2788" i="1" a="1"/>
  <c r="G1339" i="1" a="1"/>
  <c r="G1371" i="1" a="1"/>
  <c r="G1403" i="1" a="1"/>
  <c r="G1435" i="1" a="1"/>
  <c r="G1467" i="1" a="1"/>
  <c r="G1499" i="1" a="1"/>
  <c r="G1531" i="1" a="1"/>
  <c r="G1563" i="1" a="1"/>
  <c r="G1595" i="1" a="1"/>
  <c r="G1627" i="1" a="1"/>
  <c r="G1659" i="1" a="1"/>
  <c r="G1691" i="1" a="1"/>
  <c r="G1906" i="1" a="1"/>
  <c r="G1938" i="1" a="1"/>
  <c r="G1970" i="1" a="1"/>
  <c r="G2002" i="1" a="1"/>
  <c r="G2038" i="1" a="1"/>
  <c r="G1745" i="1" a="1"/>
  <c r="G1767" i="1" a="1"/>
  <c r="G1783" i="1" a="1"/>
  <c r="G1799" i="1" a="1"/>
  <c r="G1815" i="1" a="1"/>
  <c r="G1831" i="1" a="1"/>
  <c r="G1847" i="1" a="1"/>
  <c r="G1863" i="1" a="1"/>
  <c r="G1879" i="1" a="1"/>
  <c r="G1895" i="1" a="1"/>
  <c r="G2043" i="1" a="1"/>
  <c r="G2059" i="1" a="1"/>
  <c r="G2075" i="1" a="1"/>
  <c r="G2091" i="1" a="1"/>
  <c r="G2107" i="1" a="1"/>
  <c r="G2123" i="1" a="1"/>
  <c r="G2139" i="1" a="1"/>
  <c r="G2155" i="1" a="1"/>
  <c r="G2171" i="1" a="1"/>
  <c r="G2187" i="1" a="1"/>
  <c r="G2203" i="1" a="1"/>
  <c r="G2219" i="1" a="1"/>
  <c r="G2235" i="1" a="1"/>
  <c r="G2251" i="1" a="1"/>
  <c r="G2267" i="1" a="1"/>
  <c r="G2283" i="1" a="1"/>
  <c r="G1319" i="1" a="1"/>
  <c r="G1351" i="1" a="1"/>
  <c r="G1383" i="1" a="1"/>
  <c r="G1415" i="1" a="1"/>
  <c r="G1447" i="1" a="1"/>
  <c r="G1479" i="1" a="1"/>
  <c r="G1511" i="1" a="1"/>
  <c r="G1543" i="1" a="1"/>
  <c r="G1575" i="1" a="1"/>
  <c r="G1607" i="1" a="1"/>
  <c r="G1639" i="1" a="1"/>
  <c r="G1671" i="1" a="1"/>
  <c r="G1719" i="1" a="1"/>
  <c r="G1918" i="1" a="1"/>
  <c r="G1950" i="1" a="1"/>
  <c r="G1982" i="1" a="1"/>
  <c r="G2014" i="1" a="1"/>
  <c r="G2579" i="1" a="1"/>
  <c r="G2630" i="1" a="1"/>
  <c r="G2646" i="1" a="1"/>
  <c r="G2662" i="1" a="1"/>
  <c r="G2678" i="1" a="1"/>
  <c r="G2694" i="1" a="1"/>
  <c r="G2710" i="1" a="1"/>
  <c r="G2726" i="1" a="1"/>
  <c r="G2742" i="1" a="1"/>
  <c r="G2758" i="1" a="1"/>
  <c r="G2774" i="1" a="1"/>
  <c r="G2805" i="1" a="1"/>
  <c r="G2821" i="1" a="1"/>
  <c r="G2837" i="1" a="1"/>
  <c r="G2853" i="1" a="1"/>
  <c r="G2869" i="1" a="1"/>
  <c r="G2885" i="1" a="1"/>
  <c r="G2901" i="1" a="1"/>
  <c r="G2917" i="1" a="1"/>
  <c r="G2933" i="1" a="1"/>
  <c r="G2949" i="1" a="1"/>
  <c r="G3008" i="1" a="1"/>
  <c r="G3024" i="1" a="1"/>
  <c r="G3040" i="1" a="1"/>
  <c r="G3056" i="1" a="1"/>
  <c r="G3099" i="1" a="1"/>
  <c r="G3115" i="1" a="1"/>
  <c r="G3131" i="1" a="1"/>
  <c r="G3147" i="1" a="1"/>
  <c r="G3163" i="1" a="1"/>
  <c r="G3179" i="1" a="1"/>
  <c r="G3195" i="1" a="1"/>
  <c r="G3274" i="1" a="1"/>
  <c r="G3290" i="1" a="1"/>
  <c r="G3389" i="1" a="1"/>
  <c r="G3405" i="1" a="1"/>
  <c r="G3432" i="1" a="1"/>
  <c r="G2308" i="1" a="1"/>
  <c r="G2336" i="1" a="1"/>
  <c r="G2360" i="1" a="1"/>
  <c r="G2392" i="1" a="1"/>
  <c r="G2420" i="1" a="1"/>
  <c r="G2448" i="1" a="1"/>
  <c r="G2472" i="1" a="1"/>
  <c r="G2496" i="1" a="1"/>
  <c r="G2520" i="1" a="1"/>
  <c r="G2548" i="1" a="1"/>
  <c r="G1741" i="1" a="1"/>
  <c r="G1768" i="1" a="1"/>
  <c r="G1784" i="1" a="1"/>
  <c r="G1800" i="1" a="1"/>
  <c r="G1816" i="1" a="1"/>
  <c r="G1832" i="1" a="1"/>
  <c r="G1848" i="1" a="1"/>
  <c r="G1864" i="1" a="1"/>
  <c r="G1880" i="1" a="1"/>
  <c r="G1896" i="1" a="1"/>
  <c r="G2044" i="1" a="1"/>
  <c r="G2060" i="1" a="1"/>
  <c r="G2076" i="1" a="1"/>
  <c r="G2092" i="1" a="1"/>
  <c r="G2108" i="1" a="1"/>
  <c r="G2124" i="1" a="1"/>
  <c r="G2140" i="1" a="1"/>
  <c r="G2156" i="1" a="1"/>
  <c r="G2172" i="1" a="1"/>
  <c r="G2188" i="1" a="1"/>
  <c r="G2204" i="1" a="1"/>
  <c r="G2224" i="1" a="1"/>
  <c r="G2240" i="1" a="1"/>
  <c r="G2256" i="1" a="1"/>
  <c r="G2272" i="1" a="1"/>
  <c r="G2288" i="1" a="1"/>
  <c r="G2312" i="1" a="1"/>
  <c r="G2356" i="1" a="1"/>
  <c r="G2388" i="1" a="1"/>
  <c r="G2424" i="1" a="1"/>
  <c r="G2464" i="1" a="1"/>
  <c r="G2516" i="1" a="1"/>
  <c r="G2552" i="1" a="1"/>
  <c r="G2415" i="1" a="1"/>
  <c r="G2543" i="1" a="1"/>
  <c r="G2615" i="1" a="1"/>
  <c r="G2729" i="1" a="1"/>
  <c r="G2828" i="1" a="1"/>
  <c r="G2959" i="1" a="1"/>
  <c r="G3027" i="1" a="1"/>
  <c r="G3098" i="1" a="1"/>
  <c r="G3206" i="1" a="1"/>
  <c r="G3247" i="1" a="1"/>
  <c r="G3313" i="1" a="1"/>
  <c r="G3354" i="1" a="1"/>
  <c r="G3450" i="1" a="1"/>
  <c r="G3491" i="1" a="1"/>
  <c r="G2944" i="1" a="1"/>
  <c r="G3082" i="1" a="1"/>
  <c r="G3350" i="1" a="1"/>
  <c r="G3455" i="1" a="1"/>
  <c r="G3324" i="1" a="1"/>
  <c r="G3245" i="1" a="1"/>
  <c r="G3498" i="1" a="1"/>
  <c r="G3334" i="1" a="1"/>
  <c r="G3448" i="1" a="1"/>
  <c r="G2371" i="1" a="1"/>
  <c r="G2499" i="1" a="1"/>
  <c r="G2653" i="1" a="1"/>
  <c r="G3487" i="1" a="1"/>
  <c r="G3134" i="1" a="1"/>
  <c r="G2327" i="1" a="1"/>
  <c r="G2455" i="1" a="1"/>
  <c r="G2578" i="1" a="1"/>
  <c r="G2611" i="1" a="1"/>
  <c r="G2737" i="1" a="1"/>
  <c r="G2804" i="1" a="1"/>
  <c r="G2932" i="1" a="1"/>
  <c r="G2983" i="1" a="1"/>
  <c r="G3064" i="1" a="1"/>
  <c r="G3170" i="1" a="1"/>
  <c r="G3230" i="1" a="1"/>
  <c r="G3296" i="1" a="1"/>
  <c r="G3337" i="1" a="1"/>
  <c r="G3404" i="1" a="1"/>
  <c r="G3451" i="1" a="1"/>
  <c r="G3492" i="1" a="1"/>
  <c r="G2888" i="1" a="1"/>
  <c r="G3055" i="1" a="1"/>
  <c r="G3094" i="1" a="1"/>
  <c r="G2940" i="1" a="1"/>
  <c r="G3416" i="1" a="1"/>
  <c r="G3348" i="1" a="1"/>
  <c r="G2379" i="1" a="1"/>
  <c r="G2507" i="1" a="1"/>
  <c r="G2629" i="1" a="1"/>
  <c r="G2920" i="1" a="1"/>
  <c r="G3259" i="1" a="1"/>
  <c r="G2367" i="1" a="1"/>
  <c r="G2495" i="1" a="1"/>
  <c r="G2602" i="1" a="1"/>
  <c r="G2681" i="1" a="1"/>
  <c r="G2789" i="1" a="1"/>
  <c r="G2876" i="1" a="1"/>
  <c r="G2993" i="1" a="1"/>
  <c r="G2355" i="1" a="1"/>
  <c r="G2483" i="1" a="1"/>
  <c r="G2564" i="1" a="1"/>
  <c r="G2701" i="1" a="1"/>
  <c r="G2864" i="1" a="1"/>
  <c r="G2980" i="1" a="1"/>
  <c r="G2375" i="1" a="1"/>
  <c r="G2503" i="1" a="1"/>
  <c r="G2603" i="1" a="1"/>
  <c r="G2657" i="1" a="1"/>
  <c r="G2785" i="1" a="1"/>
  <c r="G2884" i="1" a="1"/>
  <c r="G2967" i="1" a="1"/>
  <c r="G3051" i="1" a="1"/>
  <c r="G3090" i="1" a="1"/>
  <c r="G3205" i="1" a="1"/>
  <c r="G3246" i="1" a="1"/>
  <c r="G3312" i="1" a="1"/>
  <c r="G3353" i="1" a="1"/>
  <c r="G3417" i="1" a="1"/>
  <c r="G3476" i="1" a="1"/>
  <c r="G2781" i="1" a="1"/>
  <c r="G3182" i="1" a="1"/>
  <c r="G3300" i="1" a="1"/>
  <c r="G3478" i="1" a="1"/>
  <c r="G3267" i="1" a="1"/>
  <c r="G3479" i="1" a="1"/>
  <c r="G3297" i="1" a="1"/>
  <c r="G3484" i="1" a="1"/>
  <c r="G3227" i="1" a="1"/>
  <c r="G2299" i="1" a="1"/>
  <c r="G2427" i="1" a="1"/>
  <c r="G2555" i="1" a="1"/>
  <c r="G2582" i="1" a="1"/>
  <c r="G2741" i="1" a="1"/>
  <c r="G2872" i="1" a="1"/>
  <c r="G2972" i="1" a="1"/>
  <c r="G3039" i="1" a="1"/>
  <c r="G3142" i="1" a="1"/>
  <c r="G3233" i="1" a="1"/>
  <c r="G3269" i="1" a="1"/>
  <c r="G3326" i="1" a="1"/>
  <c r="G3372" i="1" a="1"/>
  <c r="G3440" i="1" a="1"/>
  <c r="G3486" i="1" a="1"/>
  <c r="G2912" i="1" a="1"/>
  <c r="G3118" i="1" a="1"/>
  <c r="G3446" i="1" a="1"/>
  <c r="G3310" i="1" a="1"/>
  <c r="G3456" i="1" a="1"/>
  <c r="G3043" i="1" a="1"/>
  <c r="G3231" i="1" a="1"/>
  <c r="G3412" i="1" a="1"/>
  <c r="G3316" i="1" a="1"/>
  <c r="G3146" i="1" a="1"/>
  <c r="G2459" i="1" a="1"/>
  <c r="G2645" i="1" a="1"/>
  <c r="G2904" i="1" a="1"/>
  <c r="G3067" i="1" a="1"/>
  <c r="G3174" i="1" a="1"/>
  <c r="G3294" i="1" a="1"/>
  <c r="G3408" i="1" a="1"/>
  <c r="G3454" i="1" a="1"/>
  <c r="G2964" i="1" a="1"/>
  <c r="G3150" i="1" a="1"/>
  <c r="G3333" i="1" a="1"/>
  <c r="G3470" i="1" a="1"/>
  <c r="G3306" i="1" a="1"/>
  <c r="G2989" i="1" a="1"/>
  <c r="G3380" i="1" a="1"/>
  <c r="G1692" i="1" a="1"/>
  <c r="G1708" i="1" a="1"/>
  <c r="G1724" i="1" a="1"/>
  <c r="G1740" i="1" a="1"/>
  <c r="G1309" i="1" a="1"/>
  <c r="G1325" i="1" a="1"/>
  <c r="G1341" i="1" a="1"/>
  <c r="G1357" i="1" a="1"/>
  <c r="G1373" i="1" a="1"/>
  <c r="G1389" i="1" a="1"/>
  <c r="G1405" i="1" a="1"/>
  <c r="G1421" i="1" a="1"/>
  <c r="G1437" i="1" a="1"/>
  <c r="G1453" i="1" a="1"/>
  <c r="G1469" i="1" a="1"/>
  <c r="G1485" i="1" a="1"/>
  <c r="G1501" i="1" a="1"/>
  <c r="G1517" i="1" a="1"/>
  <c r="G1533" i="1" a="1"/>
  <c r="G1549" i="1" a="1"/>
  <c r="G1565" i="1" a="1"/>
  <c r="G1581" i="1" a="1"/>
  <c r="G1597" i="1" a="1"/>
  <c r="G1613" i="1" a="1"/>
  <c r="G1629" i="1" a="1"/>
  <c r="G1645" i="1" a="1"/>
  <c r="G1661" i="1" a="1"/>
  <c r="G1677" i="1" a="1"/>
  <c r="G1908" i="1" a="1"/>
  <c r="G1924" i="1" a="1"/>
  <c r="G1940" i="1" a="1"/>
  <c r="G1956" i="1" a="1"/>
  <c r="G1972" i="1" a="1"/>
  <c r="G1988" i="1" a="1"/>
  <c r="G2004" i="1" a="1"/>
  <c r="G2020" i="1" a="1"/>
  <c r="G2036" i="1" a="1"/>
  <c r="G1702" i="1" a="1"/>
  <c r="G1718" i="1" a="1"/>
  <c r="G1734" i="1" a="1"/>
  <c r="G1750" i="1" a="1"/>
  <c r="G1320" i="1" a="1"/>
  <c r="G1336" i="1" a="1"/>
  <c r="G1352" i="1" a="1"/>
  <c r="G1368" i="1" a="1"/>
  <c r="G1384" i="1" a="1"/>
  <c r="G1400" i="1" a="1"/>
  <c r="G1416" i="1" a="1"/>
  <c r="G1432" i="1" a="1"/>
  <c r="G1448" i="1" a="1"/>
  <c r="G1464" i="1" a="1"/>
  <c r="G1480" i="1" a="1"/>
  <c r="G1496" i="1" a="1"/>
  <c r="G1512" i="1" a="1"/>
  <c r="G1528" i="1" a="1"/>
  <c r="G1544" i="1" a="1"/>
  <c r="G1560" i="1" a="1"/>
  <c r="G1576" i="1" a="1"/>
  <c r="G1592" i="1" a="1"/>
  <c r="G1608" i="1" a="1"/>
  <c r="G1624" i="1" a="1"/>
  <c r="G1640" i="1" a="1"/>
  <c r="G1656" i="1" a="1"/>
  <c r="G1672" i="1" a="1"/>
  <c r="G1688" i="1" a="1"/>
  <c r="G1919" i="1" a="1"/>
  <c r="G1935" i="1" a="1"/>
  <c r="G1951" i="1" a="1"/>
  <c r="G1967" i="1" a="1"/>
  <c r="G1983" i="1" a="1"/>
  <c r="G1999" i="1" a="1"/>
  <c r="G2015" i="1" a="1"/>
  <c r="G1310" i="1" a="1"/>
  <c r="G1342" i="1" a="1"/>
  <c r="G1374" i="1" a="1"/>
  <c r="G1406" i="1" a="1"/>
  <c r="G1438" i="1" a="1"/>
  <c r="G1470" i="1" a="1"/>
  <c r="G1502" i="1" a="1"/>
  <c r="G1534" i="1" a="1"/>
  <c r="G1566" i="1" a="1"/>
  <c r="G1598" i="1" a="1"/>
  <c r="G1630" i="1" a="1"/>
  <c r="G1662" i="1" a="1"/>
  <c r="G1699" i="1" a="1"/>
  <c r="G1909" i="1" a="1"/>
  <c r="G1941" i="1" a="1"/>
  <c r="G1973" i="1" a="1"/>
  <c r="G2005" i="1" a="1"/>
  <c r="G2031" i="1" a="1"/>
  <c r="G2631" i="1" a="1"/>
  <c r="G2647" i="1" a="1"/>
  <c r="G2663" i="1" a="1"/>
  <c r="G2679" i="1" a="1"/>
  <c r="G2695" i="1" a="1"/>
  <c r="G2711" i="1" a="1"/>
  <c r="G2727" i="1" a="1"/>
  <c r="G2743" i="1" a="1"/>
  <c r="G2759" i="1" a="1"/>
  <c r="G2775" i="1" a="1"/>
  <c r="G2806" i="1" a="1"/>
  <c r="G2822" i="1" a="1"/>
  <c r="G2838" i="1" a="1"/>
  <c r="G2854" i="1" a="1"/>
  <c r="G2870" i="1" a="1"/>
  <c r="G2886" i="1" a="1"/>
  <c r="G2902" i="1" a="1"/>
  <c r="G2918" i="1" a="1"/>
  <c r="G2934" i="1" a="1"/>
  <c r="G2950" i="1" a="1"/>
  <c r="G3009" i="1" a="1"/>
  <c r="G3025" i="1" a="1"/>
  <c r="G3041" i="1" a="1"/>
  <c r="G3057" i="1" a="1"/>
  <c r="G3100" i="1" a="1"/>
  <c r="G3116" i="1" a="1"/>
  <c r="G3132" i="1" a="1"/>
  <c r="G3148" i="1" a="1"/>
  <c r="G3164" i="1" a="1"/>
  <c r="G3180" i="1" a="1"/>
  <c r="G3196" i="1" a="1"/>
  <c r="G3275" i="1" a="1"/>
  <c r="G3291" i="1" a="1"/>
  <c r="G3390" i="1" a="1"/>
  <c r="G3406" i="1" a="1"/>
  <c r="G3433" i="1" a="1"/>
  <c r="G3145" i="1" a="1"/>
  <c r="G3201" i="1" a="1"/>
  <c r="G3379" i="1" a="1"/>
  <c r="G3434" i="1" a="1"/>
  <c r="G2450" i="1" a="1"/>
  <c r="G2502" i="1" a="1"/>
  <c r="G2550" i="1" a="1"/>
  <c r="G2593" i="1" a="1"/>
  <c r="G1705" i="1" a="1"/>
  <c r="G1757" i="1" a="1"/>
  <c r="G1773" i="1" a="1"/>
  <c r="G1789" i="1" a="1"/>
  <c r="G1805" i="1" a="1"/>
  <c r="G1821" i="1" a="1"/>
  <c r="G1837" i="1" a="1"/>
  <c r="G1853" i="1" a="1"/>
  <c r="G1869" i="1" a="1"/>
  <c r="G1885" i="1" a="1"/>
  <c r="G1901" i="1" a="1"/>
  <c r="G2053" i="1" a="1"/>
  <c r="G2069" i="1" a="1"/>
  <c r="G2085" i="1" a="1"/>
  <c r="G2101" i="1" a="1"/>
  <c r="G2117" i="1" a="1"/>
  <c r="G2133" i="1" a="1"/>
  <c r="G2149" i="1" a="1"/>
  <c r="G2165" i="1" a="1"/>
  <c r="G2181" i="1" a="1"/>
  <c r="G2197" i="1" a="1"/>
  <c r="G2213" i="1" a="1"/>
  <c r="G2229" i="1" a="1"/>
  <c r="G2245" i="1" a="1"/>
  <c r="G2261" i="1" a="1"/>
  <c r="G2277" i="1" a="1"/>
  <c r="G2293" i="1" a="1"/>
  <c r="G2309" i="1" a="1"/>
  <c r="G2325" i="1" a="1"/>
  <c r="G2341" i="1" a="1"/>
  <c r="G2357" i="1" a="1"/>
  <c r="G2373" i="1" a="1"/>
  <c r="G2389" i="1" a="1"/>
  <c r="G2405" i="1" a="1"/>
  <c r="G2421" i="1" a="1"/>
  <c r="G2437" i="1" a="1"/>
  <c r="G2453" i="1" a="1"/>
  <c r="G2469" i="1" a="1"/>
  <c r="G2485" i="1" a="1"/>
  <c r="G2501" i="1" a="1"/>
  <c r="G2517" i="1" a="1"/>
  <c r="G2533" i="1" a="1"/>
  <c r="G2549" i="1" a="1"/>
  <c r="G2565" i="1" a="1"/>
  <c r="G2588" i="1" a="1"/>
  <c r="G2604" i="1" a="1"/>
  <c r="G2620" i="1" a="1"/>
  <c r="G2799" i="1" a="1"/>
  <c r="G2966" i="1" a="1"/>
  <c r="G2982" i="1" a="1"/>
  <c r="G3061" i="1" a="1"/>
  <c r="G3077" i="1" a="1"/>
  <c r="G3216" i="1" a="1"/>
  <c r="G3232" i="1" a="1"/>
  <c r="G3248" i="1" a="1"/>
  <c r="G3264" i="1" a="1"/>
  <c r="G3303" i="1" a="1"/>
  <c r="G3319" i="1" a="1"/>
  <c r="G3335" i="1" a="1"/>
  <c r="G3351" i="1" a="1"/>
  <c r="G3367" i="1" a="1"/>
  <c r="G3418" i="1" a="1"/>
  <c r="G3449" i="1" a="1"/>
  <c r="G3465" i="1" a="1"/>
  <c r="G3485" i="1" a="1"/>
  <c r="G3141" i="1" a="1"/>
  <c r="G3193" i="1" a="1"/>
  <c r="G3395" i="1" a="1"/>
  <c r="G2274" i="1" a="1"/>
  <c r="G2386" i="1" a="1"/>
  <c r="G2410" i="1" a="1"/>
  <c r="G2446" i="1" a="1"/>
  <c r="G2498" i="1" a="1"/>
  <c r="G2558" i="1" a="1"/>
  <c r="G2613" i="1" a="1"/>
  <c r="G1327" i="1" a="1"/>
  <c r="G1359" i="1" a="1"/>
  <c r="G1391" i="1" a="1"/>
  <c r="G1423" i="1" a="1"/>
  <c r="G1455" i="1" a="1"/>
  <c r="G1487" i="1" a="1"/>
  <c r="G1519" i="1" a="1"/>
  <c r="G1551" i="1" a="1"/>
  <c r="G1583" i="1" a="1"/>
  <c r="G1615" i="1" a="1"/>
  <c r="G1647" i="1" a="1"/>
  <c r="G1679" i="1" a="1"/>
  <c r="G1727" i="1" a="1"/>
  <c r="G1921" i="1" a="1"/>
  <c r="G1953" i="1" a="1"/>
  <c r="G1985" i="1" a="1"/>
  <c r="G2017" i="1" a="1"/>
  <c r="G2581" i="1" a="1"/>
  <c r="G2636" i="1" a="1"/>
  <c r="G2652" i="1" a="1"/>
  <c r="G2668" i="1" a="1"/>
  <c r="G2684" i="1" a="1"/>
  <c r="G2700" i="1" a="1"/>
  <c r="G2716" i="1" a="1"/>
  <c r="G2732" i="1" a="1"/>
  <c r="G2748" i="1" a="1"/>
  <c r="G2764" i="1" a="1"/>
  <c r="G2780" i="1" a="1"/>
  <c r="G2815" i="1" a="1"/>
  <c r="G2831" i="1" a="1"/>
  <c r="G2847" i="1" a="1"/>
  <c r="G2863" i="1" a="1"/>
  <c r="G2879" i="1" a="1"/>
  <c r="G2895" i="1" a="1"/>
  <c r="G2911" i="1" a="1"/>
  <c r="G2927" i="1" a="1"/>
  <c r="G2943" i="1" a="1"/>
  <c r="G3006" i="1" a="1"/>
  <c r="G3022" i="1" a="1"/>
  <c r="G3038" i="1" a="1"/>
  <c r="G3054" i="1" a="1"/>
  <c r="G3093" i="1" a="1"/>
  <c r="G3109" i="1" a="1"/>
  <c r="G3125" i="1" a="1"/>
  <c r="G3149" i="1" a="1"/>
  <c r="G3181" i="1" a="1"/>
  <c r="G3403" i="1" a="1"/>
  <c r="G2442" i="1" a="1"/>
  <c r="G2506" i="1" a="1"/>
  <c r="G2562" i="1" a="1"/>
  <c r="G1701" i="1" a="1"/>
  <c r="G1754" i="1" a="1"/>
  <c r="G1770" i="1" a="1"/>
  <c r="G1786" i="1" a="1"/>
  <c r="G1802" i="1" a="1"/>
  <c r="G1818" i="1" a="1"/>
  <c r="G1834" i="1" a="1"/>
  <c r="G1850" i="1" a="1"/>
  <c r="G1866" i="1" a="1"/>
  <c r="G1882" i="1" a="1"/>
  <c r="G1898" i="1" a="1"/>
  <c r="G2046" i="1" a="1"/>
  <c r="G2062" i="1" a="1"/>
  <c r="G2078" i="1" a="1"/>
  <c r="G2094" i="1" a="1"/>
  <c r="G2110" i="1" a="1"/>
  <c r="G2126" i="1" a="1"/>
  <c r="G2142" i="1" a="1"/>
  <c r="G2158" i="1" a="1"/>
  <c r="G2174" i="1" a="1"/>
  <c r="G2190" i="1" a="1"/>
  <c r="G2206" i="1" a="1"/>
  <c r="G2222" i="1" a="1"/>
  <c r="G2238" i="1" a="1"/>
  <c r="G2254" i="1" a="1"/>
  <c r="G2270" i="1" a="1"/>
  <c r="G2298" i="1" a="1"/>
  <c r="G2314" i="1" a="1"/>
  <c r="G2330" i="1" a="1"/>
  <c r="G2346" i="1" a="1"/>
  <c r="G2366" i="1" a="1"/>
  <c r="G2406" i="1" a="1"/>
  <c r="G2518" i="1" a="1"/>
  <c r="G1318" i="1" a="1"/>
  <c r="G1350" i="1" a="1"/>
  <c r="G1382" i="1" a="1"/>
  <c r="G1414" i="1" a="1"/>
  <c r="G1446" i="1" a="1"/>
  <c r="G1478" i="1" a="1"/>
  <c r="G1510" i="1" a="1"/>
  <c r="G1542" i="1" a="1"/>
  <c r="G1574" i="1" a="1"/>
  <c r="G1606" i="1" a="1"/>
  <c r="G1638" i="1" a="1"/>
  <c r="G1670" i="1" a="1"/>
  <c r="G1707" i="1" a="1"/>
  <c r="G1917" i="1" a="1"/>
  <c r="G1949" i="1" a="1"/>
  <c r="G1981" i="1" a="1"/>
  <c r="G2013" i="1" a="1"/>
  <c r="G1697" i="1" a="1"/>
  <c r="G1755" i="1" a="1"/>
  <c r="G1771" i="1" a="1"/>
  <c r="G1787" i="1" a="1"/>
  <c r="G1803" i="1" a="1"/>
  <c r="G1819" i="1" a="1"/>
  <c r="G1835" i="1" a="1"/>
  <c r="G1851" i="1" a="1"/>
  <c r="G1867" i="1" a="1"/>
  <c r="G1883" i="1" a="1"/>
  <c r="G1899" i="1" a="1"/>
  <c r="G2047" i="1" a="1"/>
  <c r="G2063" i="1" a="1"/>
  <c r="G2079" i="1" a="1"/>
  <c r="G2095" i="1" a="1"/>
  <c r="G2111" i="1" a="1"/>
  <c r="G2127" i="1" a="1"/>
  <c r="G2143" i="1" a="1"/>
  <c r="G2159" i="1" a="1"/>
  <c r="G2175" i="1" a="1"/>
  <c r="G2191" i="1" a="1"/>
  <c r="G2207" i="1" a="1"/>
  <c r="G2223" i="1" a="1"/>
  <c r="G2239" i="1" a="1"/>
  <c r="G2255" i="1" a="1"/>
  <c r="G2271" i="1" a="1"/>
  <c r="G2287" i="1" a="1"/>
  <c r="G1330" i="1" a="1"/>
  <c r="G1362" i="1" a="1"/>
  <c r="G1394" i="1" a="1"/>
  <c r="G1426" i="1" a="1"/>
  <c r="G1458" i="1" a="1"/>
  <c r="G1490" i="1" a="1"/>
  <c r="G1522" i="1" a="1"/>
  <c r="G1554" i="1" a="1"/>
  <c r="G1586" i="1" a="1"/>
  <c r="G1618" i="1" a="1"/>
  <c r="G1650" i="1" a="1"/>
  <c r="G1682" i="1" a="1"/>
  <c r="G1735" i="1" a="1"/>
  <c r="G1929" i="1" a="1"/>
  <c r="G1961" i="1" a="1"/>
  <c r="G1993" i="1" a="1"/>
  <c r="G2025" i="1" a="1"/>
  <c r="G2583" i="1" a="1"/>
  <c r="G2634" i="1" a="1"/>
  <c r="G2650" i="1" a="1"/>
  <c r="G2666" i="1" a="1"/>
  <c r="G2682" i="1" a="1"/>
  <c r="G2698" i="1" a="1"/>
  <c r="G2714" i="1" a="1"/>
  <c r="G2730" i="1" a="1"/>
  <c r="G2746" i="1" a="1"/>
  <c r="G2762" i="1" a="1"/>
  <c r="G2778" i="1" a="1"/>
  <c r="G2809" i="1" a="1"/>
  <c r="G2825" i="1" a="1"/>
  <c r="G2841" i="1" a="1"/>
  <c r="G2857" i="1" a="1"/>
  <c r="G2873" i="1" a="1"/>
  <c r="G2889" i="1" a="1"/>
  <c r="G2905" i="1" a="1"/>
  <c r="G2921" i="1" a="1"/>
  <c r="G2937" i="1" a="1"/>
  <c r="G2996" i="1" a="1"/>
  <c r="G3012" i="1" a="1"/>
  <c r="G3028" i="1" a="1"/>
  <c r="G3044" i="1" a="1"/>
  <c r="G3087" i="1" a="1"/>
  <c r="G3103" i="1" a="1"/>
  <c r="G3119" i="1" a="1"/>
  <c r="G3135" i="1" a="1"/>
  <c r="G3151" i="1" a="1"/>
  <c r="G3167" i="1" a="1"/>
  <c r="G3183" i="1" a="1"/>
  <c r="G3199" i="1" a="1"/>
  <c r="G3278" i="1" a="1"/>
  <c r="G3377" i="1" a="1"/>
  <c r="G3393" i="1" a="1"/>
  <c r="G3409" i="1" a="1"/>
  <c r="G3436" i="1" a="1"/>
  <c r="G2316" i="1" a="1"/>
  <c r="G2340" i="1" a="1"/>
  <c r="G2368" i="1" a="1"/>
  <c r="G2400" i="1" a="1"/>
  <c r="G2428" i="1" a="1"/>
  <c r="G2452" i="1" a="1"/>
  <c r="G2480" i="1" a="1"/>
  <c r="G2504" i="1" a="1"/>
  <c r="G2524" i="1" a="1"/>
  <c r="G1693" i="1" a="1"/>
  <c r="G1756" i="1" a="1"/>
  <c r="G1772" i="1" a="1"/>
  <c r="G1788" i="1" a="1"/>
  <c r="G1804" i="1" a="1"/>
  <c r="G1820" i="1" a="1"/>
  <c r="G1836" i="1" a="1"/>
  <c r="G1852" i="1" a="1"/>
  <c r="G1868" i="1" a="1"/>
  <c r="G1884" i="1" a="1"/>
  <c r="G1900" i="1" a="1"/>
  <c r="G2048" i="1" a="1"/>
  <c r="G2064" i="1" a="1"/>
  <c r="G2080" i="1" a="1"/>
  <c r="G2096" i="1" a="1"/>
  <c r="G2112" i="1" a="1"/>
  <c r="G2128" i="1" a="1"/>
  <c r="G2144" i="1" a="1"/>
  <c r="G2160" i="1" a="1"/>
  <c r="G2176" i="1" a="1"/>
  <c r="G2192" i="1" a="1"/>
  <c r="G2208" i="1" a="1"/>
  <c r="G2228" i="1" a="1"/>
  <c r="G2244" i="1" a="1"/>
  <c r="G2260" i="1" a="1"/>
  <c r="G2276" i="1" a="1"/>
  <c r="G2292" i="1" a="1"/>
  <c r="G2320" i="1" a="1"/>
  <c r="G2364" i="1" a="1"/>
  <c r="G2396" i="1" a="1"/>
  <c r="G2436" i="1" a="1"/>
  <c r="G2476" i="1" a="1"/>
  <c r="G2528" i="1" a="1"/>
  <c r="G2319" i="1" a="1"/>
  <c r="G2447" i="1" a="1"/>
  <c r="G2594" i="1" a="1"/>
  <c r="G2633" i="1" a="1"/>
  <c r="G2761" i="1" a="1"/>
  <c r="G2860" i="1" a="1"/>
  <c r="G2968" i="1" a="1"/>
  <c r="G3059" i="1" a="1"/>
  <c r="G3130" i="1" a="1"/>
  <c r="G3215" i="1" a="1"/>
  <c r="G3261" i="1" a="1"/>
  <c r="G3322" i="1" a="1"/>
  <c r="G3368" i="1" a="1"/>
  <c r="G3459" i="1" a="1"/>
  <c r="G3500" i="1" a="1"/>
  <c r="G2955" i="1" a="1"/>
  <c r="G3266" i="1" a="1"/>
  <c r="G3373" i="1" a="1"/>
  <c r="G3158" i="1" a="1"/>
  <c r="G3342" i="1" a="1"/>
  <c r="G3338" i="1" a="1"/>
  <c r="G3166" i="1" a="1"/>
  <c r="G3366" i="1" a="1"/>
  <c r="G3471" i="1" a="1"/>
  <c r="G2403" i="1" a="1"/>
  <c r="G2531" i="1" a="1"/>
  <c r="G2685" i="1" a="1"/>
  <c r="G3263" i="1" a="1"/>
  <c r="G3209" i="1" a="1"/>
  <c r="G2359" i="1" a="1"/>
  <c r="G2487" i="1" a="1"/>
  <c r="G2590" i="1" a="1"/>
  <c r="G2641" i="1" a="1"/>
  <c r="G2769" i="1" a="1"/>
  <c r="G2836" i="1" a="1"/>
  <c r="G2951" i="1" a="1"/>
  <c r="G2992" i="1" a="1"/>
  <c r="G3078" i="1" a="1"/>
  <c r="G3202" i="1" a="1"/>
  <c r="G3239" i="1" a="1"/>
  <c r="G3305" i="1" a="1"/>
  <c r="G3346" i="1" a="1"/>
  <c r="G3415" i="1" a="1"/>
  <c r="G3460" i="1" a="1"/>
  <c r="G2725" i="1" a="1"/>
  <c r="G2965" i="1" a="1"/>
  <c r="G3060" i="1" a="1"/>
  <c r="G3126" i="1" a="1"/>
  <c r="G3079" i="1" a="1"/>
  <c r="G3452" i="1" a="1"/>
  <c r="G3480" i="1" a="1"/>
  <c r="G2411" i="1" a="1"/>
  <c r="G2539" i="1" a="1"/>
  <c r="G2661" i="1" a="1"/>
  <c r="G2956" i="1" a="1"/>
  <c r="G3357" i="1" a="1"/>
  <c r="G2399" i="1" a="1"/>
  <c r="G2527" i="1" a="1"/>
  <c r="G2607" i="1" a="1"/>
  <c r="G2713" i="1" a="1"/>
  <c r="G2794" i="1" a="1"/>
  <c r="G2908" i="1" a="1"/>
  <c r="G3329" i="1" a="1"/>
  <c r="G2387" i="1" a="1"/>
  <c r="G2515" i="1" a="1"/>
  <c r="G2575" i="1" a="1"/>
  <c r="G2733" i="1" a="1"/>
  <c r="G2896" i="1" a="1"/>
  <c r="G2999" i="1" a="1"/>
  <c r="G2407" i="1" a="1"/>
  <c r="G2535" i="1" a="1"/>
  <c r="G2614" i="1" a="1"/>
  <c r="G2689" i="1" a="1"/>
  <c r="G2790" i="1" a="1"/>
  <c r="G2916" i="1" a="1"/>
  <c r="G2976" i="1" a="1"/>
  <c r="G3062" i="1" a="1"/>
  <c r="G3122" i="1" a="1"/>
  <c r="G3214" i="1" a="1"/>
  <c r="G3255" i="1" a="1"/>
  <c r="G3321" i="1" a="1"/>
  <c r="G3362" i="1" a="1"/>
  <c r="G3444" i="1" a="1"/>
  <c r="G3490" i="1" a="1"/>
  <c r="G2880" i="1" a="1"/>
  <c r="G3211" i="1" a="1"/>
  <c r="G3332" i="1" a="1"/>
  <c r="G3496" i="1" a="1"/>
  <c r="G3301" i="1" a="1"/>
  <c r="G3320" i="1" a="1"/>
  <c r="G3031" i="1" a="1"/>
  <c r="G3241" i="1" a="1"/>
  <c r="G2331" i="1" a="1"/>
  <c r="G2560" i="1" a="1"/>
  <c r="G2773" i="1" a="1"/>
  <c r="G2981" i="1" a="1"/>
  <c r="G3242" i="1" a="1"/>
  <c r="G3340" i="1" a="1"/>
  <c r="G3495" i="1" a="1"/>
  <c r="G3464" i="1" a="1"/>
  <c r="G3070" i="1" a="1"/>
  <c r="G3427" i="1" a="1"/>
  <c r="G3427" i="1" l="1"/>
  <c r="G3070" i="1"/>
  <c r="G3464" i="1"/>
  <c r="G3495" i="1"/>
  <c r="G3340" i="1"/>
  <c r="G3242" i="1"/>
  <c r="G2981" i="1"/>
  <c r="G2773" i="1"/>
  <c r="G2560" i="1"/>
  <c r="G2331" i="1"/>
  <c r="G3241" i="1"/>
  <c r="G3031" i="1"/>
  <c r="G3320" i="1"/>
  <c r="G3301" i="1"/>
  <c r="G3496" i="1"/>
  <c r="G3332" i="1"/>
  <c r="G3211" i="1"/>
  <c r="G2880" i="1"/>
  <c r="G3490" i="1"/>
  <c r="G3444" i="1"/>
  <c r="G3362" i="1"/>
  <c r="G3321" i="1"/>
  <c r="G3255" i="1"/>
  <c r="G3214" i="1"/>
  <c r="G3122" i="1"/>
  <c r="G3062" i="1"/>
  <c r="G2976" i="1"/>
  <c r="G2916" i="1"/>
  <c r="G2790" i="1"/>
  <c r="G2689" i="1"/>
  <c r="G2614" i="1"/>
  <c r="G2535" i="1"/>
  <c r="G2407" i="1"/>
  <c r="G2999" i="1"/>
  <c r="G2896" i="1"/>
  <c r="G2733" i="1"/>
  <c r="G2575" i="1"/>
  <c r="G2515" i="1"/>
  <c r="G2387" i="1"/>
  <c r="G3329" i="1"/>
  <c r="G2908" i="1"/>
  <c r="G2794" i="1"/>
  <c r="G2713" i="1"/>
  <c r="G2607" i="1"/>
  <c r="G2527" i="1"/>
  <c r="G2399" i="1"/>
  <c r="G3357" i="1"/>
  <c r="G2956" i="1"/>
  <c r="G2661" i="1"/>
  <c r="G2539" i="1"/>
  <c r="G2411" i="1"/>
  <c r="G3480" i="1"/>
  <c r="G3452" i="1"/>
  <c r="G3079" i="1"/>
  <c r="G3126" i="1"/>
  <c r="G3060" i="1"/>
  <c r="G2965" i="1"/>
  <c r="G2725" i="1"/>
  <c r="G3460" i="1"/>
  <c r="G3415" i="1"/>
  <c r="G3346" i="1"/>
  <c r="G3305" i="1"/>
  <c r="G3239" i="1"/>
  <c r="G3202" i="1"/>
  <c r="G3078" i="1"/>
  <c r="G2992" i="1"/>
  <c r="G2951" i="1"/>
  <c r="G2836" i="1"/>
  <c r="G2769" i="1"/>
  <c r="G2641" i="1"/>
  <c r="G2590" i="1"/>
  <c r="G2487" i="1"/>
  <c r="G2359" i="1"/>
  <c r="G3209" i="1"/>
  <c r="G3263" i="1"/>
  <c r="G2685" i="1"/>
  <c r="G2531" i="1"/>
  <c r="G2403" i="1"/>
  <c r="G3471" i="1"/>
  <c r="G3366" i="1"/>
  <c r="G3166" i="1"/>
  <c r="G3338" i="1"/>
  <c r="G3342" i="1"/>
  <c r="G3158" i="1"/>
  <c r="G3373" i="1"/>
  <c r="G3266" i="1"/>
  <c r="G2955" i="1"/>
  <c r="G3500" i="1"/>
  <c r="G3459" i="1"/>
  <c r="G3368" i="1"/>
  <c r="G3322" i="1"/>
  <c r="G3261" i="1"/>
  <c r="G3215" i="1"/>
  <c r="G3130" i="1"/>
  <c r="G3059" i="1"/>
  <c r="G2968" i="1"/>
  <c r="G2860" i="1"/>
  <c r="G2761" i="1"/>
  <c r="G2633" i="1"/>
  <c r="G2594" i="1"/>
  <c r="G2447" i="1"/>
  <c r="G2319" i="1"/>
  <c r="G2528" i="1"/>
  <c r="G2476" i="1"/>
  <c r="G2436" i="1"/>
  <c r="G2396" i="1"/>
  <c r="G2364" i="1"/>
  <c r="G2320" i="1"/>
  <c r="G2292" i="1"/>
  <c r="G2276" i="1"/>
  <c r="G2260" i="1"/>
  <c r="G2244" i="1"/>
  <c r="G2228" i="1"/>
  <c r="G2208" i="1"/>
  <c r="G2192" i="1"/>
  <c r="G2176" i="1"/>
  <c r="G2160" i="1"/>
  <c r="G2144" i="1"/>
  <c r="G2128" i="1"/>
  <c r="G2112" i="1"/>
  <c r="G2096" i="1"/>
  <c r="G2080" i="1"/>
  <c r="G2064" i="1"/>
  <c r="G2048" i="1"/>
  <c r="G1900" i="1"/>
  <c r="G1884" i="1"/>
  <c r="G1868" i="1"/>
  <c r="G1852" i="1"/>
  <c r="G1836" i="1"/>
  <c r="G1820" i="1"/>
  <c r="G1804" i="1"/>
  <c r="G1788" i="1"/>
  <c r="G1772" i="1"/>
  <c r="G1756" i="1"/>
  <c r="G1693" i="1"/>
  <c r="G2524" i="1"/>
  <c r="G2504" i="1"/>
  <c r="G2480" i="1"/>
  <c r="G2452" i="1"/>
  <c r="G2428" i="1"/>
  <c r="G2400" i="1"/>
  <c r="G2368" i="1"/>
  <c r="G2340" i="1"/>
  <c r="G2316" i="1"/>
  <c r="G3436" i="1"/>
  <c r="G3409" i="1"/>
  <c r="G3393" i="1"/>
  <c r="G3377" i="1"/>
  <c r="G3278" i="1"/>
  <c r="G3199" i="1"/>
  <c r="G3183" i="1"/>
  <c r="G3167" i="1"/>
  <c r="G3151" i="1"/>
  <c r="G3135" i="1"/>
  <c r="G3119" i="1"/>
  <c r="G3103" i="1"/>
  <c r="G3087" i="1"/>
  <c r="G3044" i="1"/>
  <c r="G3028" i="1"/>
  <c r="G3012" i="1"/>
  <c r="G2996" i="1"/>
  <c r="G2937" i="1"/>
  <c r="G2921" i="1"/>
  <c r="G2905" i="1"/>
  <c r="G2889" i="1"/>
  <c r="G2873" i="1"/>
  <c r="G2857" i="1"/>
  <c r="G2841" i="1"/>
  <c r="G2825" i="1"/>
  <c r="G2809" i="1"/>
  <c r="G2778" i="1"/>
  <c r="G2762" i="1"/>
  <c r="G2746" i="1"/>
  <c r="G2730" i="1"/>
  <c r="G2714" i="1"/>
  <c r="G2698" i="1"/>
  <c r="G2682" i="1"/>
  <c r="G2666" i="1"/>
  <c r="G2650" i="1"/>
  <c r="G2634" i="1"/>
  <c r="G2583" i="1"/>
  <c r="G2025" i="1"/>
  <c r="G1993" i="1"/>
  <c r="G1961" i="1"/>
  <c r="G1929" i="1"/>
  <c r="G1735" i="1"/>
  <c r="G1682" i="1"/>
  <c r="G1650" i="1"/>
  <c r="G1618" i="1"/>
  <c r="G1586" i="1"/>
  <c r="G1554" i="1"/>
  <c r="G1522" i="1"/>
  <c r="G1490" i="1"/>
  <c r="G1458" i="1"/>
  <c r="G1426" i="1"/>
  <c r="G1394" i="1"/>
  <c r="G1362" i="1"/>
  <c r="G1330" i="1"/>
  <c r="G2287" i="1"/>
  <c r="G2271" i="1"/>
  <c r="G2255" i="1"/>
  <c r="G2239" i="1"/>
  <c r="G2223" i="1"/>
  <c r="G2207" i="1"/>
  <c r="G2191" i="1"/>
  <c r="G2175" i="1"/>
  <c r="G2159" i="1"/>
  <c r="G2143" i="1"/>
  <c r="G2127" i="1"/>
  <c r="G2111" i="1"/>
  <c r="G2095" i="1"/>
  <c r="G2079" i="1"/>
  <c r="G2063" i="1"/>
  <c r="G2047" i="1"/>
  <c r="G1899" i="1"/>
  <c r="G1883" i="1"/>
  <c r="G1867" i="1"/>
  <c r="G1851" i="1"/>
  <c r="G1835" i="1"/>
  <c r="G1819" i="1"/>
  <c r="G1803" i="1"/>
  <c r="G1787" i="1"/>
  <c r="G1771" i="1"/>
  <c r="G1755" i="1"/>
  <c r="G1697" i="1"/>
  <c r="G2013" i="1"/>
  <c r="G1981" i="1"/>
  <c r="G1949" i="1"/>
  <c r="G1917" i="1"/>
  <c r="G1707" i="1"/>
  <c r="G1670" i="1"/>
  <c r="G1638" i="1"/>
  <c r="G1606" i="1"/>
  <c r="G1574" i="1"/>
  <c r="G1542" i="1"/>
  <c r="G1510" i="1"/>
  <c r="G1478" i="1"/>
  <c r="G1446" i="1"/>
  <c r="G1414" i="1"/>
  <c r="G1382" i="1"/>
  <c r="G1350" i="1"/>
  <c r="G1318" i="1"/>
  <c r="G2518" i="1"/>
  <c r="G2406" i="1"/>
  <c r="G2366" i="1"/>
  <c r="G2346" i="1"/>
  <c r="G2330" i="1"/>
  <c r="G2314" i="1"/>
  <c r="G2298" i="1"/>
  <c r="G2270" i="1"/>
  <c r="G2254" i="1"/>
  <c r="G2238" i="1"/>
  <c r="G2222" i="1"/>
  <c r="G2206" i="1"/>
  <c r="G2190" i="1"/>
  <c r="G2174" i="1"/>
  <c r="G2158" i="1"/>
  <c r="G2142" i="1"/>
  <c r="G2126" i="1"/>
  <c r="G2110" i="1"/>
  <c r="G2094" i="1"/>
  <c r="G2078" i="1"/>
  <c r="G2062" i="1"/>
  <c r="G2046" i="1"/>
  <c r="G1898" i="1"/>
  <c r="G1882" i="1"/>
  <c r="G1866" i="1"/>
  <c r="G1850" i="1"/>
  <c r="G1834" i="1"/>
  <c r="G1818" i="1"/>
  <c r="G1802" i="1"/>
  <c r="G1786" i="1"/>
  <c r="G1770" i="1"/>
  <c r="G1754" i="1"/>
  <c r="G1701" i="1"/>
  <c r="G2562" i="1"/>
  <c r="G2506" i="1"/>
  <c r="G2442" i="1"/>
  <c r="G3403" i="1"/>
  <c r="G3181" i="1"/>
  <c r="G3149" i="1"/>
  <c r="G3125" i="1"/>
  <c r="G3109" i="1"/>
  <c r="G3093" i="1"/>
  <c r="G3054" i="1"/>
  <c r="G3038" i="1"/>
  <c r="G3022" i="1"/>
  <c r="G3006" i="1"/>
  <c r="G2943" i="1"/>
  <c r="G2927" i="1"/>
  <c r="G2911" i="1"/>
  <c r="G2895" i="1"/>
  <c r="G2879" i="1"/>
  <c r="G2863" i="1"/>
  <c r="G2847" i="1"/>
  <c r="G2831" i="1"/>
  <c r="G2815" i="1"/>
  <c r="G2780" i="1"/>
  <c r="G2764" i="1"/>
  <c r="G2748" i="1"/>
  <c r="G2732" i="1"/>
  <c r="G2716" i="1"/>
  <c r="G2700" i="1"/>
  <c r="G2684" i="1"/>
  <c r="G2668" i="1"/>
  <c r="G2652" i="1"/>
  <c r="G2636" i="1"/>
  <c r="G2581" i="1"/>
  <c r="G2017" i="1"/>
  <c r="G1985" i="1"/>
  <c r="G1953" i="1"/>
  <c r="G1921" i="1"/>
  <c r="G1727" i="1"/>
  <c r="G1679" i="1"/>
  <c r="G1647" i="1"/>
  <c r="G1615" i="1"/>
  <c r="G1583" i="1"/>
  <c r="G1551" i="1"/>
  <c r="G1519" i="1"/>
  <c r="G1487" i="1"/>
  <c r="G1455" i="1"/>
  <c r="G1423" i="1"/>
  <c r="G1391" i="1"/>
  <c r="G1359" i="1"/>
  <c r="G1327" i="1"/>
  <c r="G2613" i="1"/>
  <c r="G2558" i="1"/>
  <c r="G2498" i="1"/>
  <c r="G2446" i="1"/>
  <c r="G2410" i="1"/>
  <c r="G2386" i="1"/>
  <c r="G2274" i="1"/>
  <c r="G3395" i="1"/>
  <c r="G3193" i="1"/>
  <c r="G3141" i="1"/>
  <c r="G3485" i="1"/>
  <c r="G3465" i="1"/>
  <c r="G3449" i="1"/>
  <c r="G3418" i="1"/>
  <c r="G3367" i="1"/>
  <c r="G3351" i="1"/>
  <c r="G3335" i="1"/>
  <c r="G3319" i="1"/>
  <c r="G3303" i="1"/>
  <c r="G3264" i="1"/>
  <c r="G3248" i="1"/>
  <c r="G3232" i="1"/>
  <c r="G3216" i="1"/>
  <c r="G3077" i="1"/>
  <c r="G3061" i="1"/>
  <c r="G2982" i="1"/>
  <c r="G2966" i="1"/>
  <c r="G2799" i="1"/>
  <c r="G2620" i="1"/>
  <c r="G2604" i="1"/>
  <c r="G2588" i="1"/>
  <c r="G2565" i="1"/>
  <c r="G2549" i="1"/>
  <c r="G2533" i="1"/>
  <c r="G2517" i="1"/>
  <c r="G2501" i="1"/>
  <c r="G2485" i="1"/>
  <c r="G2469" i="1"/>
  <c r="G2453" i="1"/>
  <c r="G2437" i="1"/>
  <c r="G2421" i="1"/>
  <c r="G2405" i="1"/>
  <c r="G2389" i="1"/>
  <c r="G2373" i="1"/>
  <c r="G2357" i="1"/>
  <c r="G2341" i="1"/>
  <c r="G2325" i="1"/>
  <c r="G2309" i="1"/>
  <c r="G2293" i="1"/>
  <c r="G2277" i="1"/>
  <c r="G2261" i="1"/>
  <c r="G2245" i="1"/>
  <c r="G2229" i="1"/>
  <c r="G2213" i="1"/>
  <c r="G2197" i="1"/>
  <c r="G2181" i="1"/>
  <c r="G2165" i="1"/>
  <c r="G2149" i="1"/>
  <c r="G2133" i="1"/>
  <c r="G2117" i="1"/>
  <c r="G2101" i="1"/>
  <c r="G2085" i="1"/>
  <c r="G2069" i="1"/>
  <c r="G2053" i="1"/>
  <c r="G1901" i="1"/>
  <c r="G1885" i="1"/>
  <c r="G1869" i="1"/>
  <c r="G1853" i="1"/>
  <c r="G1837" i="1"/>
  <c r="G1821" i="1"/>
  <c r="G1805" i="1"/>
  <c r="G1789" i="1"/>
  <c r="G1773" i="1"/>
  <c r="G1757" i="1"/>
  <c r="G1705" i="1"/>
  <c r="G2593" i="1"/>
  <c r="G2550" i="1"/>
  <c r="G2502" i="1"/>
  <c r="G2450" i="1"/>
  <c r="G3434" i="1"/>
  <c r="G3379" i="1"/>
  <c r="G3201" i="1"/>
  <c r="G3145" i="1"/>
  <c r="G3433" i="1"/>
  <c r="G3406" i="1"/>
  <c r="G3390" i="1"/>
  <c r="G3291" i="1"/>
  <c r="G3275" i="1"/>
  <c r="G3196" i="1"/>
  <c r="G3180" i="1"/>
  <c r="G3164" i="1"/>
  <c r="G3148" i="1"/>
  <c r="G3132" i="1"/>
  <c r="G3116" i="1"/>
  <c r="G3100" i="1"/>
  <c r="G3057" i="1"/>
  <c r="G3041" i="1"/>
  <c r="G3025" i="1"/>
  <c r="G3009" i="1"/>
  <c r="G2950" i="1"/>
  <c r="G2934" i="1"/>
  <c r="G2918" i="1"/>
  <c r="G2902" i="1"/>
  <c r="G2886" i="1"/>
  <c r="G2870" i="1"/>
  <c r="G2854" i="1"/>
  <c r="G2838" i="1"/>
  <c r="G2822" i="1"/>
  <c r="G2806" i="1"/>
  <c r="G2775" i="1"/>
  <c r="G2759" i="1"/>
  <c r="G2743" i="1"/>
  <c r="G2727" i="1"/>
  <c r="G2711" i="1"/>
  <c r="G2695" i="1"/>
  <c r="G2679" i="1"/>
  <c r="G2663" i="1"/>
  <c r="G2647" i="1"/>
  <c r="G2631" i="1"/>
  <c r="G2031" i="1"/>
  <c r="G2005" i="1"/>
  <c r="G1973" i="1"/>
  <c r="G1941" i="1"/>
  <c r="G1909" i="1"/>
  <c r="G1699" i="1"/>
  <c r="G1662" i="1"/>
  <c r="G1630" i="1"/>
  <c r="G1598" i="1"/>
  <c r="G1566" i="1"/>
  <c r="G1534" i="1"/>
  <c r="G1502" i="1"/>
  <c r="G1470" i="1"/>
  <c r="G1438" i="1"/>
  <c r="G1406" i="1"/>
  <c r="G1374" i="1"/>
  <c r="G1342" i="1"/>
  <c r="G1310" i="1"/>
  <c r="G2015" i="1"/>
  <c r="G1999" i="1"/>
  <c r="G1983" i="1"/>
  <c r="G1967" i="1"/>
  <c r="G1951" i="1"/>
  <c r="G1935" i="1"/>
  <c r="G1919" i="1"/>
  <c r="G1688" i="1"/>
  <c r="G1672" i="1"/>
  <c r="G1656" i="1"/>
  <c r="G1640" i="1"/>
  <c r="G1624" i="1"/>
  <c r="G1608" i="1"/>
  <c r="G1592" i="1"/>
  <c r="G1576" i="1"/>
  <c r="G1560" i="1"/>
  <c r="G1544" i="1"/>
  <c r="G1528" i="1"/>
  <c r="G1512" i="1"/>
  <c r="G1496" i="1"/>
  <c r="G1480" i="1"/>
  <c r="G1464" i="1"/>
  <c r="G1448" i="1"/>
  <c r="G1432" i="1"/>
  <c r="G1416" i="1"/>
  <c r="G1400" i="1"/>
  <c r="G1384" i="1"/>
  <c r="G1368" i="1"/>
  <c r="G1352" i="1"/>
  <c r="G1336" i="1"/>
  <c r="G1320" i="1"/>
  <c r="G1750" i="1"/>
  <c r="G1734" i="1"/>
  <c r="G1718" i="1"/>
  <c r="G1702" i="1"/>
  <c r="G2036" i="1"/>
  <c r="G2020" i="1"/>
  <c r="G2004" i="1"/>
  <c r="G1988" i="1"/>
  <c r="G1972" i="1"/>
  <c r="G1956" i="1"/>
  <c r="G1940" i="1"/>
  <c r="G1924" i="1"/>
  <c r="G1908" i="1"/>
  <c r="G1677" i="1"/>
  <c r="G1661" i="1"/>
  <c r="G1645" i="1"/>
  <c r="G1629" i="1"/>
  <c r="G1613" i="1"/>
  <c r="G1597" i="1"/>
  <c r="G1581" i="1"/>
  <c r="G1565" i="1"/>
  <c r="G1549" i="1"/>
  <c r="G1533" i="1"/>
  <c r="G1517" i="1"/>
  <c r="G1501" i="1"/>
  <c r="G1485" i="1"/>
  <c r="G1469" i="1"/>
  <c r="G1453" i="1"/>
  <c r="G1437" i="1"/>
  <c r="G1421" i="1"/>
  <c r="G1405" i="1"/>
  <c r="G1389" i="1"/>
  <c r="G1373" i="1"/>
  <c r="G1357" i="1"/>
  <c r="G1341" i="1"/>
  <c r="G1325" i="1"/>
  <c r="G1309" i="1"/>
  <c r="G1740" i="1"/>
  <c r="G1724" i="1"/>
  <c r="G1708" i="1"/>
  <c r="G1692" i="1"/>
  <c r="G3380" i="1"/>
  <c r="G2989" i="1"/>
  <c r="G3306" i="1"/>
  <c r="G3470" i="1"/>
  <c r="G3333" i="1"/>
  <c r="G3150" i="1"/>
  <c r="G2964" i="1"/>
  <c r="G3454" i="1"/>
  <c r="G3408" i="1"/>
  <c r="G3294" i="1"/>
  <c r="G3174" i="1"/>
  <c r="G3067" i="1"/>
  <c r="G2904" i="1"/>
  <c r="G2645" i="1"/>
  <c r="G2459" i="1"/>
  <c r="G3146" i="1"/>
  <c r="G3316" i="1"/>
  <c r="G3412" i="1"/>
  <c r="G3231" i="1"/>
  <c r="G3043" i="1"/>
  <c r="G3456" i="1"/>
  <c r="G3310" i="1"/>
  <c r="G3446" i="1"/>
  <c r="G3118" i="1"/>
  <c r="G2912" i="1"/>
  <c r="G3486" i="1"/>
  <c r="G3440" i="1"/>
  <c r="G3372" i="1"/>
  <c r="G3326" i="1"/>
  <c r="G3269" i="1"/>
  <c r="G3233" i="1"/>
  <c r="G3142" i="1"/>
  <c r="G3039" i="1"/>
  <c r="G2972" i="1"/>
  <c r="G2872" i="1"/>
  <c r="G2741" i="1"/>
  <c r="G2582" i="1"/>
  <c r="G2555" i="1"/>
  <c r="G2427" i="1"/>
  <c r="G2299" i="1"/>
  <c r="G3227" i="1"/>
  <c r="G3484" i="1"/>
  <c r="G3297" i="1"/>
  <c r="G3479" i="1"/>
  <c r="G3267" i="1"/>
  <c r="G3478" i="1"/>
  <c r="G3300" i="1"/>
  <c r="G3182" i="1"/>
  <c r="G2781" i="1"/>
  <c r="G3476" i="1"/>
  <c r="G3417" i="1"/>
  <c r="G3353" i="1"/>
  <c r="G3312" i="1"/>
  <c r="G3246" i="1"/>
  <c r="G3205" i="1"/>
  <c r="G3090" i="1"/>
  <c r="G3051" i="1"/>
  <c r="G2967" i="1"/>
  <c r="G2884" i="1"/>
  <c r="G2785" i="1"/>
  <c r="G2657" i="1"/>
  <c r="G2603" i="1"/>
  <c r="G2503" i="1"/>
  <c r="G2375" i="1"/>
  <c r="G2980" i="1"/>
  <c r="G2864" i="1"/>
  <c r="G2701" i="1"/>
  <c r="G2564" i="1"/>
  <c r="G2483" i="1"/>
  <c r="G2355" i="1"/>
  <c r="G2993" i="1"/>
  <c r="G2876" i="1"/>
  <c r="G2789" i="1"/>
  <c r="G2681" i="1"/>
  <c r="G2602" i="1"/>
  <c r="G2495" i="1"/>
  <c r="G2367" i="1"/>
  <c r="G3259" i="1"/>
  <c r="G2920" i="1"/>
  <c r="G2629" i="1"/>
  <c r="G2507" i="1"/>
  <c r="G2379" i="1"/>
  <c r="G3348" i="1"/>
  <c r="G3416" i="1"/>
  <c r="G2940" i="1"/>
  <c r="G3094" i="1"/>
  <c r="G3055" i="1"/>
  <c r="G2888" i="1"/>
  <c r="G3492" i="1"/>
  <c r="G3451" i="1"/>
  <c r="G3404" i="1"/>
  <c r="G3337" i="1"/>
  <c r="G3296" i="1"/>
  <c r="G3230" i="1"/>
  <c r="G3170" i="1"/>
  <c r="G3064" i="1"/>
  <c r="G2983" i="1"/>
  <c r="G2932" i="1"/>
  <c r="G2804" i="1"/>
  <c r="G2737" i="1"/>
  <c r="G2611" i="1"/>
  <c r="G2578" i="1"/>
  <c r="G2455" i="1"/>
  <c r="G2327" i="1"/>
  <c r="G3134" i="1"/>
  <c r="G3487" i="1"/>
  <c r="G2653" i="1"/>
  <c r="G2499" i="1"/>
  <c r="G2371" i="1"/>
  <c r="G3448" i="1"/>
  <c r="G3334" i="1"/>
  <c r="G3498" i="1"/>
  <c r="G3245" i="1"/>
  <c r="G3324" i="1"/>
  <c r="G3455" i="1"/>
  <c r="G3350" i="1"/>
  <c r="G3082" i="1"/>
  <c r="G2944" i="1"/>
  <c r="G3491" i="1"/>
  <c r="G3450" i="1"/>
  <c r="G3354" i="1"/>
  <c r="G3313" i="1"/>
  <c r="G3247" i="1"/>
  <c r="G3206" i="1"/>
  <c r="G3098" i="1"/>
  <c r="G3027" i="1"/>
  <c r="G2959" i="1"/>
  <c r="G2828" i="1"/>
  <c r="G2729" i="1"/>
  <c r="G2615" i="1"/>
  <c r="G2543" i="1"/>
  <c r="G2415" i="1"/>
  <c r="G2552" i="1"/>
  <c r="G2516" i="1"/>
  <c r="G2464" i="1"/>
  <c r="G2424" i="1"/>
  <c r="G2388" i="1"/>
  <c r="G2356" i="1"/>
  <c r="G2312" i="1"/>
  <c r="G2288" i="1"/>
  <c r="G2272" i="1"/>
  <c r="G2256" i="1"/>
  <c r="G2240" i="1"/>
  <c r="G2224" i="1"/>
  <c r="G2204" i="1"/>
  <c r="G2188" i="1"/>
  <c r="G2172" i="1"/>
  <c r="G2156" i="1"/>
  <c r="G2140" i="1"/>
  <c r="G2124" i="1"/>
  <c r="G2108" i="1"/>
  <c r="G2092" i="1"/>
  <c r="G2076" i="1"/>
  <c r="G2060" i="1"/>
  <c r="G2044" i="1"/>
  <c r="G1896" i="1"/>
  <c r="G1880" i="1"/>
  <c r="G1864" i="1"/>
  <c r="G1848" i="1"/>
  <c r="G1832" i="1"/>
  <c r="G1816" i="1"/>
  <c r="G1800" i="1"/>
  <c r="G1784" i="1"/>
  <c r="G1768" i="1"/>
  <c r="G1741" i="1"/>
  <c r="G2548" i="1"/>
  <c r="G2520" i="1"/>
  <c r="G2496" i="1"/>
  <c r="G2472" i="1"/>
  <c r="G2448" i="1"/>
  <c r="G2420" i="1"/>
  <c r="G2392" i="1"/>
  <c r="G2360" i="1"/>
  <c r="G2336" i="1"/>
  <c r="G2308" i="1"/>
  <c r="G3432" i="1"/>
  <c r="G3405" i="1"/>
  <c r="G3389" i="1"/>
  <c r="G3290" i="1"/>
  <c r="G3274" i="1"/>
  <c r="G3195" i="1"/>
  <c r="G3179" i="1"/>
  <c r="G3163" i="1"/>
  <c r="G3147" i="1"/>
  <c r="G3131" i="1"/>
  <c r="G3115" i="1"/>
  <c r="G3099" i="1"/>
  <c r="G3056" i="1"/>
  <c r="G3040" i="1"/>
  <c r="G3024" i="1"/>
  <c r="G3008" i="1"/>
  <c r="G2949" i="1"/>
  <c r="G2933" i="1"/>
  <c r="G2917" i="1"/>
  <c r="G2901" i="1"/>
  <c r="G2885" i="1"/>
  <c r="G2869" i="1"/>
  <c r="G2853" i="1"/>
  <c r="G2837" i="1"/>
  <c r="G2821" i="1"/>
  <c r="G2805" i="1"/>
  <c r="G2774" i="1"/>
  <c r="G2758" i="1"/>
  <c r="G2742" i="1"/>
  <c r="G2726" i="1"/>
  <c r="G2710" i="1"/>
  <c r="G2694" i="1"/>
  <c r="G2678" i="1"/>
  <c r="G2662" i="1"/>
  <c r="G2646" i="1"/>
  <c r="G2630" i="1"/>
  <c r="G2579" i="1"/>
  <c r="G2014" i="1"/>
  <c r="G1982" i="1"/>
  <c r="G1950" i="1"/>
  <c r="G1918" i="1"/>
  <c r="G1719" i="1"/>
  <c r="G1671" i="1"/>
  <c r="G1639" i="1"/>
  <c r="G1607" i="1"/>
  <c r="G1575" i="1"/>
  <c r="G1543" i="1"/>
  <c r="G1511" i="1"/>
  <c r="G1479" i="1"/>
  <c r="G1447" i="1"/>
  <c r="G1415" i="1"/>
  <c r="G1383" i="1"/>
  <c r="G1351" i="1"/>
  <c r="G1319" i="1"/>
  <c r="G2283" i="1"/>
  <c r="G2267" i="1"/>
  <c r="G2251" i="1"/>
  <c r="G2235" i="1"/>
  <c r="G2219" i="1"/>
  <c r="G2203" i="1"/>
  <c r="G2187" i="1"/>
  <c r="G2171" i="1"/>
  <c r="G2155" i="1"/>
  <c r="G2139" i="1"/>
  <c r="G2123" i="1"/>
  <c r="G2107" i="1"/>
  <c r="G2091" i="1"/>
  <c r="G2075" i="1"/>
  <c r="G2059" i="1"/>
  <c r="G2043" i="1"/>
  <c r="G1895" i="1"/>
  <c r="G1879" i="1"/>
  <c r="G1863" i="1"/>
  <c r="G1847" i="1"/>
  <c r="G1831" i="1"/>
  <c r="G1815" i="1"/>
  <c r="G1799" i="1"/>
  <c r="G1783" i="1"/>
  <c r="G1767" i="1"/>
  <c r="G1745" i="1"/>
  <c r="G2038" i="1"/>
  <c r="G2002" i="1"/>
  <c r="G1970" i="1"/>
  <c r="G1938" i="1"/>
  <c r="G1906" i="1"/>
  <c r="G1691" i="1"/>
  <c r="G1659" i="1"/>
  <c r="G1627" i="1"/>
  <c r="G1595" i="1"/>
  <c r="G1563" i="1"/>
  <c r="G1531" i="1"/>
  <c r="G1499" i="1"/>
  <c r="G1467" i="1"/>
  <c r="G1435" i="1"/>
  <c r="G1403" i="1"/>
  <c r="G1371" i="1"/>
  <c r="G1339" i="1"/>
  <c r="G2788" i="1"/>
  <c r="G2482" i="1"/>
  <c r="G2390" i="1"/>
  <c r="G2358" i="1"/>
  <c r="G2342" i="1"/>
  <c r="G2326" i="1"/>
  <c r="G2310" i="1"/>
  <c r="G2294" i="1"/>
  <c r="G2266" i="1"/>
  <c r="G2250" i="1"/>
  <c r="G2234" i="1"/>
  <c r="G2218" i="1"/>
  <c r="G2202" i="1"/>
  <c r="G2186" i="1"/>
  <c r="G2170" i="1"/>
  <c r="G2154" i="1"/>
  <c r="G2138" i="1"/>
  <c r="G2122" i="1"/>
  <c r="G2106" i="1"/>
  <c r="G2090" i="1"/>
  <c r="G2074" i="1"/>
  <c r="G2058" i="1"/>
  <c r="G2042" i="1"/>
  <c r="G1894" i="1"/>
  <c r="G1878" i="1"/>
  <c r="G1862" i="1"/>
  <c r="G1846" i="1"/>
  <c r="G1830" i="1"/>
  <c r="G1814" i="1"/>
  <c r="G1798" i="1"/>
  <c r="G1782" i="1"/>
  <c r="G1766" i="1"/>
  <c r="G1749" i="1"/>
  <c r="G2800" i="1"/>
  <c r="G2546" i="1"/>
  <c r="G2494" i="1"/>
  <c r="G2422" i="1"/>
  <c r="G3387" i="1"/>
  <c r="G3169" i="1"/>
  <c r="G3137" i="1"/>
  <c r="G3121" i="1"/>
  <c r="G3105" i="1"/>
  <c r="G3089" i="1"/>
  <c r="G3050" i="1"/>
  <c r="G3034" i="1"/>
  <c r="G3018" i="1"/>
  <c r="G3002" i="1"/>
  <c r="G2939" i="1"/>
  <c r="G2923" i="1"/>
  <c r="G2907" i="1"/>
  <c r="G2891" i="1"/>
  <c r="G2875" i="1"/>
  <c r="G2859" i="1"/>
  <c r="G2843" i="1"/>
  <c r="G2827" i="1"/>
  <c r="G2811" i="1"/>
  <c r="G2776" i="1"/>
  <c r="G2760" i="1"/>
  <c r="G2744" i="1"/>
  <c r="G2728" i="1"/>
  <c r="G2712" i="1"/>
  <c r="G2696" i="1"/>
  <c r="G2680" i="1"/>
  <c r="G2664" i="1"/>
  <c r="G2648" i="1"/>
  <c r="G2632" i="1"/>
  <c r="G2577" i="1"/>
  <c r="G2006" i="1"/>
  <c r="G1974" i="1"/>
  <c r="G1942" i="1"/>
  <c r="G1910" i="1"/>
  <c r="G1711" i="1"/>
  <c r="G1674" i="1"/>
  <c r="G1642" i="1"/>
  <c r="G1610" i="1"/>
  <c r="G1578" i="1"/>
  <c r="G1546" i="1"/>
  <c r="G1514" i="1"/>
  <c r="G1482" i="1"/>
  <c r="G1450" i="1"/>
  <c r="G1418" i="1"/>
  <c r="G1386" i="1"/>
  <c r="G1354" i="1"/>
  <c r="G1322" i="1"/>
  <c r="G2605" i="1"/>
  <c r="G2542" i="1"/>
  <c r="G2486" i="1"/>
  <c r="G2434" i="1"/>
  <c r="G2402" i="1"/>
  <c r="G2378" i="1"/>
  <c r="G3430" i="1"/>
  <c r="G3383" i="1"/>
  <c r="G3185" i="1"/>
  <c r="G3497" i="1"/>
  <c r="G3477" i="1"/>
  <c r="G3461" i="1"/>
  <c r="G3445" i="1"/>
  <c r="G3414" i="1"/>
  <c r="G3363" i="1"/>
  <c r="G3347" i="1"/>
  <c r="G3331" i="1"/>
  <c r="G3315" i="1"/>
  <c r="G3299" i="1"/>
  <c r="G3260" i="1"/>
  <c r="G3244" i="1"/>
  <c r="G3228" i="1"/>
  <c r="G3212" i="1"/>
  <c r="G3073" i="1"/>
  <c r="G2994" i="1"/>
  <c r="G2978" i="1"/>
  <c r="G2962" i="1"/>
  <c r="G2795" i="1"/>
  <c r="G2616" i="1"/>
  <c r="G2600" i="1"/>
  <c r="G2584" i="1"/>
  <c r="G2561" i="1"/>
  <c r="G2545" i="1"/>
  <c r="G2529" i="1"/>
  <c r="G2513" i="1"/>
  <c r="G2497" i="1"/>
  <c r="G2481" i="1"/>
  <c r="G2465" i="1"/>
  <c r="G2449" i="1"/>
  <c r="G2433" i="1"/>
  <c r="G2417" i="1"/>
  <c r="G2401" i="1"/>
  <c r="G2385" i="1"/>
  <c r="G2369" i="1"/>
  <c r="G2353" i="1"/>
  <c r="G2337" i="1"/>
  <c r="G2321" i="1"/>
  <c r="G2305" i="1"/>
  <c r="G2289" i="1"/>
  <c r="G2273" i="1"/>
  <c r="G2257" i="1"/>
  <c r="G2241" i="1"/>
  <c r="G2225" i="1"/>
  <c r="G2209" i="1"/>
  <c r="G2193" i="1"/>
  <c r="G2177" i="1"/>
  <c r="G2161" i="1"/>
  <c r="G2145" i="1"/>
  <c r="G2129" i="1"/>
  <c r="G2113" i="1"/>
  <c r="G2097" i="1"/>
  <c r="G2081" i="1"/>
  <c r="G2065" i="1"/>
  <c r="G2049" i="1"/>
  <c r="G1897" i="1"/>
  <c r="G1881" i="1"/>
  <c r="G1865" i="1"/>
  <c r="G1849" i="1"/>
  <c r="G1833" i="1"/>
  <c r="G1817" i="1"/>
  <c r="G1801" i="1"/>
  <c r="G1785" i="1"/>
  <c r="G1769" i="1"/>
  <c r="G1753" i="1"/>
  <c r="G2792" i="1"/>
  <c r="G2585" i="1"/>
  <c r="G2538" i="1"/>
  <c r="G2490" i="1"/>
  <c r="G2438" i="1"/>
  <c r="G3426" i="1"/>
  <c r="G3292" i="1"/>
  <c r="G3189" i="1"/>
  <c r="G3501" i="1"/>
  <c r="G3429" i="1"/>
  <c r="G3402" i="1"/>
  <c r="G3386" i="1"/>
  <c r="G3287" i="1"/>
  <c r="G3271" i="1"/>
  <c r="G3192" i="1"/>
  <c r="G3176" i="1"/>
  <c r="G3160" i="1"/>
  <c r="G3144" i="1"/>
  <c r="G3128" i="1"/>
  <c r="G3112" i="1"/>
  <c r="G3096" i="1"/>
  <c r="G3053" i="1"/>
  <c r="G3037" i="1"/>
  <c r="G3021" i="1"/>
  <c r="G3005" i="1"/>
  <c r="G2946" i="1"/>
  <c r="G2930" i="1"/>
  <c r="G2914" i="1"/>
  <c r="G2898" i="1"/>
  <c r="G2882" i="1"/>
  <c r="G2866" i="1"/>
  <c r="G2850" i="1"/>
  <c r="G2834" i="1"/>
  <c r="G2818" i="1"/>
  <c r="G2802" i="1"/>
  <c r="G2771" i="1"/>
  <c r="G2755" i="1"/>
  <c r="G2739" i="1"/>
  <c r="G2723" i="1"/>
  <c r="G2707" i="1"/>
  <c r="G2691" i="1"/>
  <c r="G2675" i="1"/>
  <c r="G2659" i="1"/>
  <c r="G2643" i="1"/>
  <c r="G2627" i="1"/>
  <c r="G2026" i="1"/>
  <c r="G1994" i="1"/>
  <c r="G1962" i="1"/>
  <c r="G1930" i="1"/>
  <c r="G1747" i="1"/>
  <c r="G1683" i="1"/>
  <c r="G1651" i="1"/>
  <c r="G1619" i="1"/>
  <c r="G1587" i="1"/>
  <c r="G1555" i="1"/>
  <c r="G1523" i="1"/>
  <c r="G1491" i="1"/>
  <c r="G1459" i="1"/>
  <c r="G1427" i="1"/>
  <c r="G1395" i="1"/>
  <c r="G1363" i="1"/>
  <c r="G1331" i="1"/>
  <c r="G2027" i="1"/>
  <c r="G2011" i="1"/>
  <c r="G1995" i="1"/>
  <c r="G1979" i="1"/>
  <c r="G1963" i="1"/>
  <c r="G1947" i="1"/>
  <c r="G1931" i="1"/>
  <c r="G1915" i="1"/>
  <c r="G1684" i="1"/>
  <c r="G1668" i="1"/>
  <c r="G1652" i="1"/>
  <c r="G1636" i="1"/>
  <c r="G1620" i="1"/>
  <c r="G1604" i="1"/>
  <c r="G1588" i="1"/>
  <c r="G1572" i="1"/>
  <c r="G1556" i="1"/>
  <c r="G1540" i="1"/>
  <c r="G1524" i="1"/>
  <c r="G1508" i="1"/>
  <c r="G1492" i="1"/>
  <c r="G1476" i="1"/>
  <c r="G1460" i="1"/>
  <c r="G1444" i="1"/>
  <c r="G1428" i="1"/>
  <c r="G1412" i="1"/>
  <c r="G1396" i="1"/>
  <c r="G1380" i="1"/>
  <c r="G1364" i="1"/>
  <c r="G1348" i="1"/>
  <c r="G1332" i="1"/>
  <c r="G1316" i="1"/>
  <c r="G1746" i="1"/>
  <c r="G1730" i="1"/>
  <c r="G1714" i="1"/>
  <c r="G1698" i="1"/>
  <c r="G2032" i="1"/>
  <c r="G2016" i="1"/>
  <c r="G2000" i="1"/>
  <c r="G1984" i="1"/>
  <c r="G1968" i="1"/>
  <c r="G1952" i="1"/>
  <c r="G1936" i="1"/>
  <c r="G1920" i="1"/>
  <c r="G1689" i="1"/>
  <c r="G1673" i="1"/>
  <c r="G1657" i="1"/>
  <c r="G1641" i="1"/>
  <c r="G1625" i="1"/>
  <c r="G1609" i="1"/>
  <c r="G1593" i="1"/>
  <c r="G1577" i="1"/>
  <c r="G1561" i="1"/>
  <c r="G1545" i="1"/>
  <c r="G1529" i="1"/>
  <c r="G1513" i="1"/>
  <c r="G1497" i="1"/>
  <c r="G1481" i="1"/>
  <c r="G1465" i="1"/>
  <c r="G1449" i="1"/>
  <c r="G1433" i="1"/>
  <c r="G1417" i="1"/>
  <c r="G1401" i="1"/>
  <c r="G1385" i="1"/>
  <c r="G1369" i="1"/>
  <c r="G1353" i="1"/>
  <c r="G1337" i="1"/>
  <c r="G1321" i="1"/>
  <c r="G1752" i="1"/>
  <c r="G1736" i="1"/>
  <c r="G1720" i="1"/>
  <c r="G1704" i="1"/>
  <c r="G3213" i="1"/>
  <c r="G3258" i="1"/>
  <c r="G2816" i="1"/>
  <c r="G3435" i="1"/>
  <c r="G3317" i="1"/>
  <c r="G3110" i="1"/>
  <c r="G2840" i="1"/>
  <c r="G2576" i="1"/>
  <c r="G3494" i="1"/>
  <c r="G3466" i="1"/>
  <c r="G3447" i="1"/>
  <c r="G3243" i="1"/>
  <c r="G2556" i="1"/>
  <c r="G3388" i="1"/>
  <c r="G3298" i="1"/>
  <c r="G3186" i="1"/>
  <c r="G3019" i="1"/>
  <c r="G2953" i="1"/>
  <c r="G2852" i="1"/>
  <c r="G2753" i="1"/>
  <c r="G2625" i="1"/>
  <c r="G2598" i="1"/>
  <c r="G2471" i="1"/>
  <c r="G2343" i="1"/>
  <c r="G2832" i="1"/>
  <c r="G2669" i="1"/>
  <c r="G2559" i="1"/>
  <c r="G2451" i="1"/>
  <c r="G2323" i="1"/>
  <c r="G2975" i="1"/>
  <c r="G2844" i="1"/>
  <c r="G2777" i="1"/>
  <c r="G2649" i="1"/>
  <c r="G2591" i="1"/>
  <c r="G2463" i="1"/>
  <c r="G2335" i="1"/>
  <c r="G3285" i="1"/>
  <c r="G2856" i="1"/>
  <c r="G2568" i="1"/>
  <c r="G2475" i="1"/>
  <c r="G2347" i="1"/>
  <c r="G3250" i="1"/>
  <c r="G3254" i="1"/>
  <c r="G3392" i="1"/>
  <c r="G3083" i="1"/>
  <c r="G2988" i="1"/>
  <c r="G2824" i="1"/>
  <c r="G3483" i="1"/>
  <c r="G3442" i="1"/>
  <c r="G3369" i="1"/>
  <c r="G3328" i="1"/>
  <c r="G3262" i="1"/>
  <c r="G3221" i="1"/>
  <c r="G3138" i="1"/>
  <c r="G3035" i="1"/>
  <c r="G2969" i="1"/>
  <c r="G2900" i="1"/>
  <c r="G2798" i="1"/>
  <c r="G2705" i="1"/>
  <c r="G2606" i="1"/>
  <c r="G2551" i="1"/>
  <c r="G2423" i="1"/>
  <c r="G2295" i="1"/>
  <c r="G2971" i="1"/>
  <c r="G3309" i="1"/>
  <c r="G2572" i="1"/>
  <c r="G2467" i="1"/>
  <c r="G2339" i="1"/>
  <c r="G3421" i="1"/>
  <c r="G3293" i="1"/>
  <c r="G3475" i="1"/>
  <c r="G3011" i="1"/>
  <c r="G3226" i="1"/>
  <c r="G3419" i="1"/>
  <c r="G3318" i="1"/>
  <c r="G3068" i="1"/>
  <c r="G2848" i="1"/>
  <c r="G3482" i="1"/>
  <c r="G3423" i="1"/>
  <c r="G3345" i="1"/>
  <c r="G3304" i="1"/>
  <c r="G3238" i="1"/>
  <c r="G3194" i="1"/>
  <c r="G3072" i="1"/>
  <c r="G2991" i="1"/>
  <c r="G2924" i="1"/>
  <c r="G2797" i="1"/>
  <c r="G2697" i="1"/>
  <c r="G2610" i="1"/>
  <c r="G2511" i="1"/>
  <c r="G2383" i="1"/>
  <c r="G2544" i="1"/>
  <c r="G2500" i="1"/>
  <c r="G2456" i="1"/>
  <c r="G2412" i="1"/>
  <c r="G2380" i="1"/>
  <c r="G2344" i="1"/>
  <c r="G2304" i="1"/>
  <c r="G2284" i="1"/>
  <c r="G2268" i="1"/>
  <c r="G2252" i="1"/>
  <c r="G2236" i="1"/>
  <c r="G2220" i="1"/>
  <c r="G2200" i="1"/>
  <c r="G2184" i="1"/>
  <c r="G2168" i="1"/>
  <c r="G2152" i="1"/>
  <c r="G2136" i="1"/>
  <c r="G2120" i="1"/>
  <c r="G2104" i="1"/>
  <c r="G2088" i="1"/>
  <c r="G2072" i="1"/>
  <c r="G2056" i="1"/>
  <c r="G2035" i="1"/>
  <c r="G1892" i="1"/>
  <c r="G1876" i="1"/>
  <c r="G1860" i="1"/>
  <c r="G1844" i="1"/>
  <c r="G1828" i="1"/>
  <c r="G1812" i="1"/>
  <c r="G1796" i="1"/>
  <c r="G1780" i="1"/>
  <c r="G1764" i="1"/>
  <c r="G1725" i="1"/>
  <c r="G2540" i="1"/>
  <c r="G2512" i="1"/>
  <c r="G2492" i="1"/>
  <c r="G2468" i="1"/>
  <c r="G2440" i="1"/>
  <c r="G2416" i="1"/>
  <c r="G2384" i="1"/>
  <c r="G2352" i="1"/>
  <c r="G2328" i="1"/>
  <c r="G2300" i="1"/>
  <c r="G3428" i="1"/>
  <c r="G3401" i="1"/>
  <c r="G3385" i="1"/>
  <c r="G3286" i="1"/>
  <c r="G3270" i="1"/>
  <c r="G3191" i="1"/>
  <c r="G3175" i="1"/>
  <c r="G3159" i="1"/>
  <c r="G3143" i="1"/>
  <c r="G3127" i="1"/>
  <c r="G3111" i="1"/>
  <c r="G3095" i="1"/>
  <c r="G3052" i="1"/>
  <c r="G3036" i="1"/>
  <c r="G3020" i="1"/>
  <c r="G3004" i="1"/>
  <c r="G2945" i="1"/>
  <c r="G2929" i="1"/>
  <c r="G2913" i="1"/>
  <c r="G2897" i="1"/>
  <c r="G2881" i="1"/>
  <c r="G2865" i="1"/>
  <c r="G2849" i="1"/>
  <c r="G2833" i="1"/>
  <c r="G2817" i="1"/>
  <c r="G2801" i="1"/>
  <c r="G2770" i="1"/>
  <c r="G2754" i="1"/>
  <c r="G2738" i="1"/>
  <c r="G2722" i="1"/>
  <c r="G2706" i="1"/>
  <c r="G2690" i="1"/>
  <c r="G2674" i="1"/>
  <c r="G2658" i="1"/>
  <c r="G2642" i="1"/>
  <c r="G2626" i="1"/>
  <c r="G2039" i="1"/>
  <c r="G2009" i="1"/>
  <c r="G1977" i="1"/>
  <c r="G1945" i="1"/>
  <c r="G1913" i="1"/>
  <c r="G1703" i="1"/>
  <c r="G1666" i="1"/>
  <c r="G1634" i="1"/>
  <c r="G1602" i="1"/>
  <c r="G1570" i="1"/>
  <c r="G1538" i="1"/>
  <c r="G1506" i="1"/>
  <c r="G1474" i="1"/>
  <c r="G1442" i="1"/>
  <c r="G1410" i="1"/>
  <c r="G1378" i="1"/>
  <c r="G1346" i="1"/>
  <c r="G1314" i="1"/>
  <c r="G2279" i="1"/>
  <c r="G2263" i="1"/>
  <c r="G2247" i="1"/>
  <c r="G2231" i="1"/>
  <c r="G2215" i="1"/>
  <c r="G2199" i="1"/>
  <c r="G2183" i="1"/>
  <c r="G2167" i="1"/>
  <c r="G2151" i="1"/>
  <c r="G2135" i="1"/>
  <c r="G2119" i="1"/>
  <c r="G2103" i="1"/>
  <c r="G2087" i="1"/>
  <c r="G2071" i="1"/>
  <c r="G2055" i="1"/>
  <c r="G2034" i="1"/>
  <c r="G1891" i="1"/>
  <c r="G1875" i="1"/>
  <c r="G1859" i="1"/>
  <c r="G1843" i="1"/>
  <c r="G1827" i="1"/>
  <c r="G1811" i="1"/>
  <c r="G1795" i="1"/>
  <c r="G1779" i="1"/>
  <c r="G1763" i="1"/>
  <c r="G1729" i="1"/>
  <c r="G2029" i="1"/>
  <c r="G1997" i="1"/>
  <c r="G1965" i="1"/>
  <c r="G1933" i="1"/>
  <c r="G1739" i="1"/>
  <c r="G1686" i="1"/>
  <c r="G1654" i="1"/>
  <c r="G1622" i="1"/>
  <c r="G1590" i="1"/>
  <c r="G1558" i="1"/>
  <c r="G1526" i="1"/>
  <c r="G1494" i="1"/>
  <c r="G1462" i="1"/>
  <c r="G1430" i="1"/>
  <c r="G1398" i="1"/>
  <c r="G1366" i="1"/>
  <c r="G1334" i="1"/>
  <c r="G2589" i="1"/>
  <c r="G2454" i="1"/>
  <c r="G2382" i="1"/>
  <c r="G2354" i="1"/>
  <c r="G2338" i="1"/>
  <c r="G2322" i="1"/>
  <c r="G2306" i="1"/>
  <c r="G2286" i="1"/>
  <c r="G2262" i="1"/>
  <c r="G2246" i="1"/>
  <c r="G2230" i="1"/>
  <c r="G2214" i="1"/>
  <c r="G2198" i="1"/>
  <c r="G2182" i="1"/>
  <c r="G2166" i="1"/>
  <c r="G2150" i="1"/>
  <c r="G2134" i="1"/>
  <c r="G2118" i="1"/>
  <c r="G2102" i="1"/>
  <c r="G2086" i="1"/>
  <c r="G2070" i="1"/>
  <c r="G2054" i="1"/>
  <c r="G2033" i="1"/>
  <c r="G1890" i="1"/>
  <c r="G1874" i="1"/>
  <c r="G1858" i="1"/>
  <c r="G1842" i="1"/>
  <c r="G1826" i="1"/>
  <c r="G1810" i="1"/>
  <c r="G1794" i="1"/>
  <c r="G1778" i="1"/>
  <c r="G1762" i="1"/>
  <c r="G1733" i="1"/>
  <c r="G2784" i="1"/>
  <c r="G2534" i="1"/>
  <c r="G2474" i="1"/>
  <c r="G2278" i="1"/>
  <c r="G3288" i="1"/>
  <c r="G3161" i="1"/>
  <c r="G3133" i="1"/>
  <c r="G3117" i="1"/>
  <c r="G3101" i="1"/>
  <c r="G3085" i="1"/>
  <c r="G3046" i="1"/>
  <c r="G3030" i="1"/>
  <c r="G3014" i="1"/>
  <c r="G2998" i="1"/>
  <c r="G2935" i="1"/>
  <c r="G2919" i="1"/>
  <c r="G2903" i="1"/>
  <c r="G2887" i="1"/>
  <c r="G2871" i="1"/>
  <c r="G2855" i="1"/>
  <c r="G2839" i="1"/>
  <c r="G2823" i="1"/>
  <c r="G2807" i="1"/>
  <c r="G2772" i="1"/>
  <c r="G2756" i="1"/>
  <c r="G2740" i="1"/>
  <c r="G2724" i="1"/>
  <c r="G2708" i="1"/>
  <c r="G2692" i="1"/>
  <c r="G2676" i="1"/>
  <c r="G2660" i="1"/>
  <c r="G2644" i="1"/>
  <c r="G2628" i="1"/>
  <c r="G2037" i="1"/>
  <c r="G2001" i="1"/>
  <c r="G1969" i="1"/>
  <c r="G1937" i="1"/>
  <c r="G1905" i="1"/>
  <c r="G1695" i="1"/>
  <c r="G1663" i="1"/>
  <c r="G1631" i="1"/>
  <c r="G1599" i="1"/>
  <c r="G1567" i="1"/>
  <c r="G1535" i="1"/>
  <c r="G1503" i="1"/>
  <c r="G1471" i="1"/>
  <c r="G1439" i="1"/>
  <c r="G1407" i="1"/>
  <c r="G1375" i="1"/>
  <c r="G1343" i="1"/>
  <c r="G1311" i="1"/>
  <c r="G2597" i="1"/>
  <c r="G2530" i="1"/>
  <c r="G2470" i="1"/>
  <c r="G2426" i="1"/>
  <c r="G2398" i="1"/>
  <c r="G2370" i="1"/>
  <c r="G3411" i="1"/>
  <c r="G3284" i="1"/>
  <c r="G3173" i="1"/>
  <c r="G3493" i="1"/>
  <c r="G3473" i="1"/>
  <c r="G3457" i="1"/>
  <c r="G3441" i="1"/>
  <c r="G3375" i="1"/>
  <c r="G3359" i="1"/>
  <c r="G3343" i="1"/>
  <c r="G3327" i="1"/>
  <c r="G3311" i="1"/>
  <c r="G3295" i="1"/>
  <c r="G3256" i="1"/>
  <c r="G3240" i="1"/>
  <c r="G3224" i="1"/>
  <c r="G3208" i="1"/>
  <c r="G3069" i="1"/>
  <c r="G2990" i="1"/>
  <c r="G2974" i="1"/>
  <c r="G2958" i="1"/>
  <c r="G2791" i="1"/>
  <c r="G2612" i="1"/>
  <c r="G2596" i="1"/>
  <c r="G2573" i="1"/>
  <c r="G2557" i="1"/>
  <c r="G2541" i="1"/>
  <c r="G2525" i="1"/>
  <c r="G2509" i="1"/>
  <c r="G2493" i="1"/>
  <c r="G2477" i="1"/>
  <c r="G2461" i="1"/>
  <c r="G2445" i="1"/>
  <c r="G2429" i="1"/>
  <c r="G2413" i="1"/>
  <c r="G2397" i="1"/>
  <c r="G2381" i="1"/>
  <c r="G2365" i="1"/>
  <c r="G2349" i="1"/>
  <c r="G2333" i="1"/>
  <c r="G2317" i="1"/>
  <c r="G2301" i="1"/>
  <c r="G2285" i="1"/>
  <c r="G2269" i="1"/>
  <c r="G2253" i="1"/>
  <c r="G2237" i="1"/>
  <c r="G2221" i="1"/>
  <c r="G2205" i="1"/>
  <c r="G2189" i="1"/>
  <c r="G2173" i="1"/>
  <c r="G2157" i="1"/>
  <c r="G2141" i="1"/>
  <c r="G2125" i="1"/>
  <c r="G2109" i="1"/>
  <c r="G2093" i="1"/>
  <c r="G2077" i="1"/>
  <c r="G2061" i="1"/>
  <c r="G2045" i="1"/>
  <c r="G1893" i="1"/>
  <c r="G1877" i="1"/>
  <c r="G1861" i="1"/>
  <c r="G1845" i="1"/>
  <c r="G1829" i="1"/>
  <c r="G1813" i="1"/>
  <c r="G1797" i="1"/>
  <c r="G1781" i="1"/>
  <c r="G1765" i="1"/>
  <c r="G1737" i="1"/>
  <c r="G2617" i="1"/>
  <c r="G2574" i="1"/>
  <c r="G2526" i="1"/>
  <c r="G2478" i="1"/>
  <c r="G2414" i="1"/>
  <c r="G3407" i="1"/>
  <c r="G3280" i="1"/>
  <c r="G3177" i="1"/>
  <c r="G3481" i="1"/>
  <c r="G3425" i="1"/>
  <c r="G3398" i="1"/>
  <c r="G3382" i="1"/>
  <c r="G3283" i="1"/>
  <c r="G3204" i="1"/>
  <c r="G3188" i="1"/>
  <c r="G3172" i="1"/>
  <c r="G3156" i="1"/>
  <c r="G3140" i="1"/>
  <c r="G3124" i="1"/>
  <c r="G3108" i="1"/>
  <c r="G3092" i="1"/>
  <c r="G3049" i="1"/>
  <c r="G3033" i="1"/>
  <c r="G3017" i="1"/>
  <c r="G3001" i="1"/>
  <c r="G2942" i="1"/>
  <c r="G2926" i="1"/>
  <c r="G2910" i="1"/>
  <c r="G2894" i="1"/>
  <c r="G2878" i="1"/>
  <c r="G2862" i="1"/>
  <c r="G2846" i="1"/>
  <c r="G2830" i="1"/>
  <c r="G2814" i="1"/>
  <c r="G2783" i="1"/>
  <c r="G2767" i="1"/>
  <c r="G2751" i="1"/>
  <c r="G2735" i="1"/>
  <c r="G2719" i="1"/>
  <c r="G2703" i="1"/>
  <c r="G2687" i="1"/>
  <c r="G2671" i="1"/>
  <c r="G2655" i="1"/>
  <c r="G2639" i="1"/>
  <c r="G2623" i="1"/>
  <c r="G2021" i="1"/>
  <c r="G1989" i="1"/>
  <c r="G1957" i="1"/>
  <c r="G1925" i="1"/>
  <c r="G1731" i="1"/>
  <c r="G1678" i="1"/>
  <c r="G1646" i="1"/>
  <c r="G1614" i="1"/>
  <c r="G1582" i="1"/>
  <c r="G1550" i="1"/>
  <c r="G1518" i="1"/>
  <c r="G1486" i="1"/>
  <c r="G1454" i="1"/>
  <c r="G1422" i="1"/>
  <c r="G1390" i="1"/>
  <c r="G1358" i="1"/>
  <c r="G1326" i="1"/>
  <c r="G2023" i="1"/>
  <c r="G2007" i="1"/>
  <c r="G1991" i="1"/>
  <c r="G1975" i="1"/>
  <c r="G1959" i="1"/>
  <c r="G1943" i="1"/>
  <c r="G1927" i="1"/>
  <c r="G1911" i="1"/>
  <c r="G1680" i="1"/>
  <c r="G1664" i="1"/>
  <c r="G1648" i="1"/>
  <c r="G1632" i="1"/>
  <c r="G1616" i="1"/>
  <c r="G1600" i="1"/>
  <c r="G1584" i="1"/>
  <c r="G1568" i="1"/>
  <c r="G1552" i="1"/>
  <c r="G1536" i="1"/>
  <c r="G1520" i="1"/>
  <c r="G1504" i="1"/>
  <c r="G1488" i="1"/>
  <c r="G1472" i="1"/>
  <c r="G1456" i="1"/>
  <c r="G1440" i="1"/>
  <c r="G1424" i="1"/>
  <c r="G1408" i="1"/>
  <c r="G1392" i="1"/>
  <c r="G1376" i="1"/>
  <c r="G1360" i="1"/>
  <c r="G1344" i="1"/>
  <c r="G1328" i="1"/>
  <c r="G1312" i="1"/>
  <c r="G1742" i="1"/>
  <c r="G1726" i="1"/>
  <c r="G1710" i="1"/>
  <c r="G1694" i="1"/>
  <c r="G2028" i="1"/>
  <c r="G2012" i="1"/>
  <c r="G1996" i="1"/>
  <c r="G1980" i="1"/>
  <c r="G1964" i="1"/>
  <c r="G1948" i="1"/>
  <c r="G1932" i="1"/>
  <c r="G1916" i="1"/>
  <c r="G1685" i="1"/>
  <c r="G1669" i="1"/>
  <c r="G1653" i="1"/>
  <c r="G1637" i="1"/>
  <c r="G1621" i="1"/>
  <c r="G1605" i="1"/>
  <c r="G1589" i="1"/>
  <c r="G1573" i="1"/>
  <c r="G1557" i="1"/>
  <c r="G1541" i="1"/>
  <c r="G1525" i="1"/>
  <c r="G1509" i="1"/>
  <c r="G1493" i="1"/>
  <c r="G1477" i="1"/>
  <c r="G1461" i="1"/>
  <c r="G1445" i="1"/>
  <c r="G1429" i="1"/>
  <c r="G1413" i="1"/>
  <c r="G1397" i="1"/>
  <c r="G1381" i="1"/>
  <c r="G1365" i="1"/>
  <c r="G1349" i="1"/>
  <c r="G1333" i="1"/>
  <c r="G1317" i="1"/>
  <c r="G1748" i="1"/>
  <c r="G1732" i="1"/>
  <c r="G1716" i="1"/>
  <c r="G1700" i="1"/>
  <c r="G3302" i="1"/>
  <c r="G2984" i="1"/>
  <c r="G3374" i="1"/>
  <c r="G3257" i="1"/>
  <c r="G3015" i="1"/>
  <c r="G3472" i="1"/>
  <c r="G3358" i="1"/>
  <c r="G3265" i="1"/>
  <c r="G3219" i="1"/>
  <c r="G3007" i="1"/>
  <c r="G2963" i="1"/>
  <c r="G2709" i="1"/>
  <c r="G2523" i="1"/>
  <c r="G2395" i="1"/>
  <c r="G3084" i="1"/>
  <c r="G3273" i="1"/>
  <c r="G3249" i="1"/>
  <c r="G3364" i="1"/>
  <c r="G3086" i="1"/>
  <c r="G3467" i="1"/>
  <c r="G3344" i="1"/>
  <c r="G3237" i="1"/>
  <c r="G3080" i="1"/>
  <c r="G2957" i="1"/>
  <c r="G3462" i="1"/>
  <c r="G3102" i="1"/>
  <c r="G3361" i="1"/>
  <c r="G3178" i="1"/>
  <c r="G3488" i="1"/>
  <c r="G3356" i="1"/>
  <c r="G3235" i="1"/>
  <c r="G3234" i="1"/>
  <c r="G2987" i="1"/>
  <c r="G2621" i="1"/>
  <c r="G3463" i="1"/>
  <c r="G3413" i="1"/>
  <c r="G3349" i="1"/>
  <c r="G3308" i="1"/>
  <c r="G3251" i="1"/>
  <c r="G3210" i="1"/>
  <c r="G3076" i="1"/>
  <c r="G2995" i="1"/>
  <c r="G2936" i="1"/>
  <c r="G2808" i="1"/>
  <c r="G2677" i="1"/>
  <c r="G2571" i="1"/>
  <c r="G2491" i="1"/>
  <c r="G2363" i="1"/>
  <c r="G3325" i="1"/>
  <c r="G3075" i="1"/>
  <c r="G3352" i="1"/>
  <c r="G3222" i="1"/>
  <c r="G3420" i="1"/>
  <c r="G3190" i="1"/>
  <c r="G3341" i="1"/>
  <c r="G3225" i="1"/>
  <c r="G3047" i="1"/>
  <c r="G3499" i="1"/>
  <c r="G3458" i="1"/>
  <c r="G3376" i="1"/>
  <c r="G3330" i="1"/>
  <c r="G3281" i="1"/>
  <c r="G3223" i="1"/>
  <c r="G3154" i="1"/>
  <c r="G3071" i="1"/>
  <c r="G2985" i="1"/>
  <c r="G2948" i="1"/>
  <c r="G2820" i="1"/>
  <c r="G2721" i="1"/>
  <c r="G2619" i="1"/>
  <c r="G2587" i="1"/>
  <c r="G2439" i="1"/>
  <c r="G2311" i="1"/>
  <c r="G2928" i="1"/>
  <c r="G2765" i="1"/>
  <c r="G2637" i="1"/>
  <c r="G2547" i="1"/>
  <c r="G2419" i="1"/>
  <c r="G3066" i="1"/>
  <c r="G2961" i="1"/>
  <c r="G2812" i="1"/>
  <c r="G2745" i="1"/>
  <c r="G2618" i="1"/>
  <c r="G2586" i="1"/>
  <c r="G2431" i="1"/>
  <c r="G2303" i="1"/>
  <c r="G3023" i="1"/>
  <c r="G2693" i="1"/>
  <c r="G2563" i="1"/>
  <c r="G2443" i="1"/>
  <c r="G2315" i="1"/>
  <c r="G3198" i="1"/>
  <c r="G3114" i="1"/>
  <c r="G3365" i="1"/>
  <c r="G3074" i="1"/>
  <c r="G2979" i="1"/>
  <c r="G2757" i="1"/>
  <c r="G3474" i="1"/>
  <c r="G3431" i="1"/>
  <c r="G3360" i="1"/>
  <c r="G3314" i="1"/>
  <c r="G3253" i="1"/>
  <c r="G3207" i="1"/>
  <c r="G3106" i="1"/>
  <c r="G3003" i="1"/>
  <c r="G2960" i="1"/>
  <c r="G2868" i="1"/>
  <c r="G2793" i="1"/>
  <c r="G2673" i="1"/>
  <c r="G2595" i="1"/>
  <c r="G2519" i="1"/>
  <c r="G2391" i="1"/>
  <c r="G3439" i="1"/>
  <c r="G3443" i="1"/>
  <c r="G2749" i="1"/>
  <c r="G2567" i="1"/>
  <c r="G2435" i="1"/>
  <c r="G2307" i="1"/>
  <c r="G3400" i="1"/>
  <c r="G3218" i="1"/>
  <c r="G3370" i="1"/>
  <c r="G2952" i="1"/>
  <c r="G3217" i="1"/>
  <c r="G3384" i="1"/>
  <c r="G3277" i="1"/>
  <c r="G2973" i="1"/>
  <c r="G2717" i="1"/>
  <c r="G3468" i="1"/>
  <c r="G3396" i="1"/>
  <c r="G3336" i="1"/>
  <c r="G3289" i="1"/>
  <c r="G3229" i="1"/>
  <c r="G3162" i="1"/>
  <c r="G3063" i="1"/>
  <c r="G2977" i="1"/>
  <c r="G2892" i="1"/>
  <c r="G2786" i="1"/>
  <c r="G2665" i="1"/>
  <c r="G2599" i="1"/>
  <c r="G2479" i="1"/>
  <c r="G2351" i="1"/>
  <c r="G2536" i="1"/>
  <c r="G2488" i="1"/>
  <c r="G2444" i="1"/>
  <c r="G2404" i="1"/>
  <c r="G2376" i="1"/>
  <c r="G2332" i="1"/>
  <c r="G2296" i="1"/>
  <c r="G2280" i="1"/>
  <c r="G2264" i="1"/>
  <c r="G2248" i="1"/>
  <c r="G2232" i="1"/>
  <c r="G2212" i="1"/>
  <c r="G2196" i="1"/>
  <c r="G2180" i="1"/>
  <c r="G2164" i="1"/>
  <c r="G2148" i="1"/>
  <c r="G2132" i="1"/>
  <c r="G2116" i="1"/>
  <c r="G2100" i="1"/>
  <c r="G2084" i="1"/>
  <c r="G2068" i="1"/>
  <c r="G2052" i="1"/>
  <c r="G1904" i="1"/>
  <c r="G1888" i="1"/>
  <c r="G1872" i="1"/>
  <c r="G1856" i="1"/>
  <c r="G1840" i="1"/>
  <c r="G1824" i="1"/>
  <c r="G1808" i="1"/>
  <c r="G1792" i="1"/>
  <c r="G1776" i="1"/>
  <c r="G1760" i="1"/>
  <c r="G1709" i="1"/>
  <c r="G2532" i="1"/>
  <c r="G2508" i="1"/>
  <c r="G2484" i="1"/>
  <c r="G2460" i="1"/>
  <c r="G2432" i="1"/>
  <c r="G2408" i="1"/>
  <c r="G2372" i="1"/>
  <c r="G2348" i="1"/>
  <c r="G2324" i="1"/>
  <c r="G2216" i="1"/>
  <c r="G3424" i="1"/>
  <c r="G3397" i="1"/>
  <c r="G3381" i="1"/>
  <c r="G3282" i="1"/>
  <c r="G3203" i="1"/>
  <c r="G3187" i="1"/>
  <c r="G3171" i="1"/>
  <c r="G3155" i="1"/>
  <c r="G3139" i="1"/>
  <c r="G3123" i="1"/>
  <c r="G3107" i="1"/>
  <c r="G3091" i="1"/>
  <c r="G3048" i="1"/>
  <c r="G3032" i="1"/>
  <c r="G3016" i="1"/>
  <c r="G3000" i="1"/>
  <c r="G2941" i="1"/>
  <c r="G2925" i="1"/>
  <c r="G2909" i="1"/>
  <c r="G2893" i="1"/>
  <c r="G2877" i="1"/>
  <c r="G2861" i="1"/>
  <c r="G2845" i="1"/>
  <c r="G2829" i="1"/>
  <c r="G2813" i="1"/>
  <c r="G2782" i="1"/>
  <c r="G2766" i="1"/>
  <c r="G2750" i="1"/>
  <c r="G2734" i="1"/>
  <c r="G2718" i="1"/>
  <c r="G2702" i="1"/>
  <c r="G2686" i="1"/>
  <c r="G2670" i="1"/>
  <c r="G2654" i="1"/>
  <c r="G2638" i="1"/>
  <c r="G2622" i="1"/>
  <c r="G2030" i="1"/>
  <c r="G1998" i="1"/>
  <c r="G1966" i="1"/>
  <c r="G1934" i="1"/>
  <c r="G1751" i="1"/>
  <c r="G1687" i="1"/>
  <c r="G1655" i="1"/>
  <c r="G1623" i="1"/>
  <c r="G1591" i="1"/>
  <c r="G1559" i="1"/>
  <c r="G1527" i="1"/>
  <c r="G1495" i="1"/>
  <c r="G1463" i="1"/>
  <c r="G1431" i="1"/>
  <c r="G1399" i="1"/>
  <c r="G1367" i="1"/>
  <c r="G1335" i="1"/>
  <c r="G2291" i="1"/>
  <c r="G2275" i="1"/>
  <c r="G2259" i="1"/>
  <c r="G2243" i="1"/>
  <c r="G2227" i="1"/>
  <c r="G2211" i="1"/>
  <c r="G2195" i="1"/>
  <c r="G2179" i="1"/>
  <c r="G2163" i="1"/>
  <c r="G2147" i="1"/>
  <c r="G2131" i="1"/>
  <c r="G2115" i="1"/>
  <c r="G2099" i="1"/>
  <c r="G2083" i="1"/>
  <c r="G2067" i="1"/>
  <c r="G2051" i="1"/>
  <c r="G1903" i="1"/>
  <c r="G1887" i="1"/>
  <c r="G1871" i="1"/>
  <c r="G1855" i="1"/>
  <c r="G1839" i="1"/>
  <c r="G1823" i="1"/>
  <c r="G1807" i="1"/>
  <c r="G1791" i="1"/>
  <c r="G1775" i="1"/>
  <c r="G1759" i="1"/>
  <c r="G1713" i="1"/>
  <c r="G2018" i="1"/>
  <c r="G1986" i="1"/>
  <c r="G1954" i="1"/>
  <c r="G1922" i="1"/>
  <c r="G1723" i="1"/>
  <c r="G1675" i="1"/>
  <c r="G1643" i="1"/>
  <c r="G1611" i="1"/>
  <c r="G1579" i="1"/>
  <c r="G1547" i="1"/>
  <c r="G1515" i="1"/>
  <c r="G1483" i="1"/>
  <c r="G1451" i="1"/>
  <c r="G1419" i="1"/>
  <c r="G1387" i="1"/>
  <c r="G1355" i="1"/>
  <c r="G1323" i="1"/>
  <c r="G2554" i="1"/>
  <c r="G2430" i="1"/>
  <c r="G2374" i="1"/>
  <c r="G2350" i="1"/>
  <c r="G2334" i="1"/>
  <c r="G2318" i="1"/>
  <c r="G2302" i="1"/>
  <c r="G2282" i="1"/>
  <c r="G2258" i="1"/>
  <c r="G2242" i="1"/>
  <c r="G2226" i="1"/>
  <c r="G2210" i="1"/>
  <c r="G2194" i="1"/>
  <c r="G2178" i="1"/>
  <c r="G2162" i="1"/>
  <c r="G2146" i="1"/>
  <c r="G2130" i="1"/>
  <c r="G2114" i="1"/>
  <c r="G2098" i="1"/>
  <c r="G2082" i="1"/>
  <c r="G2066" i="1"/>
  <c r="G2050" i="1"/>
  <c r="G1902" i="1"/>
  <c r="G1886" i="1"/>
  <c r="G1870" i="1"/>
  <c r="G1854" i="1"/>
  <c r="G1838" i="1"/>
  <c r="G1822" i="1"/>
  <c r="G1806" i="1"/>
  <c r="G1790" i="1"/>
  <c r="G1774" i="1"/>
  <c r="G1758" i="1"/>
  <c r="G1717" i="1"/>
  <c r="G2609" i="1"/>
  <c r="G2522" i="1"/>
  <c r="G2458" i="1"/>
  <c r="G3438" i="1"/>
  <c r="G3197" i="1"/>
  <c r="G3153" i="1"/>
  <c r="G3129" i="1"/>
  <c r="G3113" i="1"/>
  <c r="G3097" i="1"/>
  <c r="G3058" i="1"/>
  <c r="G3042" i="1"/>
  <c r="G3026" i="1"/>
  <c r="G3010" i="1"/>
  <c r="G2947" i="1"/>
  <c r="G2931" i="1"/>
  <c r="G2915" i="1"/>
  <c r="G2899" i="1"/>
  <c r="G2883" i="1"/>
  <c r="G2867" i="1"/>
  <c r="G2851" i="1"/>
  <c r="G2835" i="1"/>
  <c r="G2819" i="1"/>
  <c r="G2803" i="1"/>
  <c r="G2768" i="1"/>
  <c r="G2752" i="1"/>
  <c r="G2736" i="1"/>
  <c r="G2720" i="1"/>
  <c r="G2704" i="1"/>
  <c r="G2688" i="1"/>
  <c r="G2672" i="1"/>
  <c r="G2656" i="1"/>
  <c r="G2640" i="1"/>
  <c r="G2624" i="1"/>
  <c r="G2022" i="1"/>
  <c r="G1990" i="1"/>
  <c r="G1958" i="1"/>
  <c r="G1926" i="1"/>
  <c r="G1743" i="1"/>
  <c r="G1690" i="1"/>
  <c r="G1658" i="1"/>
  <c r="G1626" i="1"/>
  <c r="G1594" i="1"/>
  <c r="G1562" i="1"/>
  <c r="G1530" i="1"/>
  <c r="G1498" i="1"/>
  <c r="G1466" i="1"/>
  <c r="G1434" i="1"/>
  <c r="G1402" i="1"/>
  <c r="G1370" i="1"/>
  <c r="G1338" i="1"/>
  <c r="G2796" i="1"/>
  <c r="G2570" i="1"/>
  <c r="G2510" i="1"/>
  <c r="G2466" i="1"/>
  <c r="G2418" i="1"/>
  <c r="G2394" i="1"/>
  <c r="G2362" i="1"/>
  <c r="G3399" i="1"/>
  <c r="G3276" i="1"/>
  <c r="G3157" i="1"/>
  <c r="G3489" i="1"/>
  <c r="G3469" i="1"/>
  <c r="G3453" i="1"/>
  <c r="G3422" i="1"/>
  <c r="G3371" i="1"/>
  <c r="G3355" i="1"/>
  <c r="G3339" i="1"/>
  <c r="G3323" i="1"/>
  <c r="G3307" i="1"/>
  <c r="G3268" i="1"/>
  <c r="G3252" i="1"/>
  <c r="G3236" i="1"/>
  <c r="G3220" i="1"/>
  <c r="G3081" i="1"/>
  <c r="G3065" i="1"/>
  <c r="G2986" i="1"/>
  <c r="G2970" i="1"/>
  <c r="G2954" i="1"/>
  <c r="G2787" i="1"/>
  <c r="G2608" i="1"/>
  <c r="G2592" i="1"/>
  <c r="G2569" i="1"/>
  <c r="G2553" i="1"/>
  <c r="G2537" i="1"/>
  <c r="G2521" i="1"/>
  <c r="G2505" i="1"/>
  <c r="G2489" i="1"/>
  <c r="G2473" i="1"/>
  <c r="G2457" i="1"/>
  <c r="G2441" i="1"/>
  <c r="G2425" i="1"/>
  <c r="G2409" i="1"/>
  <c r="G2393" i="1"/>
  <c r="G2377" i="1"/>
  <c r="G2361" i="1"/>
  <c r="G2345" i="1"/>
  <c r="G2329" i="1"/>
  <c r="G2313" i="1"/>
  <c r="G2297" i="1"/>
  <c r="G2281" i="1"/>
  <c r="G2265" i="1"/>
  <c r="G2249" i="1"/>
  <c r="G2233" i="1"/>
  <c r="G2217" i="1"/>
  <c r="G2201" i="1"/>
  <c r="G2185" i="1"/>
  <c r="G2169" i="1"/>
  <c r="G2153" i="1"/>
  <c r="G2137" i="1"/>
  <c r="G2121" i="1"/>
  <c r="G2105" i="1"/>
  <c r="G2089" i="1"/>
  <c r="G2073" i="1"/>
  <c r="G2057" i="1"/>
  <c r="G2041" i="1"/>
  <c r="G1889" i="1"/>
  <c r="G1873" i="1"/>
  <c r="G1857" i="1"/>
  <c r="G1841" i="1"/>
  <c r="G1825" i="1"/>
  <c r="G1809" i="1"/>
  <c r="G1793" i="1"/>
  <c r="G1777" i="1"/>
  <c r="G1761" i="1"/>
  <c r="G1721" i="1"/>
  <c r="G2601" i="1"/>
  <c r="G2566" i="1"/>
  <c r="G2514" i="1"/>
  <c r="G2462" i="1"/>
  <c r="G2290" i="1"/>
  <c r="G3391" i="1"/>
  <c r="G3272" i="1"/>
  <c r="G3165" i="1"/>
  <c r="G3437" i="1"/>
  <c r="G3410" i="1"/>
  <c r="G3394" i="1"/>
  <c r="G3378" i="1"/>
  <c r="G3279" i="1"/>
  <c r="G3200" i="1"/>
  <c r="G3184" i="1"/>
  <c r="G3168" i="1"/>
  <c r="G3152" i="1"/>
  <c r="G3136" i="1"/>
  <c r="G3120" i="1"/>
  <c r="G3104" i="1"/>
  <c r="G3088" i="1"/>
  <c r="G3045" i="1"/>
  <c r="G3029" i="1"/>
  <c r="G3013" i="1"/>
  <c r="G2997" i="1"/>
  <c r="G2938" i="1"/>
  <c r="G2922" i="1"/>
  <c r="G2906" i="1"/>
  <c r="G2890" i="1"/>
  <c r="G2874" i="1"/>
  <c r="G2858" i="1"/>
  <c r="G2842" i="1"/>
  <c r="G2826" i="1"/>
  <c r="G2810" i="1"/>
  <c r="G2779" i="1"/>
  <c r="G2763" i="1"/>
  <c r="G2747" i="1"/>
  <c r="G2731" i="1"/>
  <c r="G2715" i="1"/>
  <c r="G2699" i="1"/>
  <c r="G2683" i="1"/>
  <c r="G2667" i="1"/>
  <c r="G2651" i="1"/>
  <c r="G2635" i="1"/>
  <c r="G2580" i="1"/>
  <c r="G2010" i="1"/>
  <c r="G1978" i="1"/>
  <c r="G1946" i="1"/>
  <c r="G1914" i="1"/>
  <c r="G1715" i="1"/>
  <c r="G1667" i="1"/>
  <c r="G1635" i="1"/>
  <c r="G1603" i="1"/>
  <c r="G1571" i="1"/>
  <c r="G1539" i="1"/>
  <c r="G1507" i="1"/>
  <c r="G1475" i="1"/>
  <c r="G1443" i="1"/>
  <c r="G1411" i="1"/>
  <c r="G1379" i="1"/>
  <c r="G1347" i="1"/>
  <c r="G1315" i="1"/>
  <c r="G2019" i="1"/>
  <c r="G2003" i="1"/>
  <c r="G1987" i="1"/>
  <c r="G1971" i="1"/>
  <c r="G1955" i="1"/>
  <c r="G1939" i="1"/>
  <c r="G1923" i="1"/>
  <c r="G1907" i="1"/>
  <c r="G1676" i="1"/>
  <c r="G1660" i="1"/>
  <c r="G1644" i="1"/>
  <c r="G1628" i="1"/>
  <c r="G1612" i="1"/>
  <c r="G1596" i="1"/>
  <c r="G1580" i="1"/>
  <c r="G1564" i="1"/>
  <c r="G1548" i="1"/>
  <c r="G1532" i="1"/>
  <c r="G1516" i="1"/>
  <c r="G1500" i="1"/>
  <c r="G1484" i="1"/>
  <c r="G1468" i="1"/>
  <c r="G1452" i="1"/>
  <c r="G1436" i="1"/>
  <c r="G1420" i="1"/>
  <c r="G1404" i="1"/>
  <c r="G1388" i="1"/>
  <c r="G1372" i="1"/>
  <c r="G1356" i="1"/>
  <c r="G1340" i="1"/>
  <c r="G1324" i="1"/>
  <c r="G1308" i="1"/>
  <c r="G1738" i="1"/>
  <c r="G1722" i="1"/>
  <c r="G1706" i="1"/>
  <c r="G2040" i="1"/>
  <c r="G2024" i="1"/>
  <c r="G2008" i="1"/>
  <c r="G1992" i="1"/>
  <c r="G1976" i="1"/>
  <c r="G1960" i="1"/>
  <c r="G1944" i="1"/>
  <c r="G1928" i="1"/>
  <c r="G1912" i="1"/>
  <c r="G1681" i="1"/>
  <c r="G1665" i="1"/>
  <c r="G1649" i="1"/>
  <c r="G1633" i="1"/>
  <c r="G1617" i="1"/>
  <c r="G1601" i="1"/>
  <c r="G1585" i="1"/>
  <c r="G1569" i="1"/>
  <c r="G1553" i="1"/>
  <c r="G1537" i="1"/>
  <c r="G1521" i="1"/>
  <c r="G1505" i="1"/>
  <c r="G1489" i="1"/>
  <c r="G1473" i="1"/>
  <c r="G1457" i="1"/>
  <c r="G1441" i="1"/>
  <c r="G1425" i="1"/>
  <c r="G1409" i="1"/>
  <c r="G1393" i="1"/>
  <c r="G1377" i="1"/>
  <c r="G1361" i="1"/>
  <c r="G1345" i="1"/>
  <c r="G1329" i="1"/>
  <c r="G1313" i="1"/>
  <c r="G1744" i="1"/>
  <c r="G1728" i="1"/>
  <c r="G1712" i="1"/>
  <c r="G1696" i="1"/>
  <c r="C3025" i="1"/>
  <c r="C2814" i="1"/>
  <c r="C2576" i="1"/>
  <c r="C1957" i="1"/>
  <c r="C3471" i="1"/>
  <c r="C3368" i="1"/>
  <c r="C3248" i="1"/>
  <c r="C3089" i="1"/>
  <c r="C2839" i="1"/>
  <c r="C2608" i="1"/>
  <c r="C2300" i="1"/>
  <c r="C1858" i="1"/>
  <c r="C3496" i="1"/>
  <c r="C3420" i="1"/>
  <c r="C3356" i="1"/>
  <c r="C3201" i="1"/>
  <c r="C2957" i="1"/>
  <c r="C2768" i="1"/>
  <c r="C2520" i="1"/>
  <c r="C2246" i="1"/>
  <c r="C1838" i="1"/>
  <c r="C3480" i="1"/>
  <c r="C3412" i="1"/>
  <c r="C3308" i="1"/>
  <c r="C3228" i="1"/>
  <c r="C3487" i="1"/>
  <c r="C3376" i="1"/>
  <c r="C3275" i="1"/>
  <c r="C3037" i="1"/>
  <c r="C2800" i="1"/>
  <c r="C2560" i="1"/>
  <c r="C2245" i="1"/>
  <c r="C1925" i="1"/>
  <c r="C3476" i="1"/>
  <c r="C3407" i="1"/>
  <c r="C3340" i="1"/>
  <c r="C3239" i="1"/>
  <c r="C3101" i="1"/>
  <c r="C2924" i="1"/>
  <c r="C2687" i="1"/>
  <c r="C2431" i="1"/>
  <c r="C1924" i="1"/>
  <c r="C3384" i="1"/>
  <c r="C3238" i="1"/>
  <c r="C3079" i="1"/>
  <c r="C2946" i="1"/>
  <c r="C2719" i="1"/>
  <c r="C2463" i="1"/>
  <c r="C2273" i="1"/>
  <c r="C1988" i="1"/>
  <c r="C3464" i="1"/>
  <c r="C3404" i="1"/>
  <c r="C3312" i="1"/>
  <c r="C3165" i="1"/>
  <c r="C3052" i="1"/>
  <c r="C2856" i="1"/>
  <c r="C2584" i="1"/>
  <c r="C2109" i="1"/>
  <c r="C1243" i="1"/>
  <c r="C3472" i="1"/>
  <c r="C3360" i="1"/>
  <c r="C3253" i="1"/>
  <c r="C3116" i="1"/>
  <c r="C2941" i="1"/>
  <c r="C2671" i="1"/>
  <c r="C2415" i="1"/>
  <c r="C1892" i="1"/>
  <c r="C1171" i="1"/>
  <c r="C2951" i="1"/>
  <c r="C2846" i="1"/>
  <c r="C2743" i="1"/>
  <c r="C2616" i="1"/>
  <c r="C2488" i="1"/>
  <c r="C2336" i="1"/>
  <c r="C2206" i="1"/>
  <c r="C2004" i="1"/>
  <c r="C1751" i="1"/>
  <c r="C1429" i="1"/>
  <c r="C3276" i="1"/>
  <c r="C3234" i="1"/>
  <c r="C3121" i="1"/>
  <c r="C3005" i="1"/>
  <c r="C2892" i="1"/>
  <c r="C2794" i="1"/>
  <c r="C2703" i="1"/>
  <c r="C2575" i="1"/>
  <c r="C2447" i="1"/>
  <c r="C2328" i="1"/>
  <c r="C2174" i="1"/>
  <c r="C1989" i="1"/>
  <c r="C3351" i="1"/>
  <c r="C3319" i="1"/>
  <c r="C3285" i="1"/>
  <c r="C3175" i="1"/>
  <c r="C3090" i="1"/>
  <c r="C2977" i="1"/>
  <c r="C2826" i="1"/>
  <c r="C2696" i="1"/>
  <c r="C2568" i="1"/>
  <c r="C2440" i="1"/>
  <c r="C2173" i="1"/>
  <c r="C1941" i="1"/>
  <c r="C1505" i="1"/>
  <c r="C770" i="1"/>
  <c r="C3475" i="1"/>
  <c r="C3443" i="1"/>
  <c r="C3411" i="1"/>
  <c r="C3379" i="1"/>
  <c r="C3347" i="1"/>
  <c r="C3315" i="1"/>
  <c r="C3262" i="1"/>
  <c r="C3154" i="1"/>
  <c r="C3041" i="1"/>
  <c r="C2925" i="1"/>
  <c r="C2851" i="1"/>
  <c r="C2748" i="1"/>
  <c r="C2647" i="1"/>
  <c r="C2519" i="1"/>
  <c r="C2391" i="1"/>
  <c r="C2291" i="1"/>
  <c r="C2131" i="1"/>
  <c r="C1877" i="1"/>
  <c r="C593" i="1"/>
  <c r="C3179" i="1"/>
  <c r="C3094" i="1"/>
  <c r="C3494" i="1"/>
  <c r="C3478" i="1"/>
  <c r="C3462" i="1"/>
  <c r="C3446" i="1"/>
  <c r="C3430" i="1"/>
  <c r="C3414" i="1"/>
  <c r="C3398" i="1"/>
  <c r="C3382" i="1"/>
  <c r="C3366" i="1"/>
  <c r="C3350" i="1"/>
  <c r="C3334" i="1"/>
  <c r="C3318" i="1"/>
  <c r="C3302" i="1"/>
  <c r="C3270" i="1"/>
  <c r="C3237" i="1"/>
  <c r="C3173" i="1"/>
  <c r="C3109" i="1"/>
  <c r="C3045" i="1"/>
  <c r="C2981" i="1"/>
  <c r="C2917" i="1"/>
  <c r="C2855" i="1"/>
  <c r="C2816" i="1"/>
  <c r="C2766" i="1"/>
  <c r="C2724" i="1"/>
  <c r="C2692" i="1"/>
  <c r="C2660" i="1"/>
  <c r="C2628" i="1"/>
  <c r="C2596" i="1"/>
  <c r="C2564" i="1"/>
  <c r="C2532" i="1"/>
  <c r="C2500" i="1"/>
  <c r="C2468" i="1"/>
  <c r="C2436" i="1"/>
  <c r="C2404" i="1"/>
  <c r="C2351" i="1"/>
  <c r="C2287" i="1"/>
  <c r="C2222" i="1"/>
  <c r="C2094" i="1"/>
  <c r="C1981" i="1"/>
  <c r="C1917" i="1"/>
  <c r="C1806" i="1"/>
  <c r="C1524" i="1"/>
  <c r="C1208" i="1"/>
  <c r="C3257" i="1"/>
  <c r="C3168" i="1"/>
  <c r="C3099" i="1"/>
  <c r="C3051" i="1"/>
  <c r="C3008" i="1"/>
  <c r="C2971" i="1"/>
  <c r="C2902" i="1"/>
  <c r="C3283" i="1"/>
  <c r="C3251" i="1"/>
  <c r="C3226" i="1"/>
  <c r="C3204" i="1"/>
  <c r="C3183" i="1"/>
  <c r="C3162" i="1"/>
  <c r="C3140" i="1"/>
  <c r="C3119" i="1"/>
  <c r="C3098" i="1"/>
  <c r="C3076" i="1"/>
  <c r="C3055" i="1"/>
  <c r="C3034" i="1"/>
  <c r="C3012" i="1"/>
  <c r="C2991" i="1"/>
  <c r="C2970" i="1"/>
  <c r="C2948" i="1"/>
  <c r="C2927" i="1"/>
  <c r="C2906" i="1"/>
  <c r="C2884" i="1"/>
  <c r="C2860" i="1"/>
  <c r="C2810" i="1"/>
  <c r="C2771" i="1"/>
  <c r="C2387" i="1"/>
  <c r="C2323" i="1"/>
  <c r="C2259" i="1"/>
  <c r="C2200" i="1"/>
  <c r="C2157" i="1"/>
  <c r="C2115" i="1"/>
  <c r="C2072" i="1"/>
  <c r="C2028" i="1"/>
  <c r="C1784" i="1"/>
  <c r="C1624" i="1"/>
  <c r="C1408" i="1"/>
  <c r="C1044" i="1"/>
  <c r="C3211" i="1"/>
  <c r="C3126" i="1"/>
  <c r="C3030" i="1"/>
  <c r="C2976" i="1"/>
  <c r="C2928" i="1"/>
  <c r="C2896" i="1"/>
  <c r="C2875" i="1"/>
  <c r="C2836" i="1"/>
  <c r="C2786" i="1"/>
  <c r="C2747" i="1"/>
  <c r="C2363" i="1"/>
  <c r="C2299" i="1"/>
  <c r="C2235" i="1"/>
  <c r="C2193" i="1"/>
  <c r="C2151" i="1"/>
  <c r="C2108" i="1"/>
  <c r="C2065" i="1"/>
  <c r="C1836" i="1"/>
  <c r="C1748" i="1"/>
  <c r="C1607" i="1"/>
  <c r="C1428" i="1"/>
  <c r="C769" i="1"/>
  <c r="C3489" i="1"/>
  <c r="C3266" i="1"/>
  <c r="C2967" i="1"/>
  <c r="C2780" i="1"/>
  <c r="C2448" i="1"/>
  <c r="C1430" i="1"/>
  <c r="C3452" i="1"/>
  <c r="C3332" i="1"/>
  <c r="C3202" i="1"/>
  <c r="C2988" i="1"/>
  <c r="C2774" i="1"/>
  <c r="C2527" i="1"/>
  <c r="C2254" i="1"/>
  <c r="C1576" i="1"/>
  <c r="C3479" i="1"/>
  <c r="C3399" i="1"/>
  <c r="C3344" i="1"/>
  <c r="C3085" i="1"/>
  <c r="C2930" i="1"/>
  <c r="C2695" i="1"/>
  <c r="C2439" i="1"/>
  <c r="C2195" i="1"/>
  <c r="C1724" i="1"/>
  <c r="C3463" i="1"/>
  <c r="C3391" i="1"/>
  <c r="C3295" i="1"/>
  <c r="C3207" i="1"/>
  <c r="C3468" i="1"/>
  <c r="C3316" i="1"/>
  <c r="C3197" i="1"/>
  <c r="C2956" i="1"/>
  <c r="C2735" i="1"/>
  <c r="C2479" i="1"/>
  <c r="C2194" i="1"/>
  <c r="C1837" i="1"/>
  <c r="C3448" i="1"/>
  <c r="C3396" i="1"/>
  <c r="C3328" i="1"/>
  <c r="C3217" i="1"/>
  <c r="C3058" i="1"/>
  <c r="C2897" i="1"/>
  <c r="C2640" i="1"/>
  <c r="C2383" i="1"/>
  <c r="C1699" i="1"/>
  <c r="C3352" i="1"/>
  <c r="C3213" i="1"/>
  <c r="C3057" i="1"/>
  <c r="C2858" i="1"/>
  <c r="C2672" i="1"/>
  <c r="C2416" i="1"/>
  <c r="C2227" i="1"/>
  <c r="C1893" i="1"/>
  <c r="C3447" i="1"/>
  <c r="C3383" i="1"/>
  <c r="C3299" i="1"/>
  <c r="C3143" i="1"/>
  <c r="C2972" i="1"/>
  <c r="C2787" i="1"/>
  <c r="C2456" i="1"/>
  <c r="C1973" i="1"/>
  <c r="C594" i="1"/>
  <c r="C3455" i="1"/>
  <c r="C3348" i="1"/>
  <c r="C3229" i="1"/>
  <c r="C3095" i="1"/>
  <c r="C2914" i="1"/>
  <c r="C2624" i="1"/>
  <c r="C2272" i="1"/>
  <c r="C1774" i="1"/>
  <c r="C3021" i="1"/>
  <c r="C2908" i="1"/>
  <c r="C2831" i="1"/>
  <c r="C2727" i="1"/>
  <c r="C2599" i="1"/>
  <c r="C2471" i="1"/>
  <c r="C2309" i="1"/>
  <c r="C2152" i="1"/>
  <c r="C1909" i="1"/>
  <c r="C1698" i="1"/>
  <c r="C1302" i="1"/>
  <c r="C3267" i="1"/>
  <c r="C3191" i="1"/>
  <c r="C3106" i="1"/>
  <c r="C2993" i="1"/>
  <c r="C2877" i="1"/>
  <c r="C2775" i="1"/>
  <c r="C2656" i="1"/>
  <c r="C2528" i="1"/>
  <c r="C2400" i="1"/>
  <c r="C2282" i="1"/>
  <c r="C2120" i="1"/>
  <c r="C1956" i="1"/>
  <c r="C3343" i="1"/>
  <c r="C3311" i="1"/>
  <c r="C3244" i="1"/>
  <c r="C3132" i="1"/>
  <c r="C3047" i="1"/>
  <c r="C2962" i="1"/>
  <c r="C2807" i="1"/>
  <c r="C2679" i="1"/>
  <c r="C2551" i="1"/>
  <c r="C2423" i="1"/>
  <c r="C2142" i="1"/>
  <c r="C1908" i="1"/>
  <c r="C1387" i="1"/>
  <c r="C3499" i="1"/>
  <c r="C3467" i="1"/>
  <c r="C3435" i="1"/>
  <c r="C3403" i="1"/>
  <c r="C3371" i="1"/>
  <c r="C3339" i="1"/>
  <c r="C3307" i="1"/>
  <c r="C3196" i="1"/>
  <c r="C3111" i="1"/>
  <c r="C3026" i="1"/>
  <c r="C2913" i="1"/>
  <c r="C2832" i="1"/>
  <c r="C2728" i="1"/>
  <c r="C2600" i="1"/>
  <c r="C2472" i="1"/>
  <c r="C2364" i="1"/>
  <c r="C2264" i="1"/>
  <c r="C2045" i="1"/>
  <c r="C1773" i="1"/>
  <c r="C3232" i="1"/>
  <c r="C3152" i="1"/>
  <c r="C3062" i="1"/>
  <c r="C3490" i="1"/>
  <c r="C3474" i="1"/>
  <c r="C3458" i="1"/>
  <c r="C3442" i="1"/>
  <c r="C3426" i="1"/>
  <c r="C3410" i="1"/>
  <c r="C3394" i="1"/>
  <c r="C3378" i="1"/>
  <c r="C3362" i="1"/>
  <c r="C3346" i="1"/>
  <c r="C3330" i="1"/>
  <c r="C3314" i="1"/>
  <c r="C3293" i="1"/>
  <c r="C3261" i="1"/>
  <c r="C3221" i="1"/>
  <c r="C3157" i="1"/>
  <c r="C3093" i="1"/>
  <c r="C3029" i="1"/>
  <c r="C2965" i="1"/>
  <c r="C2901" i="1"/>
  <c r="C2848" i="1"/>
  <c r="C2798" i="1"/>
  <c r="C2759" i="1"/>
  <c r="C2716" i="1"/>
  <c r="C2684" i="1"/>
  <c r="C2652" i="1"/>
  <c r="C2620" i="1"/>
  <c r="C2588" i="1"/>
  <c r="C2556" i="1"/>
  <c r="C2524" i="1"/>
  <c r="C2492" i="1"/>
  <c r="C2460" i="1"/>
  <c r="C2428" i="1"/>
  <c r="C2396" i="1"/>
  <c r="C2342" i="1"/>
  <c r="C2278" i="1"/>
  <c r="C2190" i="1"/>
  <c r="C2062" i="1"/>
  <c r="C1965" i="1"/>
  <c r="C1901" i="1"/>
  <c r="C1738" i="1"/>
  <c r="C1451" i="1"/>
  <c r="C1130" i="1"/>
  <c r="C3243" i="1"/>
  <c r="C3158" i="1"/>
  <c r="C3083" i="1"/>
  <c r="C3035" i="1"/>
  <c r="C3003" i="1"/>
  <c r="C2960" i="1"/>
  <c r="C892" i="1"/>
  <c r="C3274" i="1"/>
  <c r="C3242" i="1"/>
  <c r="C3220" i="1"/>
  <c r="C3199" i="1"/>
  <c r="C3178" i="1"/>
  <c r="C3156" i="1"/>
  <c r="C3135" i="1"/>
  <c r="C3114" i="1"/>
  <c r="C3092" i="1"/>
  <c r="C3071" i="1"/>
  <c r="C3050" i="1"/>
  <c r="C3028" i="1"/>
  <c r="C3007" i="1"/>
  <c r="C2986" i="1"/>
  <c r="C2964" i="1"/>
  <c r="C2943" i="1"/>
  <c r="C2922" i="1"/>
  <c r="C2900" i="1"/>
  <c r="C2879" i="1"/>
  <c r="C2842" i="1"/>
  <c r="C2803" i="1"/>
  <c r="C2764" i="1"/>
  <c r="C2378" i="1"/>
  <c r="C2314" i="1"/>
  <c r="C2250" i="1"/>
  <c r="C2189" i="1"/>
  <c r="C2147" i="1"/>
  <c r="C2104" i="1"/>
  <c r="C2061" i="1"/>
  <c r="C1848" i="1"/>
  <c r="C1763" i="1"/>
  <c r="C1592" i="1"/>
  <c r="C1366" i="1"/>
  <c r="C945" i="1"/>
  <c r="C3190" i="1"/>
  <c r="C3104" i="1"/>
  <c r="C3014" i="1"/>
  <c r="C2966" i="1"/>
  <c r="C2918" i="1"/>
  <c r="C2891" i="1"/>
  <c r="C2868" i="1"/>
  <c r="C2818" i="1"/>
  <c r="C2779" i="1"/>
  <c r="C2740" i="1"/>
  <c r="C2354" i="1"/>
  <c r="C2290" i="1"/>
  <c r="C2225" i="1"/>
  <c r="C2183" i="1"/>
  <c r="C2140" i="1"/>
  <c r="C2097" i="1"/>
  <c r="C2055" i="1"/>
  <c r="C1815" i="1"/>
  <c r="C1723" i="1"/>
  <c r="C1575" i="1"/>
  <c r="C1386" i="1"/>
  <c r="C3501" i="1"/>
  <c r="C3485" i="1"/>
  <c r="C3159" i="1"/>
  <c r="C2909" i="1"/>
  <c r="C2704" i="1"/>
  <c r="C2310" i="1"/>
  <c r="C1170" i="1"/>
  <c r="C3432" i="1"/>
  <c r="C3320" i="1"/>
  <c r="C3180" i="1"/>
  <c r="C2961" i="1"/>
  <c r="C2736" i="1"/>
  <c r="C2480" i="1"/>
  <c r="C2141" i="1"/>
  <c r="C997" i="1"/>
  <c r="C3460" i="1"/>
  <c r="C3388" i="1"/>
  <c r="C3277" i="1"/>
  <c r="C3042" i="1"/>
  <c r="C2871" i="1"/>
  <c r="C2648" i="1"/>
  <c r="C2392" i="1"/>
  <c r="C2078" i="1"/>
  <c r="C1345" i="1"/>
  <c r="C3444" i="1"/>
  <c r="C3380" i="1"/>
  <c r="C3281" i="1"/>
  <c r="C3185" i="1"/>
  <c r="C3440" i="1"/>
  <c r="C3304" i="1"/>
  <c r="C3153" i="1"/>
  <c r="C2929" i="1"/>
  <c r="C2688" i="1"/>
  <c r="C2432" i="1"/>
  <c r="C2077" i="1"/>
  <c r="C1344" i="1"/>
  <c r="C3439" i="1"/>
  <c r="C3375" i="1"/>
  <c r="C3289" i="1"/>
  <c r="C3149" i="1"/>
  <c r="C3036" i="1"/>
  <c r="C2864" i="1"/>
  <c r="C2559" i="1"/>
  <c r="C2184" i="1"/>
  <c r="C3456" i="1"/>
  <c r="C3286" i="1"/>
  <c r="C3170" i="1"/>
  <c r="C3031" i="1"/>
  <c r="C2824" i="1"/>
  <c r="C2591" i="1"/>
  <c r="C2373" i="1"/>
  <c r="C2110" i="1"/>
  <c r="C1795" i="1"/>
  <c r="C3436" i="1"/>
  <c r="C3372" i="1"/>
  <c r="C3284" i="1"/>
  <c r="C3122" i="1"/>
  <c r="C2945" i="1"/>
  <c r="C2712" i="1"/>
  <c r="C2319" i="1"/>
  <c r="C1794" i="1"/>
  <c r="C2503" i="1"/>
  <c r="C3424" i="1"/>
  <c r="C3336" i="1"/>
  <c r="C3186" i="1"/>
  <c r="C3073" i="1"/>
  <c r="C2819" i="1"/>
  <c r="C2543" i="1"/>
  <c r="C2163" i="1"/>
  <c r="C1640" i="1"/>
  <c r="C3009" i="1"/>
  <c r="C2893" i="1"/>
  <c r="C2812" i="1"/>
  <c r="C2680" i="1"/>
  <c r="C2552" i="1"/>
  <c r="C2424" i="1"/>
  <c r="C2263" i="1"/>
  <c r="C2098" i="1"/>
  <c r="C1876" i="1"/>
  <c r="C1608" i="1"/>
  <c r="C1087" i="1"/>
  <c r="C3258" i="1"/>
  <c r="C3148" i="1"/>
  <c r="C3063" i="1"/>
  <c r="C2978" i="1"/>
  <c r="C2863" i="1"/>
  <c r="C2760" i="1"/>
  <c r="C2639" i="1"/>
  <c r="C2511" i="1"/>
  <c r="C2382" i="1"/>
  <c r="C2255" i="1"/>
  <c r="C2066" i="1"/>
  <c r="C1750" i="1"/>
  <c r="C3335" i="1"/>
  <c r="C3303" i="1"/>
  <c r="C3233" i="1"/>
  <c r="C3117" i="1"/>
  <c r="C3004" i="1"/>
  <c r="C2919" i="1"/>
  <c r="C2792" i="1"/>
  <c r="C2632" i="1"/>
  <c r="C2504" i="1"/>
  <c r="C2374" i="1"/>
  <c r="C2088" i="1"/>
  <c r="C1859" i="1"/>
  <c r="C1244" i="1"/>
  <c r="C3491" i="1"/>
  <c r="C3459" i="1"/>
  <c r="C3427" i="1"/>
  <c r="C3395" i="1"/>
  <c r="C3363" i="1"/>
  <c r="C3331" i="1"/>
  <c r="C3280" i="1"/>
  <c r="C3181" i="1"/>
  <c r="C3068" i="1"/>
  <c r="C2983" i="1"/>
  <c r="C2898" i="1"/>
  <c r="C2782" i="1"/>
  <c r="C2711" i="1"/>
  <c r="C2583" i="1"/>
  <c r="C2455" i="1"/>
  <c r="C2337" i="1"/>
  <c r="C2216" i="1"/>
  <c r="C2005" i="1"/>
  <c r="C1542" i="1"/>
  <c r="C3216" i="1"/>
  <c r="C3131" i="1"/>
  <c r="C2955" i="1"/>
  <c r="C3486" i="1"/>
  <c r="C3470" i="1"/>
  <c r="C3454" i="1"/>
  <c r="C3438" i="1"/>
  <c r="C3422" i="1"/>
  <c r="C3406" i="1"/>
  <c r="C3390" i="1"/>
  <c r="C3374" i="1"/>
  <c r="C3358" i="1"/>
  <c r="C3342" i="1"/>
  <c r="C3326" i="1"/>
  <c r="C3310" i="1"/>
  <c r="C3288" i="1"/>
  <c r="C3256" i="1"/>
  <c r="C3205" i="1"/>
  <c r="C3141" i="1"/>
  <c r="C3077" i="1"/>
  <c r="C3013" i="1"/>
  <c r="C2949" i="1"/>
  <c r="C2885" i="1"/>
  <c r="C2830" i="1"/>
  <c r="C2791" i="1"/>
  <c r="C2752" i="1"/>
  <c r="C2708" i="1"/>
  <c r="C2676" i="1"/>
  <c r="C2644" i="1"/>
  <c r="C2612" i="1"/>
  <c r="C2580" i="1"/>
  <c r="C2548" i="1"/>
  <c r="C2516" i="1"/>
  <c r="C2484" i="1"/>
  <c r="C2452" i="1"/>
  <c r="C2420" i="1"/>
  <c r="C2369" i="1"/>
  <c r="C2305" i="1"/>
  <c r="C2241" i="1"/>
  <c r="C2158" i="1"/>
  <c r="C2013" i="1"/>
  <c r="C1949" i="1"/>
  <c r="C1885" i="1"/>
  <c r="C1712" i="1"/>
  <c r="C1409" i="1"/>
  <c r="C1045" i="1"/>
  <c r="C3222" i="1"/>
  <c r="C3142" i="1"/>
  <c r="C3067" i="1"/>
  <c r="C3024" i="1"/>
  <c r="C2992" i="1"/>
  <c r="C2944" i="1"/>
  <c r="C3297" i="1"/>
  <c r="C3265" i="1"/>
  <c r="C3236" i="1"/>
  <c r="C3215" i="1"/>
  <c r="C3194" i="1"/>
  <c r="C3172" i="1"/>
  <c r="C3151" i="1"/>
  <c r="C3130" i="1"/>
  <c r="C3108" i="1"/>
  <c r="C3087" i="1"/>
  <c r="C3066" i="1"/>
  <c r="C3044" i="1"/>
  <c r="C3023" i="1"/>
  <c r="C3002" i="1"/>
  <c r="C2980" i="1"/>
  <c r="C2959" i="1"/>
  <c r="C2938" i="1"/>
  <c r="C2916" i="1"/>
  <c r="C2895" i="1"/>
  <c r="C2874" i="1"/>
  <c r="C2835" i="1"/>
  <c r="C2796" i="1"/>
  <c r="C2746" i="1"/>
  <c r="C2341" i="1"/>
  <c r="C2277" i="1"/>
  <c r="C2221" i="1"/>
  <c r="C2179" i="1"/>
  <c r="C2136" i="1"/>
  <c r="C2093" i="1"/>
  <c r="C2051" i="1"/>
  <c r="C1827" i="1"/>
  <c r="C1686" i="1"/>
  <c r="C1560" i="1"/>
  <c r="C1323" i="1"/>
  <c r="C834" i="1"/>
  <c r="C3174" i="1"/>
  <c r="C3078" i="1"/>
  <c r="C2998" i="1"/>
  <c r="C2950" i="1"/>
  <c r="C2912" i="1"/>
  <c r="C2886" i="1"/>
  <c r="C2850" i="1"/>
  <c r="C2811" i="1"/>
  <c r="C2772" i="1"/>
  <c r="C2381" i="1"/>
  <c r="C2317" i="1"/>
  <c r="C2253" i="1"/>
  <c r="C2215" i="1"/>
  <c r="C2172" i="1"/>
  <c r="C2129" i="1"/>
  <c r="C2087" i="1"/>
  <c r="C2044" i="1"/>
  <c r="C1793" i="1"/>
  <c r="C1671" i="1"/>
  <c r="C1541" i="1"/>
  <c r="C1343" i="1"/>
  <c r="C3497" i="1"/>
  <c r="C3481" i="1"/>
  <c r="C3069" i="1"/>
  <c r="C2882" i="1"/>
  <c r="C2623" i="1"/>
  <c r="C2099" i="1"/>
  <c r="C3488" i="1"/>
  <c r="C3400" i="1"/>
  <c r="C3263" i="1"/>
  <c r="C3137" i="1"/>
  <c r="C2903" i="1"/>
  <c r="C2655" i="1"/>
  <c r="C2399" i="1"/>
  <c r="C2021" i="1"/>
  <c r="C2495" i="1"/>
  <c r="C3431" i="1"/>
  <c r="C3367" i="1"/>
  <c r="C3223" i="1"/>
  <c r="C3015" i="1"/>
  <c r="C2806" i="1"/>
  <c r="C2567" i="1"/>
  <c r="C2346" i="1"/>
  <c r="C1940" i="1"/>
  <c r="C996" i="1"/>
  <c r="C3423" i="1"/>
  <c r="C3359" i="1"/>
  <c r="C3249" i="1"/>
  <c r="C3138" i="1"/>
  <c r="C3408" i="1"/>
  <c r="C3290" i="1"/>
  <c r="C3084" i="1"/>
  <c r="C2838" i="1"/>
  <c r="C2607" i="1"/>
  <c r="C2345" i="1"/>
  <c r="C2020" i="1"/>
  <c r="C3495" i="1"/>
  <c r="C3428" i="1"/>
  <c r="C3364" i="1"/>
  <c r="C3272" i="1"/>
  <c r="C3127" i="1"/>
  <c r="C3010" i="1"/>
  <c r="C2799" i="1"/>
  <c r="C2512" i="1"/>
  <c r="C2130" i="1"/>
  <c r="C3416" i="1"/>
  <c r="C3254" i="1"/>
  <c r="C3100" i="1"/>
  <c r="C2973" i="1"/>
  <c r="C2755" i="1"/>
  <c r="C2544" i="1"/>
  <c r="C2327" i="1"/>
  <c r="C2056" i="1"/>
  <c r="C3492" i="1"/>
  <c r="C3415" i="1"/>
  <c r="C3324" i="1"/>
  <c r="C3212" i="1"/>
  <c r="C3074" i="1"/>
  <c r="C2887" i="1"/>
  <c r="C2631" i="1"/>
  <c r="C2226" i="1"/>
  <c r="C1469" i="1"/>
  <c r="C3500" i="1"/>
  <c r="C3392" i="1"/>
  <c r="C3298" i="1"/>
  <c r="C3164" i="1"/>
  <c r="C2999" i="1"/>
  <c r="C2750" i="1"/>
  <c r="C2496" i="1"/>
  <c r="C2046" i="1"/>
  <c r="C1468" i="1"/>
  <c r="C2994" i="1"/>
  <c r="C2881" i="1"/>
  <c r="C2762" i="1"/>
  <c r="C2663" i="1"/>
  <c r="C2535" i="1"/>
  <c r="C2407" i="1"/>
  <c r="C2236" i="1"/>
  <c r="C2067" i="1"/>
  <c r="C1816" i="1"/>
  <c r="C1506" i="1"/>
  <c r="C893" i="1"/>
  <c r="C3245" i="1"/>
  <c r="C3133" i="1"/>
  <c r="C3020" i="1"/>
  <c r="C2935" i="1"/>
  <c r="C2844" i="1"/>
  <c r="C2720" i="1"/>
  <c r="C2592" i="1"/>
  <c r="C2464" i="1"/>
  <c r="C2355" i="1"/>
  <c r="C2205" i="1"/>
  <c r="C2035" i="1"/>
  <c r="C1301" i="1"/>
  <c r="C3327" i="1"/>
  <c r="C3294" i="1"/>
  <c r="C3218" i="1"/>
  <c r="C3105" i="1"/>
  <c r="C2989" i="1"/>
  <c r="C2876" i="1"/>
  <c r="C2742" i="1"/>
  <c r="C2615" i="1"/>
  <c r="C2487" i="1"/>
  <c r="C2281" i="1"/>
  <c r="C2033" i="1"/>
  <c r="C1672" i="1"/>
  <c r="C1086" i="1"/>
  <c r="C3483" i="1"/>
  <c r="C3451" i="1"/>
  <c r="C3419" i="1"/>
  <c r="C3387" i="1"/>
  <c r="C3355" i="1"/>
  <c r="C3323" i="1"/>
  <c r="C3271" i="1"/>
  <c r="C3169" i="1"/>
  <c r="C3053" i="1"/>
  <c r="C2940" i="1"/>
  <c r="C2870" i="1"/>
  <c r="C2767" i="1"/>
  <c r="C2664" i="1"/>
  <c r="C2536" i="1"/>
  <c r="C2408" i="1"/>
  <c r="C2318" i="1"/>
  <c r="C2162" i="1"/>
  <c r="C1972" i="1"/>
  <c r="C894" i="1"/>
  <c r="C3200" i="1"/>
  <c r="C3110" i="1"/>
  <c r="C3498" i="1"/>
  <c r="C3482" i="1"/>
  <c r="C3466" i="1"/>
  <c r="C3450" i="1"/>
  <c r="C3434" i="1"/>
  <c r="C3418" i="1"/>
  <c r="C3402" i="1"/>
  <c r="C3386" i="1"/>
  <c r="C3370" i="1"/>
  <c r="C3354" i="1"/>
  <c r="C3338" i="1"/>
  <c r="C3322" i="1"/>
  <c r="C3306" i="1"/>
  <c r="C3279" i="1"/>
  <c r="C3247" i="1"/>
  <c r="C3189" i="1"/>
  <c r="C3125" i="1"/>
  <c r="C3061" i="1"/>
  <c r="C2997" i="1"/>
  <c r="C2933" i="1"/>
  <c r="C2862" i="1"/>
  <c r="C2823" i="1"/>
  <c r="C2784" i="1"/>
  <c r="C2732" i="1"/>
  <c r="C2700" i="1"/>
  <c r="C2668" i="1"/>
  <c r="C2636" i="1"/>
  <c r="C2604" i="1"/>
  <c r="C2572" i="1"/>
  <c r="C2540" i="1"/>
  <c r="C2508" i="1"/>
  <c r="C2476" i="1"/>
  <c r="C2444" i="1"/>
  <c r="C2412" i="1"/>
  <c r="C2360" i="1"/>
  <c r="C2296" i="1"/>
  <c r="C2232" i="1"/>
  <c r="C2126" i="1"/>
  <c r="C1997" i="1"/>
  <c r="C1933" i="1"/>
  <c r="C1869" i="1"/>
  <c r="C1687" i="1"/>
  <c r="C1276" i="1"/>
  <c r="C693" i="1"/>
  <c r="C3195" i="1"/>
  <c r="C3120" i="1"/>
  <c r="C3056" i="1"/>
  <c r="C3019" i="1"/>
  <c r="C2982" i="1"/>
  <c r="C2923" i="1"/>
  <c r="C3292" i="1"/>
  <c r="C3260" i="1"/>
  <c r="C3231" i="1"/>
  <c r="C3210" i="1"/>
  <c r="C3188" i="1"/>
  <c r="C3167" i="1"/>
  <c r="C3146" i="1"/>
  <c r="C3124" i="1"/>
  <c r="C3103" i="1"/>
  <c r="C3082" i="1"/>
  <c r="C3060" i="1"/>
  <c r="C3039" i="1"/>
  <c r="C3018" i="1"/>
  <c r="C2996" i="1"/>
  <c r="C2975" i="1"/>
  <c r="C2954" i="1"/>
  <c r="C2932" i="1"/>
  <c r="C2911" i="1"/>
  <c r="C2890" i="1"/>
  <c r="C2867" i="1"/>
  <c r="C2828" i="1"/>
  <c r="C2778" i="1"/>
  <c r="C2739" i="1"/>
  <c r="C2332" i="1"/>
  <c r="C2268" i="1"/>
  <c r="C2211" i="1"/>
  <c r="C2168" i="1"/>
  <c r="C2125" i="1"/>
  <c r="C2083" i="1"/>
  <c r="C2040" i="1"/>
  <c r="C1805" i="1"/>
  <c r="C1656" i="1"/>
  <c r="C1487" i="1"/>
  <c r="C1207" i="1"/>
  <c r="C425" i="1"/>
  <c r="C3147" i="1"/>
  <c r="C3046" i="1"/>
  <c r="C2987" i="1"/>
  <c r="C2939" i="1"/>
  <c r="C2907" i="1"/>
  <c r="C2880" i="1"/>
  <c r="C2843" i="1"/>
  <c r="C2804" i="1"/>
  <c r="C2754" i="1"/>
  <c r="C2372" i="1"/>
  <c r="C2308" i="1"/>
  <c r="C2244" i="1"/>
  <c r="C2204" i="1"/>
  <c r="C2161" i="1"/>
  <c r="C2119" i="1"/>
  <c r="C2076" i="1"/>
  <c r="C1857" i="1"/>
  <c r="C1772" i="1"/>
  <c r="C1639" i="1"/>
  <c r="C1504" i="1"/>
  <c r="C1300" i="1"/>
  <c r="C3493" i="1"/>
  <c r="C3477" i="1"/>
  <c r="C3473" i="1"/>
  <c r="C3457" i="1"/>
  <c r="C3441" i="1"/>
  <c r="C3425" i="1"/>
  <c r="C3409" i="1"/>
  <c r="C3393" i="1"/>
  <c r="C3377" i="1"/>
  <c r="C3361" i="1"/>
  <c r="C3345" i="1"/>
  <c r="C3329" i="1"/>
  <c r="C3313" i="1"/>
  <c r="C3296" i="1"/>
  <c r="C3264" i="1"/>
  <c r="C3225" i="1"/>
  <c r="C3161" i="1"/>
  <c r="C3097" i="1"/>
  <c r="C3033" i="1"/>
  <c r="C2969" i="1"/>
  <c r="C2905" i="1"/>
  <c r="C2847" i="1"/>
  <c r="C2808" i="1"/>
  <c r="C2758" i="1"/>
  <c r="C2723" i="1"/>
  <c r="C2691" i="1"/>
  <c r="C2659" i="1"/>
  <c r="C2627" i="1"/>
  <c r="C2595" i="1"/>
  <c r="C2563" i="1"/>
  <c r="C2531" i="1"/>
  <c r="C2499" i="1"/>
  <c r="C2467" i="1"/>
  <c r="C2435" i="1"/>
  <c r="C2403" i="1"/>
  <c r="C2359" i="1"/>
  <c r="C2295" i="1"/>
  <c r="C2231" i="1"/>
  <c r="C2114" i="1"/>
  <c r="C1996" i="1"/>
  <c r="C1932" i="1"/>
  <c r="C1868" i="1"/>
  <c r="C1711" i="1"/>
  <c r="C1275" i="1"/>
  <c r="C692" i="1"/>
  <c r="C3184" i="1"/>
  <c r="C3088" i="1"/>
  <c r="C994" i="1"/>
  <c r="C3273" i="1"/>
  <c r="C3240" i="1"/>
  <c r="C3219" i="1"/>
  <c r="C3198" i="1"/>
  <c r="C3176" i="1"/>
  <c r="C3155" i="1"/>
  <c r="C3134" i="1"/>
  <c r="C3112" i="1"/>
  <c r="C3091" i="1"/>
  <c r="C3070" i="1"/>
  <c r="C3048" i="1"/>
  <c r="C3027" i="1"/>
  <c r="C3006" i="1"/>
  <c r="C2984" i="1"/>
  <c r="C2963" i="1"/>
  <c r="C2942" i="1"/>
  <c r="C2920" i="1"/>
  <c r="C2899" i="1"/>
  <c r="C2878" i="1"/>
  <c r="C2834" i="1"/>
  <c r="C2795" i="1"/>
  <c r="C2756" i="1"/>
  <c r="C2340" i="1"/>
  <c r="C2276" i="1"/>
  <c r="C2209" i="1"/>
  <c r="C2167" i="1"/>
  <c r="C2124" i="1"/>
  <c r="C2081" i="1"/>
  <c r="C2039" i="1"/>
  <c r="C1804" i="1"/>
  <c r="C1655" i="1"/>
  <c r="C1486" i="1"/>
  <c r="C1206" i="1"/>
  <c r="C424" i="1"/>
  <c r="C2722" i="1"/>
  <c r="C2706" i="1"/>
  <c r="C2690" i="1"/>
  <c r="C2674" i="1"/>
  <c r="C2658" i="1"/>
  <c r="C2642" i="1"/>
  <c r="C2626" i="1"/>
  <c r="C2610" i="1"/>
  <c r="C2594" i="1"/>
  <c r="C2578" i="1"/>
  <c r="C2562" i="1"/>
  <c r="C2546" i="1"/>
  <c r="C2530" i="1"/>
  <c r="C2514" i="1"/>
  <c r="C2498" i="1"/>
  <c r="C2482" i="1"/>
  <c r="C2466" i="1"/>
  <c r="C2450" i="1"/>
  <c r="C2434" i="1"/>
  <c r="C2418" i="1"/>
  <c r="C2402" i="1"/>
  <c r="C2385" i="1"/>
  <c r="C2353" i="1"/>
  <c r="C2321" i="1"/>
  <c r="C2289" i="1"/>
  <c r="C2257" i="1"/>
  <c r="C2214" i="1"/>
  <c r="C2150" i="1"/>
  <c r="C2086" i="1"/>
  <c r="C2032" i="1"/>
  <c r="C2001" i="1"/>
  <c r="C1969" i="1"/>
  <c r="C1937" i="1"/>
  <c r="C1905" i="1"/>
  <c r="C1873" i="1"/>
  <c r="C1744" i="1"/>
  <c r="C1515" i="1"/>
  <c r="C1377" i="1"/>
  <c r="C1151" i="1"/>
  <c r="C920" i="1"/>
  <c r="C2371" i="1"/>
  <c r="C2339" i="1"/>
  <c r="C2307" i="1"/>
  <c r="C2275" i="1"/>
  <c r="C2243" i="1"/>
  <c r="C2219" i="1"/>
  <c r="C2197" i="1"/>
  <c r="C2176" i="1"/>
  <c r="C2155" i="1"/>
  <c r="C2133" i="1"/>
  <c r="C2112" i="1"/>
  <c r="C2091" i="1"/>
  <c r="C2069" i="1"/>
  <c r="C2048" i="1"/>
  <c r="C1853" i="1"/>
  <c r="C1811" i="1"/>
  <c r="C1768" i="1"/>
  <c r="C1692" i="1"/>
  <c r="C1616" i="1"/>
  <c r="C1551" i="1"/>
  <c r="C1440" i="1"/>
  <c r="C1355" i="1"/>
  <c r="C1189" i="1"/>
  <c r="C802" i="1"/>
  <c r="C2873" i="1"/>
  <c r="C2857" i="1"/>
  <c r="C2841" i="1"/>
  <c r="C2825" i="1"/>
  <c r="C2809" i="1"/>
  <c r="C2793" i="1"/>
  <c r="C2777" i="1"/>
  <c r="C2761" i="1"/>
  <c r="C2745" i="1"/>
  <c r="C2729" i="1"/>
  <c r="C2713" i="1"/>
  <c r="C2697" i="1"/>
  <c r="C2681" i="1"/>
  <c r="C2665" i="1"/>
  <c r="C2649" i="1"/>
  <c r="C2633" i="1"/>
  <c r="C2617" i="1"/>
  <c r="C2601" i="1"/>
  <c r="C2585" i="1"/>
  <c r="C2569" i="1"/>
  <c r="C2553" i="1"/>
  <c r="C2537" i="1"/>
  <c r="C2521" i="1"/>
  <c r="C2505" i="1"/>
  <c r="C2489" i="1"/>
  <c r="C2473" i="1"/>
  <c r="C2457" i="1"/>
  <c r="C2441" i="1"/>
  <c r="C2425" i="1"/>
  <c r="C2409" i="1"/>
  <c r="C2393" i="1"/>
  <c r="C2361" i="1"/>
  <c r="C2329" i="1"/>
  <c r="C2297" i="1"/>
  <c r="C2265" i="1"/>
  <c r="C2233" i="1"/>
  <c r="C2170" i="1"/>
  <c r="C2106" i="1"/>
  <c r="C2042" i="1"/>
  <c r="C2008" i="1"/>
  <c r="C1976" i="1"/>
  <c r="C1944" i="1"/>
  <c r="C1912" i="1"/>
  <c r="C1880" i="1"/>
  <c r="C1778" i="1"/>
  <c r="C1679" i="1"/>
  <c r="C1397" i="1"/>
  <c r="C1150" i="1"/>
  <c r="C918" i="1"/>
  <c r="C2370" i="1"/>
  <c r="C2338" i="1"/>
  <c r="C2306" i="1"/>
  <c r="C2274" i="1"/>
  <c r="C2242" i="1"/>
  <c r="C2217" i="1"/>
  <c r="C2196" i="1"/>
  <c r="C2175" i="1"/>
  <c r="C2153" i="1"/>
  <c r="C2132" i="1"/>
  <c r="C2111" i="1"/>
  <c r="C2089" i="1"/>
  <c r="C2068" i="1"/>
  <c r="C2047" i="1"/>
  <c r="C1863" i="1"/>
  <c r="C1820" i="1"/>
  <c r="C1777" i="1"/>
  <c r="C1716" i="1"/>
  <c r="C1647" i="1"/>
  <c r="C1583" i="1"/>
  <c r="C1477" i="1"/>
  <c r="C1375" i="1"/>
  <c r="C1290" i="1"/>
  <c r="C969" i="1"/>
  <c r="C523" i="1"/>
  <c r="C2015" i="1"/>
  <c r="C1999" i="1"/>
  <c r="C1983" i="1"/>
  <c r="C1967" i="1"/>
  <c r="C1951" i="1"/>
  <c r="C1935" i="1"/>
  <c r="C1919" i="1"/>
  <c r="C1903" i="1"/>
  <c r="C1887" i="1"/>
  <c r="C1871" i="1"/>
  <c r="C1830" i="1"/>
  <c r="C1766" i="1"/>
  <c r="C1728" i="1"/>
  <c r="C1690" i="1"/>
  <c r="C1529" i="1"/>
  <c r="C1465" i="1"/>
  <c r="C1329" i="1"/>
  <c r="C1252" i="1"/>
  <c r="C1141" i="1"/>
  <c r="C1055" i="1"/>
  <c r="C933" i="1"/>
  <c r="C477" i="1"/>
  <c r="C1851" i="1"/>
  <c r="C1829" i="1"/>
  <c r="C1808" i="1"/>
  <c r="C1787" i="1"/>
  <c r="C1765" i="1"/>
  <c r="C1715" i="1"/>
  <c r="C1676" i="1"/>
  <c r="C1644" i="1"/>
  <c r="C1612" i="1"/>
  <c r="C1580" i="1"/>
  <c r="C1519" i="1"/>
  <c r="C1455" i="1"/>
  <c r="C1414" i="1"/>
  <c r="C1339" i="1"/>
  <c r="C752" i="1"/>
  <c r="C3469" i="1"/>
  <c r="C3453" i="1"/>
  <c r="C3437" i="1"/>
  <c r="C3421" i="1"/>
  <c r="C3405" i="1"/>
  <c r="C3389" i="1"/>
  <c r="C3373" i="1"/>
  <c r="C3357" i="1"/>
  <c r="C3341" i="1"/>
  <c r="C3325" i="1"/>
  <c r="C3309" i="1"/>
  <c r="C3287" i="1"/>
  <c r="C3255" i="1"/>
  <c r="C3209" i="1"/>
  <c r="C3145" i="1"/>
  <c r="C3081" i="1"/>
  <c r="C3017" i="1"/>
  <c r="C2953" i="1"/>
  <c r="C2889" i="1"/>
  <c r="C2840" i="1"/>
  <c r="C2790" i="1"/>
  <c r="C2751" i="1"/>
  <c r="C2715" i="1"/>
  <c r="C2683" i="1"/>
  <c r="C2651" i="1"/>
  <c r="C2619" i="1"/>
  <c r="C2587" i="1"/>
  <c r="C2555" i="1"/>
  <c r="C2523" i="1"/>
  <c r="C2491" i="1"/>
  <c r="C2459" i="1"/>
  <c r="C2427" i="1"/>
  <c r="C2395" i="1"/>
  <c r="C2350" i="1"/>
  <c r="C2286" i="1"/>
  <c r="C2210" i="1"/>
  <c r="C2082" i="1"/>
  <c r="C1980" i="1"/>
  <c r="C1916" i="1"/>
  <c r="C1826" i="1"/>
  <c r="C1523" i="1"/>
  <c r="C1129" i="1"/>
  <c r="C3252" i="1"/>
  <c r="C3163" i="1"/>
  <c r="C3072" i="1"/>
  <c r="C3300" i="1"/>
  <c r="C3268" i="1"/>
  <c r="C3235" i="1"/>
  <c r="C3214" i="1"/>
  <c r="C3192" i="1"/>
  <c r="C3171" i="1"/>
  <c r="C3150" i="1"/>
  <c r="C3128" i="1"/>
  <c r="C3107" i="1"/>
  <c r="C3086" i="1"/>
  <c r="C3064" i="1"/>
  <c r="C3043" i="1"/>
  <c r="C3022" i="1"/>
  <c r="C3000" i="1"/>
  <c r="C2979" i="1"/>
  <c r="C2958" i="1"/>
  <c r="C2936" i="1"/>
  <c r="C2915" i="1"/>
  <c r="C2894" i="1"/>
  <c r="C2866" i="1"/>
  <c r="C2827" i="1"/>
  <c r="C2788" i="1"/>
  <c r="C2738" i="1"/>
  <c r="C2331" i="1"/>
  <c r="C2267" i="1"/>
  <c r="C2199" i="1"/>
  <c r="C2156" i="1"/>
  <c r="C2113" i="1"/>
  <c r="C2071" i="1"/>
  <c r="C2027" i="1"/>
  <c r="C1783" i="1"/>
  <c r="C1623" i="1"/>
  <c r="C1407" i="1"/>
  <c r="C1128" i="1"/>
  <c r="C2734" i="1"/>
  <c r="C2718" i="1"/>
  <c r="C2702" i="1"/>
  <c r="C2686" i="1"/>
  <c r="C2670" i="1"/>
  <c r="C2654" i="1"/>
  <c r="C2638" i="1"/>
  <c r="C2622" i="1"/>
  <c r="C2606" i="1"/>
  <c r="C2590" i="1"/>
  <c r="C2574" i="1"/>
  <c r="C2558" i="1"/>
  <c r="C2542" i="1"/>
  <c r="C2526" i="1"/>
  <c r="C2510" i="1"/>
  <c r="C2494" i="1"/>
  <c r="C2478" i="1"/>
  <c r="C2462" i="1"/>
  <c r="C2446" i="1"/>
  <c r="C2430" i="1"/>
  <c r="C2414" i="1"/>
  <c r="C2398" i="1"/>
  <c r="C2376" i="1"/>
  <c r="C2344" i="1"/>
  <c r="C2312" i="1"/>
  <c r="C2280" i="1"/>
  <c r="C2248" i="1"/>
  <c r="C2198" i="1"/>
  <c r="C2134" i="1"/>
  <c r="C2070" i="1"/>
  <c r="C2025" i="1"/>
  <c r="C1993" i="1"/>
  <c r="C1961" i="1"/>
  <c r="C1929" i="1"/>
  <c r="C1897" i="1"/>
  <c r="C1854" i="1"/>
  <c r="C1719" i="1"/>
  <c r="C1497" i="1"/>
  <c r="C1313" i="1"/>
  <c r="C1109" i="1"/>
  <c r="C734" i="1"/>
  <c r="C2362" i="1"/>
  <c r="C2330" i="1"/>
  <c r="C2298" i="1"/>
  <c r="C2266" i="1"/>
  <c r="C2234" i="1"/>
  <c r="C2213" i="1"/>
  <c r="C2192" i="1"/>
  <c r="C2171" i="1"/>
  <c r="C2149" i="1"/>
  <c r="C2128" i="1"/>
  <c r="C2107" i="1"/>
  <c r="C2085" i="1"/>
  <c r="C2064" i="1"/>
  <c r="C2043" i="1"/>
  <c r="C1843" i="1"/>
  <c r="C1800" i="1"/>
  <c r="C1756" i="1"/>
  <c r="C1664" i="1"/>
  <c r="C1600" i="1"/>
  <c r="C1533" i="1"/>
  <c r="C1419" i="1"/>
  <c r="C1334" i="1"/>
  <c r="C1108" i="1"/>
  <c r="C645" i="1"/>
  <c r="C2869" i="1"/>
  <c r="C2853" i="1"/>
  <c r="C2837" i="1"/>
  <c r="C2821" i="1"/>
  <c r="C2805" i="1"/>
  <c r="C2789" i="1"/>
  <c r="C2773" i="1"/>
  <c r="C2757" i="1"/>
  <c r="C2741" i="1"/>
  <c r="C2725" i="1"/>
  <c r="C2709" i="1"/>
  <c r="C2693" i="1"/>
  <c r="C2677" i="1"/>
  <c r="C2661" i="1"/>
  <c r="C2645" i="1"/>
  <c r="C2629" i="1"/>
  <c r="C2613" i="1"/>
  <c r="C2597" i="1"/>
  <c r="C2581" i="1"/>
  <c r="C2565" i="1"/>
  <c r="C2549" i="1"/>
  <c r="C2533" i="1"/>
  <c r="C2517" i="1"/>
  <c r="C2501" i="1"/>
  <c r="C2485" i="1"/>
  <c r="C2469" i="1"/>
  <c r="C2453" i="1"/>
  <c r="C2437" i="1"/>
  <c r="C2421" i="1"/>
  <c r="C2405" i="1"/>
  <c r="C2384" i="1"/>
  <c r="C2352" i="1"/>
  <c r="C2320" i="1"/>
  <c r="C2288" i="1"/>
  <c r="C2256" i="1"/>
  <c r="C2218" i="1"/>
  <c r="C2154" i="1"/>
  <c r="C2090" i="1"/>
  <c r="C2031" i="1"/>
  <c r="C2000" i="1"/>
  <c r="C1968" i="1"/>
  <c r="C1936" i="1"/>
  <c r="C1904" i="1"/>
  <c r="C1872" i="1"/>
  <c r="C1743" i="1"/>
  <c r="C1532" i="1"/>
  <c r="C1333" i="1"/>
  <c r="C1107" i="1"/>
  <c r="C733" i="1"/>
  <c r="C2365" i="1"/>
  <c r="C2333" i="1"/>
  <c r="C2301" i="1"/>
  <c r="C2269" i="1"/>
  <c r="C2237" i="1"/>
  <c r="C2212" i="1"/>
  <c r="C2191" i="1"/>
  <c r="C2169" i="1"/>
  <c r="C2148" i="1"/>
  <c r="C2127" i="1"/>
  <c r="C2105" i="1"/>
  <c r="C2084" i="1"/>
  <c r="C2063" i="1"/>
  <c r="C2041" i="1"/>
  <c r="C1852" i="1"/>
  <c r="C1809" i="1"/>
  <c r="C1767" i="1"/>
  <c r="C1691" i="1"/>
  <c r="C1631" i="1"/>
  <c r="C1567" i="1"/>
  <c r="C1439" i="1"/>
  <c r="C1354" i="1"/>
  <c r="C1188" i="1"/>
  <c r="C865" i="1"/>
  <c r="C257" i="1"/>
  <c r="C2011" i="1"/>
  <c r="C1995" i="1"/>
  <c r="C1979" i="1"/>
  <c r="C1963" i="1"/>
  <c r="C1947" i="1"/>
  <c r="C1931" i="1"/>
  <c r="C1915" i="1"/>
  <c r="C1899" i="1"/>
  <c r="C1883" i="1"/>
  <c r="C1867" i="1"/>
  <c r="C1814" i="1"/>
  <c r="C1760" i="1"/>
  <c r="C1722" i="1"/>
  <c r="C1556" i="1"/>
  <c r="C1492" i="1"/>
  <c r="C1425" i="1"/>
  <c r="C1297" i="1"/>
  <c r="C1235" i="1"/>
  <c r="C1119" i="1"/>
  <c r="C1034" i="1"/>
  <c r="C714" i="1"/>
  <c r="C365" i="1"/>
  <c r="C1845" i="1"/>
  <c r="C1824" i="1"/>
  <c r="C1803" i="1"/>
  <c r="C1781" i="1"/>
  <c r="C1747" i="1"/>
  <c r="C1708" i="1"/>
  <c r="C1668" i="1"/>
  <c r="C1636" i="1"/>
  <c r="C1604" i="1"/>
  <c r="C1572" i="1"/>
  <c r="C1510" i="1"/>
  <c r="C1446" i="1"/>
  <c r="C1403" i="1"/>
  <c r="C1296" i="1"/>
  <c r="C2034" i="1"/>
  <c r="C3465" i="1"/>
  <c r="C3449" i="1"/>
  <c r="C3433" i="1"/>
  <c r="C3417" i="1"/>
  <c r="C3401" i="1"/>
  <c r="C3385" i="1"/>
  <c r="C3369" i="1"/>
  <c r="C3353" i="1"/>
  <c r="C3337" i="1"/>
  <c r="C3321" i="1"/>
  <c r="C3305" i="1"/>
  <c r="C3278" i="1"/>
  <c r="C3246" i="1"/>
  <c r="C3193" i="1"/>
  <c r="C3129" i="1"/>
  <c r="C3065" i="1"/>
  <c r="C3001" i="1"/>
  <c r="C2937" i="1"/>
  <c r="C2872" i="1"/>
  <c r="C2822" i="1"/>
  <c r="C2783" i="1"/>
  <c r="C2744" i="1"/>
  <c r="C2707" i="1"/>
  <c r="C2675" i="1"/>
  <c r="C2643" i="1"/>
  <c r="C2611" i="1"/>
  <c r="C2579" i="1"/>
  <c r="C2547" i="1"/>
  <c r="C2515" i="1"/>
  <c r="C2483" i="1"/>
  <c r="C2451" i="1"/>
  <c r="C2419" i="1"/>
  <c r="C2377" i="1"/>
  <c r="C2313" i="1"/>
  <c r="C2249" i="1"/>
  <c r="C2178" i="1"/>
  <c r="C2050" i="1"/>
  <c r="C1964" i="1"/>
  <c r="C1900" i="1"/>
  <c r="C1762" i="1"/>
  <c r="C1450" i="1"/>
  <c r="C1043" i="1"/>
  <c r="C3227" i="1"/>
  <c r="C3136" i="1"/>
  <c r="C3040" i="1"/>
  <c r="C3291" i="1"/>
  <c r="C3259" i="1"/>
  <c r="C3230" i="1"/>
  <c r="C3208" i="1"/>
  <c r="C3187" i="1"/>
  <c r="C3166" i="1"/>
  <c r="C3144" i="1"/>
  <c r="C3123" i="1"/>
  <c r="C3102" i="1"/>
  <c r="C3080" i="1"/>
  <c r="C3059" i="1"/>
  <c r="C3038" i="1"/>
  <c r="C3016" i="1"/>
  <c r="C2995" i="1"/>
  <c r="C2974" i="1"/>
  <c r="C2952" i="1"/>
  <c r="C2931" i="1"/>
  <c r="C2910" i="1"/>
  <c r="C2888" i="1"/>
  <c r="C2859" i="1"/>
  <c r="C2820" i="1"/>
  <c r="C2770" i="1"/>
  <c r="C2386" i="1"/>
  <c r="C2322" i="1"/>
  <c r="C2258" i="1"/>
  <c r="C2188" i="1"/>
  <c r="C2145" i="1"/>
  <c r="C2103" i="1"/>
  <c r="C2060" i="1"/>
  <c r="C1847" i="1"/>
  <c r="C1710" i="1"/>
  <c r="C1591" i="1"/>
  <c r="C1364" i="1"/>
  <c r="C833" i="1"/>
  <c r="C2730" i="1"/>
  <c r="C2714" i="1"/>
  <c r="C2698" i="1"/>
  <c r="C2682" i="1"/>
  <c r="C2666" i="1"/>
  <c r="C2650" i="1"/>
  <c r="C2634" i="1"/>
  <c r="C2618" i="1"/>
  <c r="C2602" i="1"/>
  <c r="C2586" i="1"/>
  <c r="C2570" i="1"/>
  <c r="C2554" i="1"/>
  <c r="C2538" i="1"/>
  <c r="C2522" i="1"/>
  <c r="C2506" i="1"/>
  <c r="C2490" i="1"/>
  <c r="C2474" i="1"/>
  <c r="C2458" i="1"/>
  <c r="C2442" i="1"/>
  <c r="C2426" i="1"/>
  <c r="C2410" i="1"/>
  <c r="C2394" i="1"/>
  <c r="C2367" i="1"/>
  <c r="C2335" i="1"/>
  <c r="C2303" i="1"/>
  <c r="C2271" i="1"/>
  <c r="C2239" i="1"/>
  <c r="C2182" i="1"/>
  <c r="C2118" i="1"/>
  <c r="C2054" i="1"/>
  <c r="C2017" i="1"/>
  <c r="C1985" i="1"/>
  <c r="C1953" i="1"/>
  <c r="C1921" i="1"/>
  <c r="C1889" i="1"/>
  <c r="C1822" i="1"/>
  <c r="C1706" i="1"/>
  <c r="C1460" i="1"/>
  <c r="C1260" i="1"/>
  <c r="C1066" i="1"/>
  <c r="C2389" i="1"/>
  <c r="C2357" i="1"/>
  <c r="C2325" i="1"/>
  <c r="C2293" i="1"/>
  <c r="C2261" i="1"/>
  <c r="C2229" i="1"/>
  <c r="C2208" i="1"/>
  <c r="C2187" i="1"/>
  <c r="C2165" i="1"/>
  <c r="C2144" i="1"/>
  <c r="C2123" i="1"/>
  <c r="C2101" i="1"/>
  <c r="C2080" i="1"/>
  <c r="C2059" i="1"/>
  <c r="C2037" i="1"/>
  <c r="C1832" i="1"/>
  <c r="C1789" i="1"/>
  <c r="C1731" i="1"/>
  <c r="C1648" i="1"/>
  <c r="C1584" i="1"/>
  <c r="C1496" i="1"/>
  <c r="C1398" i="1"/>
  <c r="C1312" i="1"/>
  <c r="C970" i="1"/>
  <c r="C524" i="1"/>
  <c r="C2865" i="1"/>
  <c r="C2849" i="1"/>
  <c r="C2833" i="1"/>
  <c r="C2817" i="1"/>
  <c r="C2801" i="1"/>
  <c r="C2785" i="1"/>
  <c r="C2769" i="1"/>
  <c r="C2753" i="1"/>
  <c r="C2737" i="1"/>
  <c r="C2721" i="1"/>
  <c r="C2705" i="1"/>
  <c r="C2689" i="1"/>
  <c r="C2673" i="1"/>
  <c r="C2657" i="1"/>
  <c r="C2641" i="1"/>
  <c r="C2625" i="1"/>
  <c r="C2609" i="1"/>
  <c r="C2593" i="1"/>
  <c r="C2577" i="1"/>
  <c r="C2561" i="1"/>
  <c r="C2545" i="1"/>
  <c r="C2529" i="1"/>
  <c r="C2513" i="1"/>
  <c r="C2497" i="1"/>
  <c r="C2481" i="1"/>
  <c r="C2465" i="1"/>
  <c r="C2449" i="1"/>
  <c r="C2433" i="1"/>
  <c r="C2417" i="1"/>
  <c r="C2401" i="1"/>
  <c r="C2375" i="1"/>
  <c r="C2343" i="1"/>
  <c r="C2311" i="1"/>
  <c r="C2279" i="1"/>
  <c r="C2247" i="1"/>
  <c r="C2202" i="1"/>
  <c r="C2138" i="1"/>
  <c r="C2074" i="1"/>
  <c r="C2024" i="1"/>
  <c r="C1992" i="1"/>
  <c r="C1960" i="1"/>
  <c r="C1928" i="1"/>
  <c r="C1896" i="1"/>
  <c r="C1842" i="1"/>
  <c r="C1730" i="1"/>
  <c r="C1514" i="1"/>
  <c r="C1259" i="1"/>
  <c r="C1065" i="1"/>
  <c r="C2388" i="1"/>
  <c r="C2356" i="1"/>
  <c r="C2324" i="1"/>
  <c r="C2292" i="1"/>
  <c r="C2260" i="1"/>
  <c r="C2228" i="1"/>
  <c r="C2207" i="1"/>
  <c r="C2185" i="1"/>
  <c r="C2164" i="1"/>
  <c r="C2143" i="1"/>
  <c r="C2121" i="1"/>
  <c r="C2100" i="1"/>
  <c r="C2079" i="1"/>
  <c r="C2057" i="1"/>
  <c r="C2036" i="1"/>
  <c r="C1841" i="1"/>
  <c r="C1799" i="1"/>
  <c r="C1755" i="1"/>
  <c r="C1678" i="1"/>
  <c r="C1615" i="1"/>
  <c r="C1550" i="1"/>
  <c r="C1418" i="1"/>
  <c r="C1332" i="1"/>
  <c r="C1064" i="1"/>
  <c r="C801" i="1"/>
  <c r="C2023" i="1"/>
  <c r="C2007" i="1"/>
  <c r="C1991" i="1"/>
  <c r="C1975" i="1"/>
  <c r="C1959" i="1"/>
  <c r="C1943" i="1"/>
  <c r="C1927" i="1"/>
  <c r="C1911" i="1"/>
  <c r="C1895" i="1"/>
  <c r="C1879" i="1"/>
  <c r="C1862" i="1"/>
  <c r="C1798" i="1"/>
  <c r="C1754" i="1"/>
  <c r="C1703" i="1"/>
  <c r="C1547" i="1"/>
  <c r="C1483" i="1"/>
  <c r="C1393" i="1"/>
  <c r="C1284" i="1"/>
  <c r="C1217" i="1"/>
  <c r="C1098" i="1"/>
  <c r="C984" i="1"/>
  <c r="C672" i="1"/>
  <c r="C1861" i="1"/>
  <c r="C1840" i="1"/>
  <c r="C1819" i="1"/>
  <c r="C1797" i="1"/>
  <c r="C1776" i="1"/>
  <c r="C1740" i="1"/>
  <c r="C1702" i="1"/>
  <c r="C1660" i="1"/>
  <c r="C1628" i="1"/>
  <c r="C1596" i="1"/>
  <c r="C1564" i="1"/>
  <c r="C1501" i="1"/>
  <c r="C1435" i="1"/>
  <c r="C1392" i="1"/>
  <c r="C1076" i="1"/>
  <c r="C2018" i="1"/>
  <c r="C3461" i="1"/>
  <c r="C3445" i="1"/>
  <c r="C3429" i="1"/>
  <c r="C3413" i="1"/>
  <c r="C3397" i="1"/>
  <c r="C3381" i="1"/>
  <c r="C3365" i="1"/>
  <c r="C3349" i="1"/>
  <c r="C3333" i="1"/>
  <c r="C3317" i="1"/>
  <c r="C3301" i="1"/>
  <c r="C3269" i="1"/>
  <c r="C3241" i="1"/>
  <c r="C3177" i="1"/>
  <c r="C3113" i="1"/>
  <c r="C3049" i="1"/>
  <c r="C2985" i="1"/>
  <c r="C2921" i="1"/>
  <c r="C2854" i="1"/>
  <c r="C2815" i="1"/>
  <c r="C2776" i="1"/>
  <c r="C2731" i="1"/>
  <c r="C2699" i="1"/>
  <c r="C2667" i="1"/>
  <c r="C2635" i="1"/>
  <c r="C2603" i="1"/>
  <c r="C2571" i="1"/>
  <c r="C2539" i="1"/>
  <c r="C2507" i="1"/>
  <c r="C2475" i="1"/>
  <c r="C2443" i="1"/>
  <c r="C2411" i="1"/>
  <c r="C2368" i="1"/>
  <c r="C2304" i="1"/>
  <c r="C2240" i="1"/>
  <c r="C2146" i="1"/>
  <c r="C2012" i="1"/>
  <c r="C1948" i="1"/>
  <c r="C1884" i="1"/>
  <c r="C1736" i="1"/>
  <c r="C1365" i="1"/>
  <c r="C944" i="1"/>
  <c r="C3206" i="1"/>
  <c r="C3115" i="1"/>
  <c r="C2934" i="1"/>
  <c r="C3282" i="1"/>
  <c r="C3250" i="1"/>
  <c r="C3224" i="1"/>
  <c r="C3203" i="1"/>
  <c r="C3182" i="1"/>
  <c r="C3160" i="1"/>
  <c r="C3139" i="1"/>
  <c r="C3118" i="1"/>
  <c r="C3096" i="1"/>
  <c r="C3075" i="1"/>
  <c r="C3054" i="1"/>
  <c r="C3032" i="1"/>
  <c r="C3011" i="1"/>
  <c r="C2990" i="1"/>
  <c r="C2968" i="1"/>
  <c r="C2947" i="1"/>
  <c r="C2926" i="1"/>
  <c r="C2904" i="1"/>
  <c r="C2883" i="1"/>
  <c r="C2852" i="1"/>
  <c r="C2802" i="1"/>
  <c r="C2763" i="1"/>
  <c r="C2349" i="1"/>
  <c r="C2285" i="1"/>
  <c r="C2220" i="1"/>
  <c r="C2177" i="1"/>
  <c r="C2135" i="1"/>
  <c r="C2092" i="1"/>
  <c r="C2049" i="1"/>
  <c r="C1825" i="1"/>
  <c r="C1684" i="1"/>
  <c r="C1559" i="1"/>
  <c r="C1322" i="1"/>
  <c r="C691" i="1"/>
  <c r="C2726" i="1"/>
  <c r="C2710" i="1"/>
  <c r="C2694" i="1"/>
  <c r="C2678" i="1"/>
  <c r="C2662" i="1"/>
  <c r="C2646" i="1"/>
  <c r="C2630" i="1"/>
  <c r="C2614" i="1"/>
  <c r="C2598" i="1"/>
  <c r="C2582" i="1"/>
  <c r="C2566" i="1"/>
  <c r="C2550" i="1"/>
  <c r="C2534" i="1"/>
  <c r="C2518" i="1"/>
  <c r="C2502" i="1"/>
  <c r="C2486" i="1"/>
  <c r="C2470" i="1"/>
  <c r="C2454" i="1"/>
  <c r="C2438" i="1"/>
  <c r="C2422" i="1"/>
  <c r="C2406" i="1"/>
  <c r="C2390" i="1"/>
  <c r="C2358" i="1"/>
  <c r="C2326" i="1"/>
  <c r="C2294" i="1"/>
  <c r="C2262" i="1"/>
  <c r="C2230" i="1"/>
  <c r="C2166" i="1"/>
  <c r="C2102" i="1"/>
  <c r="C2038" i="1"/>
  <c r="C2009" i="1"/>
  <c r="C1977" i="1"/>
  <c r="C1945" i="1"/>
  <c r="C1913" i="1"/>
  <c r="C1881" i="1"/>
  <c r="C1790" i="1"/>
  <c r="C1680" i="1"/>
  <c r="C1441" i="1"/>
  <c r="C1226" i="1"/>
  <c r="C1022" i="1"/>
  <c r="C2380" i="1"/>
  <c r="C2348" i="1"/>
  <c r="C2316" i="1"/>
  <c r="C2284" i="1"/>
  <c r="C2252" i="1"/>
  <c r="C2224" i="1"/>
  <c r="C2203" i="1"/>
  <c r="C2181" i="1"/>
  <c r="C2160" i="1"/>
  <c r="C2139" i="1"/>
  <c r="C2117" i="1"/>
  <c r="C2096" i="1"/>
  <c r="C2075" i="1"/>
  <c r="C2053" i="1"/>
  <c r="C1864" i="1"/>
  <c r="C1821" i="1"/>
  <c r="C1779" i="1"/>
  <c r="C1718" i="1"/>
  <c r="C1632" i="1"/>
  <c r="C1568" i="1"/>
  <c r="C1478" i="1"/>
  <c r="C1376" i="1"/>
  <c r="C1291" i="1"/>
  <c r="C866" i="1"/>
  <c r="C258" i="1"/>
  <c r="C2861" i="1"/>
  <c r="C2845" i="1"/>
  <c r="C2829" i="1"/>
  <c r="C2813" i="1"/>
  <c r="C2797" i="1"/>
  <c r="C2781" i="1"/>
  <c r="C2765" i="1"/>
  <c r="C2749" i="1"/>
  <c r="C2733" i="1"/>
  <c r="C2717" i="1"/>
  <c r="C2701" i="1"/>
  <c r="C2685" i="1"/>
  <c r="C2669" i="1"/>
  <c r="C2653" i="1"/>
  <c r="C2637" i="1"/>
  <c r="C2621" i="1"/>
  <c r="C2605" i="1"/>
  <c r="C2589" i="1"/>
  <c r="C2573" i="1"/>
  <c r="C2557" i="1"/>
  <c r="C2541" i="1"/>
  <c r="C2525" i="1"/>
  <c r="C2509" i="1"/>
  <c r="C2493" i="1"/>
  <c r="C2477" i="1"/>
  <c r="C2461" i="1"/>
  <c r="C2445" i="1"/>
  <c r="C2429" i="1"/>
  <c r="C2413" i="1"/>
  <c r="C2397" i="1"/>
  <c r="C2366" i="1"/>
  <c r="C2334" i="1"/>
  <c r="C2302" i="1"/>
  <c r="C2270" i="1"/>
  <c r="C2238" i="1"/>
  <c r="C2186" i="1"/>
  <c r="C2122" i="1"/>
  <c r="C2058" i="1"/>
  <c r="C2016" i="1"/>
  <c r="C1984" i="1"/>
  <c r="C1952" i="1"/>
  <c r="C1920" i="1"/>
  <c r="C1888" i="1"/>
  <c r="C1810" i="1"/>
  <c r="C1704" i="1"/>
  <c r="C1459" i="1"/>
  <c r="C1225" i="1"/>
  <c r="C1021" i="1"/>
  <c r="C2379" i="1"/>
  <c r="C2347" i="1"/>
  <c r="C2315" i="1"/>
  <c r="C2283" i="1"/>
  <c r="C2251" i="1"/>
  <c r="C2223" i="1"/>
  <c r="C2201" i="1"/>
  <c r="C2180" i="1"/>
  <c r="C2159" i="1"/>
  <c r="C2137" i="1"/>
  <c r="C2116" i="1"/>
  <c r="C2095" i="1"/>
  <c r="C2073" i="1"/>
  <c r="C2052" i="1"/>
  <c r="C2029" i="1"/>
  <c r="C1831" i="1"/>
  <c r="C1788" i="1"/>
  <c r="C1742" i="1"/>
  <c r="C1663" i="1"/>
  <c r="C1599" i="1"/>
  <c r="C1495" i="1"/>
  <c r="C1396" i="1"/>
  <c r="C1311" i="1"/>
  <c r="C1020" i="1"/>
  <c r="C644" i="1"/>
  <c r="C2019" i="1"/>
  <c r="C2003" i="1"/>
  <c r="C1987" i="1"/>
  <c r="C1971" i="1"/>
  <c r="C1955" i="1"/>
  <c r="C1939" i="1"/>
  <c r="C1923" i="1"/>
  <c r="C1907" i="1"/>
  <c r="C1891" i="1"/>
  <c r="C1875" i="1"/>
  <c r="C1846" i="1"/>
  <c r="C1782" i="1"/>
  <c r="C1735" i="1"/>
  <c r="C1696" i="1"/>
  <c r="C1538" i="1"/>
  <c r="C1474" i="1"/>
  <c r="C1361" i="1"/>
  <c r="C1268" i="1"/>
  <c r="C1162" i="1"/>
  <c r="C1077" i="1"/>
  <c r="C958" i="1"/>
  <c r="C561" i="1"/>
  <c r="C1856" i="1"/>
  <c r="C1835" i="1"/>
  <c r="C1813" i="1"/>
  <c r="C1792" i="1"/>
  <c r="C1771" i="1"/>
  <c r="C1734" i="1"/>
  <c r="C1683" i="1"/>
  <c r="C1652" i="1"/>
  <c r="C1620" i="1"/>
  <c r="C1588" i="1"/>
  <c r="C1528" i="1"/>
  <c r="C1464" i="1"/>
  <c r="C1424" i="1"/>
  <c r="C1382" i="1"/>
  <c r="C881" i="1"/>
  <c r="C2002" i="1"/>
  <c r="C1371" i="1"/>
  <c r="C1328" i="1"/>
  <c r="C1198" i="1"/>
  <c r="C1009" i="1"/>
  <c r="C850" i="1"/>
  <c r="C670" i="1"/>
  <c r="C2030" i="1"/>
  <c r="C2014" i="1"/>
  <c r="C1998" i="1"/>
  <c r="C1982" i="1"/>
  <c r="C1966" i="1"/>
  <c r="C1950" i="1"/>
  <c r="C1934" i="1"/>
  <c r="C1918" i="1"/>
  <c r="C1902" i="1"/>
  <c r="C1886" i="1"/>
  <c r="C1870" i="1"/>
  <c r="C1818" i="1"/>
  <c r="C1759" i="1"/>
  <c r="C1720" i="1"/>
  <c r="C1682" i="1"/>
  <c r="C1500" i="1"/>
  <c r="C1445" i="1"/>
  <c r="C1317" i="1"/>
  <c r="C1234" i="1"/>
  <c r="C1139" i="1"/>
  <c r="C1054" i="1"/>
  <c r="C957" i="1"/>
  <c r="C560" i="1"/>
  <c r="C1860" i="1"/>
  <c r="C1839" i="1"/>
  <c r="C1817" i="1"/>
  <c r="C1796" i="1"/>
  <c r="C1775" i="1"/>
  <c r="C1739" i="1"/>
  <c r="C1700" i="1"/>
  <c r="C1659" i="1"/>
  <c r="C1627" i="1"/>
  <c r="C1595" i="1"/>
  <c r="C1563" i="1"/>
  <c r="C1509" i="1"/>
  <c r="C1444" i="1"/>
  <c r="C1402" i="1"/>
  <c r="C1359" i="1"/>
  <c r="C1316" i="1"/>
  <c r="C1197" i="1"/>
  <c r="C956" i="1"/>
  <c r="C817" i="1"/>
  <c r="C129" i="1"/>
  <c r="C1531" i="1"/>
  <c r="C1499" i="1"/>
  <c r="C1467" i="1"/>
  <c r="C1417" i="1"/>
  <c r="C1353" i="1"/>
  <c r="C1288" i="1"/>
  <c r="C1256" i="1"/>
  <c r="C1194" i="1"/>
  <c r="C1146" i="1"/>
  <c r="C1103" i="1"/>
  <c r="C1061" i="1"/>
  <c r="C1016" i="1"/>
  <c r="C926" i="1"/>
  <c r="C704" i="1"/>
  <c r="C608" i="1"/>
  <c r="C397" i="1"/>
  <c r="C1662" i="1"/>
  <c r="C1646" i="1"/>
  <c r="C1630" i="1"/>
  <c r="C1614" i="1"/>
  <c r="C1598" i="1"/>
  <c r="C1582" i="1"/>
  <c r="C1566" i="1"/>
  <c r="C1544" i="1"/>
  <c r="C1512" i="1"/>
  <c r="C1480" i="1"/>
  <c r="C1448" i="1"/>
  <c r="C1427" i="1"/>
  <c r="C1406" i="1"/>
  <c r="C1384" i="1"/>
  <c r="C1363" i="1"/>
  <c r="C1342" i="1"/>
  <c r="C1320" i="1"/>
  <c r="C1299" i="1"/>
  <c r="C1221" i="1"/>
  <c r="C1156" i="1"/>
  <c r="C1028" i="1"/>
  <c r="C938" i="1"/>
  <c r="C858" i="1"/>
  <c r="C794" i="1"/>
  <c r="C703" i="1"/>
  <c r="C66" i="1"/>
  <c r="C1530" i="1"/>
  <c r="C1498" i="1"/>
  <c r="C1466" i="1"/>
  <c r="C1421" i="1"/>
  <c r="C1357" i="1"/>
  <c r="C1293" i="1"/>
  <c r="C1263" i="1"/>
  <c r="C1202" i="1"/>
  <c r="C1145" i="1"/>
  <c r="C1102" i="1"/>
  <c r="C1059" i="1"/>
  <c r="C989" i="1"/>
  <c r="C912" i="1"/>
  <c r="C702" i="1"/>
  <c r="C577" i="1"/>
  <c r="C1761" i="1"/>
  <c r="C1745" i="1"/>
  <c r="C1729" i="1"/>
  <c r="C1713" i="1"/>
  <c r="C1697" i="1"/>
  <c r="C1681" i="1"/>
  <c r="C1665" i="1"/>
  <c r="C1649" i="1"/>
  <c r="C1633" i="1"/>
  <c r="C1617" i="1"/>
  <c r="C1601" i="1"/>
  <c r="C1585" i="1"/>
  <c r="C1569" i="1"/>
  <c r="C1552" i="1"/>
  <c r="C1520" i="1"/>
  <c r="C1488" i="1"/>
  <c r="C1456" i="1"/>
  <c r="C1431" i="1"/>
  <c r="C1410" i="1"/>
  <c r="C1388" i="1"/>
  <c r="C1367" i="1"/>
  <c r="C1346" i="1"/>
  <c r="C1324" i="1"/>
  <c r="C1303" i="1"/>
  <c r="C1229" i="1"/>
  <c r="C1165" i="1"/>
  <c r="C1048" i="1"/>
  <c r="C962" i="1"/>
  <c r="C873" i="1"/>
  <c r="C809" i="1"/>
  <c r="C723" i="1"/>
  <c r="C449" i="1"/>
  <c r="C1286" i="1"/>
  <c r="C1270" i="1"/>
  <c r="C1254" i="1"/>
  <c r="C1233" i="1"/>
  <c r="C1201" i="1"/>
  <c r="C1169" i="1"/>
  <c r="C1143" i="1"/>
  <c r="C1122" i="1"/>
  <c r="C1101" i="1"/>
  <c r="C1079" i="1"/>
  <c r="C1058" i="1"/>
  <c r="C1037" i="1"/>
  <c r="C1000" i="1"/>
  <c r="C949" i="1"/>
  <c r="C910" i="1"/>
  <c r="C766" i="1"/>
  <c r="C720" i="1"/>
  <c r="C677" i="1"/>
  <c r="C601" i="1"/>
  <c r="C534" i="1"/>
  <c r="C1237" i="1"/>
  <c r="C1205" i="1"/>
  <c r="C1173" i="1"/>
  <c r="C1116" i="1"/>
  <c r="C1052" i="1"/>
  <c r="C1012" i="1"/>
  <c r="C961" i="1"/>
  <c r="C922" i="1"/>
  <c r="C884" i="1"/>
  <c r="C846" i="1"/>
  <c r="C814" i="1"/>
  <c r="C782" i="1"/>
  <c r="C719" i="1"/>
  <c r="C613" i="1"/>
  <c r="C464" i="1"/>
  <c r="C98" i="1"/>
  <c r="C1281" i="1"/>
  <c r="C1265" i="1"/>
  <c r="C1249" i="1"/>
  <c r="C1227" i="1"/>
  <c r="C1195" i="1"/>
  <c r="C1163" i="1"/>
  <c r="C1142" i="1"/>
  <c r="C1121" i="1"/>
  <c r="C1099" i="1"/>
  <c r="C1078" i="1"/>
  <c r="C1057" i="1"/>
  <c r="C1035" i="1"/>
  <c r="C998" i="1"/>
  <c r="C960" i="1"/>
  <c r="C909" i="1"/>
  <c r="C765" i="1"/>
  <c r="C708" i="1"/>
  <c r="C664" i="1"/>
  <c r="C585" i="1"/>
  <c r="C412" i="1"/>
  <c r="C1231" i="1"/>
  <c r="C1199" i="1"/>
  <c r="C1167" i="1"/>
  <c r="C1104" i="1"/>
  <c r="C1040" i="1"/>
  <c r="C985" i="1"/>
  <c r="C946" i="1"/>
  <c r="C908" i="1"/>
  <c r="C869" i="1"/>
  <c r="C837" i="1"/>
  <c r="C805" i="1"/>
  <c r="C773" i="1"/>
  <c r="C707" i="1"/>
  <c r="C612" i="1"/>
  <c r="C488" i="1"/>
  <c r="C97" i="1"/>
  <c r="C750" i="1"/>
  <c r="C717" i="1"/>
  <c r="C696" i="1"/>
  <c r="C674" i="1"/>
  <c r="C624" i="1"/>
  <c r="C582" i="1"/>
  <c r="C484" i="1"/>
  <c r="C389" i="1"/>
  <c r="C868" i="1"/>
  <c r="C852" i="1"/>
  <c r="C836" i="1"/>
  <c r="C820" i="1"/>
  <c r="C804" i="1"/>
  <c r="C788" i="1"/>
  <c r="C768" i="1"/>
  <c r="C727" i="1"/>
  <c r="C661" i="1"/>
  <c r="C597" i="1"/>
  <c r="C457" i="1"/>
  <c r="C146" i="1"/>
  <c r="C740" i="1"/>
  <c r="C694" i="1"/>
  <c r="C634" i="1"/>
  <c r="C528" i="1"/>
  <c r="C1023" i="1"/>
  <c r="C991" i="1"/>
  <c r="C959" i="1"/>
  <c r="C927" i="1"/>
  <c r="C895" i="1"/>
  <c r="C863" i="1"/>
  <c r="C831" i="1"/>
  <c r="C799" i="1"/>
  <c r="C767" i="1"/>
  <c r="C683" i="1"/>
  <c r="C564" i="1"/>
  <c r="C81" i="1"/>
  <c r="C493" i="1"/>
  <c r="C549" i="1"/>
  <c r="C266" i="1"/>
  <c r="C10" i="1"/>
  <c r="C611" i="1"/>
  <c r="C526" i="1"/>
  <c r="C562" i="1"/>
  <c r="C313" i="1"/>
  <c r="C57" i="1"/>
  <c r="C1360" i="1"/>
  <c r="C1318" i="1"/>
  <c r="C1180" i="1"/>
  <c r="C932" i="1"/>
  <c r="C818" i="1"/>
  <c r="C620" i="1"/>
  <c r="C2026" i="1"/>
  <c r="C2010" i="1"/>
  <c r="C1994" i="1"/>
  <c r="C1978" i="1"/>
  <c r="C1962" i="1"/>
  <c r="C1946" i="1"/>
  <c r="C1930" i="1"/>
  <c r="C1914" i="1"/>
  <c r="C1898" i="1"/>
  <c r="C1882" i="1"/>
  <c r="C1866" i="1"/>
  <c r="C1802" i="1"/>
  <c r="C1752" i="1"/>
  <c r="C1714" i="1"/>
  <c r="C1555" i="1"/>
  <c r="C1491" i="1"/>
  <c r="C1413" i="1"/>
  <c r="C1283" i="1"/>
  <c r="C1216" i="1"/>
  <c r="C1118" i="1"/>
  <c r="C1033" i="1"/>
  <c r="C880" i="1"/>
  <c r="C476" i="1"/>
  <c r="C1855" i="1"/>
  <c r="C1833" i="1"/>
  <c r="C1812" i="1"/>
  <c r="C1791" i="1"/>
  <c r="C1769" i="1"/>
  <c r="C1732" i="1"/>
  <c r="C1694" i="1"/>
  <c r="C1651" i="1"/>
  <c r="C1619" i="1"/>
  <c r="C1587" i="1"/>
  <c r="C1536" i="1"/>
  <c r="C1472" i="1"/>
  <c r="C1434" i="1"/>
  <c r="C1391" i="1"/>
  <c r="C1348" i="1"/>
  <c r="C1306" i="1"/>
  <c r="C1160" i="1"/>
  <c r="C930" i="1"/>
  <c r="C785" i="1"/>
  <c r="C1554" i="1"/>
  <c r="C1522" i="1"/>
  <c r="C1490" i="1"/>
  <c r="C1458" i="1"/>
  <c r="C1401" i="1"/>
  <c r="C1337" i="1"/>
  <c r="C1280" i="1"/>
  <c r="C1248" i="1"/>
  <c r="C1185" i="1"/>
  <c r="C1135" i="1"/>
  <c r="C1093" i="1"/>
  <c r="C1050" i="1"/>
  <c r="C990" i="1"/>
  <c r="C901" i="1"/>
  <c r="C682" i="1"/>
  <c r="C578" i="1"/>
  <c r="C1674" i="1"/>
  <c r="C1658" i="1"/>
  <c r="C1642" i="1"/>
  <c r="C1626" i="1"/>
  <c r="C1610" i="1"/>
  <c r="C1594" i="1"/>
  <c r="C1578" i="1"/>
  <c r="C1562" i="1"/>
  <c r="C1535" i="1"/>
  <c r="C1503" i="1"/>
  <c r="C1471" i="1"/>
  <c r="C1443" i="1"/>
  <c r="C1422" i="1"/>
  <c r="C1400" i="1"/>
  <c r="C1379" i="1"/>
  <c r="C1358" i="1"/>
  <c r="C1336" i="1"/>
  <c r="C1315" i="1"/>
  <c r="C1294" i="1"/>
  <c r="C1212" i="1"/>
  <c r="C1124" i="1"/>
  <c r="C1002" i="1"/>
  <c r="C913" i="1"/>
  <c r="C842" i="1"/>
  <c r="C778" i="1"/>
  <c r="C606" i="1"/>
  <c r="C1553" i="1"/>
  <c r="C1521" i="1"/>
  <c r="C1489" i="1"/>
  <c r="C1457" i="1"/>
  <c r="C1405" i="1"/>
  <c r="C1341" i="1"/>
  <c r="C1287" i="1"/>
  <c r="C1255" i="1"/>
  <c r="C1193" i="1"/>
  <c r="C1134" i="1"/>
  <c r="C1091" i="1"/>
  <c r="C1049" i="1"/>
  <c r="C976" i="1"/>
  <c r="C886" i="1"/>
  <c r="C681" i="1"/>
  <c r="C542" i="1"/>
  <c r="C1757" i="1"/>
  <c r="C1741" i="1"/>
  <c r="C1725" i="1"/>
  <c r="C1709" i="1"/>
  <c r="C1693" i="1"/>
  <c r="C1677" i="1"/>
  <c r="C1661" i="1"/>
  <c r="C1645" i="1"/>
  <c r="C1629" i="1"/>
  <c r="C1613" i="1"/>
  <c r="C1597" i="1"/>
  <c r="C1581" i="1"/>
  <c r="C1565" i="1"/>
  <c r="C1543" i="1"/>
  <c r="C1511" i="1"/>
  <c r="C1479" i="1"/>
  <c r="C1447" i="1"/>
  <c r="C1426" i="1"/>
  <c r="C1404" i="1"/>
  <c r="C1383" i="1"/>
  <c r="C1362" i="1"/>
  <c r="C1340" i="1"/>
  <c r="C1319" i="1"/>
  <c r="C1298" i="1"/>
  <c r="C1220" i="1"/>
  <c r="C1144" i="1"/>
  <c r="C1026" i="1"/>
  <c r="C937" i="1"/>
  <c r="C857" i="1"/>
  <c r="C793" i="1"/>
  <c r="C630" i="1"/>
  <c r="C321" i="1"/>
  <c r="C1282" i="1"/>
  <c r="C1266" i="1"/>
  <c r="C1250" i="1"/>
  <c r="C1224" i="1"/>
  <c r="C1192" i="1"/>
  <c r="C1159" i="1"/>
  <c r="C1138" i="1"/>
  <c r="C1117" i="1"/>
  <c r="C1095" i="1"/>
  <c r="C1074" i="1"/>
  <c r="C1053" i="1"/>
  <c r="C1031" i="1"/>
  <c r="C981" i="1"/>
  <c r="C942" i="1"/>
  <c r="C904" i="1"/>
  <c r="C757" i="1"/>
  <c r="C709" i="1"/>
  <c r="C665" i="1"/>
  <c r="C586" i="1"/>
  <c r="C413" i="1"/>
  <c r="C1228" i="1"/>
  <c r="C1196" i="1"/>
  <c r="C1164" i="1"/>
  <c r="C1100" i="1"/>
  <c r="C1036" i="1"/>
  <c r="C993" i="1"/>
  <c r="C954" i="1"/>
  <c r="C916" i="1"/>
  <c r="C870" i="1"/>
  <c r="C838" i="1"/>
  <c r="C806" i="1"/>
  <c r="C774" i="1"/>
  <c r="C687" i="1"/>
  <c r="C533" i="1"/>
  <c r="C290" i="1"/>
  <c r="C34" i="1"/>
  <c r="C1277" i="1"/>
  <c r="C1261" i="1"/>
  <c r="C1245" i="1"/>
  <c r="C1218" i="1"/>
  <c r="C1186" i="1"/>
  <c r="C1158" i="1"/>
  <c r="C1137" i="1"/>
  <c r="C1115" i="1"/>
  <c r="C1094" i="1"/>
  <c r="C1073" i="1"/>
  <c r="C1051" i="1"/>
  <c r="C1030" i="1"/>
  <c r="C992" i="1"/>
  <c r="C941" i="1"/>
  <c r="C902" i="1"/>
  <c r="C756" i="1"/>
  <c r="C697" i="1"/>
  <c r="C650" i="1"/>
  <c r="C569" i="1"/>
  <c r="C380" i="1"/>
  <c r="C1222" i="1"/>
  <c r="C1190" i="1"/>
  <c r="C1152" i="1"/>
  <c r="C1088" i="1"/>
  <c r="C1017" i="1"/>
  <c r="C978" i="1"/>
  <c r="C940" i="1"/>
  <c r="C889" i="1"/>
  <c r="C861" i="1"/>
  <c r="C829" i="1"/>
  <c r="C797" i="1"/>
  <c r="C746" i="1"/>
  <c r="C675" i="1"/>
  <c r="C598" i="1"/>
  <c r="C289" i="1"/>
  <c r="C33" i="1"/>
  <c r="C741" i="1"/>
  <c r="C712" i="1"/>
  <c r="C690" i="1"/>
  <c r="C656" i="1"/>
  <c r="C617" i="1"/>
  <c r="C574" i="1"/>
  <c r="C445" i="1"/>
  <c r="C373" i="1"/>
  <c r="C864" i="1"/>
  <c r="C848" i="1"/>
  <c r="C832" i="1"/>
  <c r="C816" i="1"/>
  <c r="C800" i="1"/>
  <c r="C784" i="1"/>
  <c r="C759" i="1"/>
  <c r="C711" i="1"/>
  <c r="C636" i="1"/>
  <c r="C556" i="1"/>
  <c r="C338" i="1"/>
  <c r="C82" i="1"/>
  <c r="C726" i="1"/>
  <c r="C684" i="1"/>
  <c r="C609" i="1"/>
  <c r="C444" i="1"/>
  <c r="C1015" i="1"/>
  <c r="C983" i="1"/>
  <c r="C951" i="1"/>
  <c r="C919" i="1"/>
  <c r="C887" i="1"/>
  <c r="C855" i="1"/>
  <c r="C823" i="1"/>
  <c r="C791" i="1"/>
  <c r="C753" i="1"/>
  <c r="C653" i="1"/>
  <c r="C507" i="1"/>
  <c r="C588" i="1"/>
  <c r="C429" i="1"/>
  <c r="C516" i="1"/>
  <c r="C202" i="1"/>
  <c r="C659" i="1"/>
  <c r="C595" i="1"/>
  <c r="C453" i="1"/>
  <c r="C530" i="1"/>
  <c r="C249" i="1"/>
  <c r="C503" i="1"/>
  <c r="C1350" i="1"/>
  <c r="C1307" i="1"/>
  <c r="C1140" i="1"/>
  <c r="C906" i="1"/>
  <c r="C786" i="1"/>
  <c r="C130" i="1"/>
  <c r="C2022" i="1"/>
  <c r="C2006" i="1"/>
  <c r="C1990" i="1"/>
  <c r="C1974" i="1"/>
  <c r="C1958" i="1"/>
  <c r="C1942" i="1"/>
  <c r="C1926" i="1"/>
  <c r="C1910" i="1"/>
  <c r="C1894" i="1"/>
  <c r="C1878" i="1"/>
  <c r="C1850" i="1"/>
  <c r="C1786" i="1"/>
  <c r="C1746" i="1"/>
  <c r="C1695" i="1"/>
  <c r="C1546" i="1"/>
  <c r="C1482" i="1"/>
  <c r="C1381" i="1"/>
  <c r="C1267" i="1"/>
  <c r="C1179" i="1"/>
  <c r="C1097" i="1"/>
  <c r="C1008" i="1"/>
  <c r="C713" i="1"/>
  <c r="C364" i="1"/>
  <c r="C1849" i="1"/>
  <c r="C1828" i="1"/>
  <c r="C1807" i="1"/>
  <c r="C1785" i="1"/>
  <c r="C1764" i="1"/>
  <c r="C1726" i="1"/>
  <c r="C1675" i="1"/>
  <c r="C1643" i="1"/>
  <c r="C1611" i="1"/>
  <c r="C1579" i="1"/>
  <c r="C1527" i="1"/>
  <c r="C1463" i="1"/>
  <c r="C1423" i="1"/>
  <c r="C1380" i="1"/>
  <c r="C1338" i="1"/>
  <c r="C1295" i="1"/>
  <c r="C1096" i="1"/>
  <c r="C905" i="1"/>
  <c r="C751" i="1"/>
  <c r="C1545" i="1"/>
  <c r="C1513" i="1"/>
  <c r="C1481" i="1"/>
  <c r="C1449" i="1"/>
  <c r="C1385" i="1"/>
  <c r="C1321" i="1"/>
  <c r="C1272" i="1"/>
  <c r="C1240" i="1"/>
  <c r="C1176" i="1"/>
  <c r="C1125" i="1"/>
  <c r="C1082" i="1"/>
  <c r="C1039" i="1"/>
  <c r="C965" i="1"/>
  <c r="C888" i="1"/>
  <c r="C658" i="1"/>
  <c r="C543" i="1"/>
  <c r="C1670" i="1"/>
  <c r="C1654" i="1"/>
  <c r="C1638" i="1"/>
  <c r="C1622" i="1"/>
  <c r="C1606" i="1"/>
  <c r="C1590" i="1"/>
  <c r="C1574" i="1"/>
  <c r="C1558" i="1"/>
  <c r="C1526" i="1"/>
  <c r="C1494" i="1"/>
  <c r="C1462" i="1"/>
  <c r="C1438" i="1"/>
  <c r="C1416" i="1"/>
  <c r="C1395" i="1"/>
  <c r="C1374" i="1"/>
  <c r="C1352" i="1"/>
  <c r="C1331" i="1"/>
  <c r="C1310" i="1"/>
  <c r="C1239" i="1"/>
  <c r="C1175" i="1"/>
  <c r="C1092" i="1"/>
  <c r="C977" i="1"/>
  <c r="C900" i="1"/>
  <c r="C826" i="1"/>
  <c r="C761" i="1"/>
  <c r="C322" i="1"/>
  <c r="C1548" i="1"/>
  <c r="C1516" i="1"/>
  <c r="C1484" i="1"/>
  <c r="C1452" i="1"/>
  <c r="C1389" i="1"/>
  <c r="C1325" i="1"/>
  <c r="C1279" i="1"/>
  <c r="C1247" i="1"/>
  <c r="C1184" i="1"/>
  <c r="C1123" i="1"/>
  <c r="C1081" i="1"/>
  <c r="C1038" i="1"/>
  <c r="C950" i="1"/>
  <c r="C742" i="1"/>
  <c r="C657" i="1"/>
  <c r="C501" i="1"/>
  <c r="C1753" i="1"/>
  <c r="C1737" i="1"/>
  <c r="C1721" i="1"/>
  <c r="C1705" i="1"/>
  <c r="C1689" i="1"/>
  <c r="C1673" i="1"/>
  <c r="C1657" i="1"/>
  <c r="C1641" i="1"/>
  <c r="C1625" i="1"/>
  <c r="C1609" i="1"/>
  <c r="C1593" i="1"/>
  <c r="C1577" i="1"/>
  <c r="C1561" i="1"/>
  <c r="C1534" i="1"/>
  <c r="C1502" i="1"/>
  <c r="C1470" i="1"/>
  <c r="C1442" i="1"/>
  <c r="C1420" i="1"/>
  <c r="C1399" i="1"/>
  <c r="C1378" i="1"/>
  <c r="C1356" i="1"/>
  <c r="C1335" i="1"/>
  <c r="C1314" i="1"/>
  <c r="C1292" i="1"/>
  <c r="C1183" i="1"/>
  <c r="C1112" i="1"/>
  <c r="C1001" i="1"/>
  <c r="C924" i="1"/>
  <c r="C841" i="1"/>
  <c r="C777" i="1"/>
  <c r="C605" i="1"/>
  <c r="C193" i="1"/>
  <c r="C1278" i="1"/>
  <c r="C1262" i="1"/>
  <c r="C1246" i="1"/>
  <c r="C1219" i="1"/>
  <c r="C1187" i="1"/>
  <c r="C1154" i="1"/>
  <c r="C1133" i="1"/>
  <c r="C1111" i="1"/>
  <c r="C1090" i="1"/>
  <c r="C1069" i="1"/>
  <c r="C1047" i="1"/>
  <c r="C1013" i="1"/>
  <c r="C974" i="1"/>
  <c r="C936" i="1"/>
  <c r="C885" i="1"/>
  <c r="C748" i="1"/>
  <c r="C698" i="1"/>
  <c r="C640" i="1"/>
  <c r="C570" i="1"/>
  <c r="C381" i="1"/>
  <c r="C1223" i="1"/>
  <c r="C1191" i="1"/>
  <c r="C1148" i="1"/>
  <c r="C1084" i="1"/>
  <c r="C1025" i="1"/>
  <c r="C986" i="1"/>
  <c r="C948" i="1"/>
  <c r="C897" i="1"/>
  <c r="C862" i="1"/>
  <c r="C830" i="1"/>
  <c r="C798" i="1"/>
  <c r="C738" i="1"/>
  <c r="C652" i="1"/>
  <c r="C513" i="1"/>
  <c r="C226" i="1"/>
  <c r="C1289" i="1"/>
  <c r="C1273" i="1"/>
  <c r="C1257" i="1"/>
  <c r="C1241" i="1"/>
  <c r="C1209" i="1"/>
  <c r="C1177" i="1"/>
  <c r="C1153" i="1"/>
  <c r="C1131" i="1"/>
  <c r="C1110" i="1"/>
  <c r="C1089" i="1"/>
  <c r="C1067" i="1"/>
  <c r="C1046" i="1"/>
  <c r="C1024" i="1"/>
  <c r="C973" i="1"/>
  <c r="C934" i="1"/>
  <c r="C896" i="1"/>
  <c r="C747" i="1"/>
  <c r="C686" i="1"/>
  <c r="C625" i="1"/>
  <c r="C551" i="1"/>
  <c r="C348" i="1"/>
  <c r="C1213" i="1"/>
  <c r="C1181" i="1"/>
  <c r="C1136" i="1"/>
  <c r="C1072" i="1"/>
  <c r="C1010" i="1"/>
  <c r="C972" i="1"/>
  <c r="C921" i="1"/>
  <c r="C882" i="1"/>
  <c r="C853" i="1"/>
  <c r="C821" i="1"/>
  <c r="C789" i="1"/>
  <c r="C737" i="1"/>
  <c r="C662" i="1"/>
  <c r="C532" i="1"/>
  <c r="C225" i="1"/>
  <c r="C764" i="1"/>
  <c r="C732" i="1"/>
  <c r="C706" i="1"/>
  <c r="C685" i="1"/>
  <c r="C649" i="1"/>
  <c r="C610" i="1"/>
  <c r="C566" i="1"/>
  <c r="C420" i="1"/>
  <c r="C357" i="1"/>
  <c r="C860" i="1"/>
  <c r="C844" i="1"/>
  <c r="C828" i="1"/>
  <c r="C812" i="1"/>
  <c r="C796" i="1"/>
  <c r="C780" i="1"/>
  <c r="C754" i="1"/>
  <c r="C679" i="1"/>
  <c r="C629" i="1"/>
  <c r="C538" i="1"/>
  <c r="C274" i="1"/>
  <c r="C18" i="1"/>
  <c r="C716" i="1"/>
  <c r="C673" i="1"/>
  <c r="C589" i="1"/>
  <c r="C388" i="1"/>
  <c r="C1007" i="1"/>
  <c r="C975" i="1"/>
  <c r="C943" i="1"/>
  <c r="C911" i="1"/>
  <c r="C879" i="1"/>
  <c r="C847" i="1"/>
  <c r="C815" i="1"/>
  <c r="C783" i="1"/>
  <c r="C735" i="1"/>
  <c r="C628" i="1"/>
  <c r="C337" i="1"/>
  <c r="C572" i="1"/>
  <c r="C385" i="1"/>
  <c r="C473" i="1"/>
  <c r="C138" i="1"/>
  <c r="C643" i="1"/>
  <c r="C579" i="1"/>
  <c r="C400" i="1"/>
  <c r="C509" i="1"/>
  <c r="C185" i="1"/>
  <c r="C487" i="1"/>
  <c r="C1986" i="1"/>
  <c r="C1970" i="1"/>
  <c r="C1954" i="1"/>
  <c r="C1938" i="1"/>
  <c r="C1922" i="1"/>
  <c r="C1906" i="1"/>
  <c r="C1890" i="1"/>
  <c r="C1874" i="1"/>
  <c r="C1834" i="1"/>
  <c r="C1770" i="1"/>
  <c r="C1727" i="1"/>
  <c r="C1688" i="1"/>
  <c r="C1537" i="1"/>
  <c r="C1473" i="1"/>
  <c r="C1349" i="1"/>
  <c r="C1251" i="1"/>
  <c r="C1161" i="1"/>
  <c r="C1075" i="1"/>
  <c r="C982" i="1"/>
  <c r="C618" i="1"/>
  <c r="C1865" i="1"/>
  <c r="C1844" i="1"/>
  <c r="C1823" i="1"/>
  <c r="C1801" i="1"/>
  <c r="C1780" i="1"/>
  <c r="C1758" i="1"/>
  <c r="C1707" i="1"/>
  <c r="C1667" i="1"/>
  <c r="C1635" i="1"/>
  <c r="C1603" i="1"/>
  <c r="C1571" i="1"/>
  <c r="C1518" i="1"/>
  <c r="C1454" i="1"/>
  <c r="C1412" i="1"/>
  <c r="C1370" i="1"/>
  <c r="C1327" i="1"/>
  <c r="C1215" i="1"/>
  <c r="C1032" i="1"/>
  <c r="C849" i="1"/>
  <c r="C669" i="1"/>
  <c r="C1540" i="1"/>
  <c r="C1508" i="1"/>
  <c r="C1476" i="1"/>
  <c r="C1433" i="1"/>
  <c r="C1369" i="1"/>
  <c r="C1305" i="1"/>
  <c r="C1264" i="1"/>
  <c r="C1203" i="1"/>
  <c r="C1157" i="1"/>
  <c r="C1114" i="1"/>
  <c r="C1071" i="1"/>
  <c r="C1029" i="1"/>
  <c r="C952" i="1"/>
  <c r="C725" i="1"/>
  <c r="C633" i="1"/>
  <c r="C452" i="1"/>
  <c r="C1666" i="1"/>
  <c r="C1650" i="1"/>
  <c r="C1634" i="1"/>
  <c r="C1618" i="1"/>
  <c r="C1602" i="1"/>
  <c r="C1586" i="1"/>
  <c r="C1570" i="1"/>
  <c r="C1549" i="1"/>
  <c r="C1517" i="1"/>
  <c r="C1485" i="1"/>
  <c r="C1453" i="1"/>
  <c r="C1432" i="1"/>
  <c r="C1411" i="1"/>
  <c r="C1390" i="1"/>
  <c r="C1368" i="1"/>
  <c r="C1347" i="1"/>
  <c r="C1326" i="1"/>
  <c r="C1304" i="1"/>
  <c r="C1230" i="1"/>
  <c r="C1166" i="1"/>
  <c r="C1060" i="1"/>
  <c r="C964" i="1"/>
  <c r="C874" i="1"/>
  <c r="C810" i="1"/>
  <c r="C743" i="1"/>
  <c r="C194" i="1"/>
  <c r="C1539" i="1"/>
  <c r="C1507" i="1"/>
  <c r="C1475" i="1"/>
  <c r="C1437" i="1"/>
  <c r="C1373" i="1"/>
  <c r="C1309" i="1"/>
  <c r="C1271" i="1"/>
  <c r="C1211" i="1"/>
  <c r="C1155" i="1"/>
  <c r="C1113" i="1"/>
  <c r="C1070" i="1"/>
  <c r="C1014" i="1"/>
  <c r="C925" i="1"/>
  <c r="C724" i="1"/>
  <c r="C632" i="1"/>
  <c r="C396" i="1"/>
  <c r="C1749" i="1"/>
  <c r="C1733" i="1"/>
  <c r="C1717" i="1"/>
  <c r="C1701" i="1"/>
  <c r="C1685" i="1"/>
  <c r="C1669" i="1"/>
  <c r="C1653" i="1"/>
  <c r="C1637" i="1"/>
  <c r="C1621" i="1"/>
  <c r="C1605" i="1"/>
  <c r="C1589" i="1"/>
  <c r="C1573" i="1"/>
  <c r="C1557" i="1"/>
  <c r="C1525" i="1"/>
  <c r="C1493" i="1"/>
  <c r="C1461" i="1"/>
  <c r="C1436" i="1"/>
  <c r="C1415" i="1"/>
  <c r="C1394" i="1"/>
  <c r="C1372" i="1"/>
  <c r="C1351" i="1"/>
  <c r="C1330" i="1"/>
  <c r="C1308" i="1"/>
  <c r="C1238" i="1"/>
  <c r="C1174" i="1"/>
  <c r="C1080" i="1"/>
  <c r="C988" i="1"/>
  <c r="C898" i="1"/>
  <c r="C825" i="1"/>
  <c r="C760" i="1"/>
  <c r="C541" i="1"/>
  <c r="C65" i="1"/>
  <c r="C1274" i="1"/>
  <c r="C1258" i="1"/>
  <c r="C1242" i="1"/>
  <c r="C1210" i="1"/>
  <c r="C1178" i="1"/>
  <c r="C1149" i="1"/>
  <c r="C1127" i="1"/>
  <c r="C1106" i="1"/>
  <c r="C1085" i="1"/>
  <c r="C1063" i="1"/>
  <c r="C1042" i="1"/>
  <c r="C1006" i="1"/>
  <c r="C968" i="1"/>
  <c r="C917" i="1"/>
  <c r="C878" i="1"/>
  <c r="C739" i="1"/>
  <c r="C688" i="1"/>
  <c r="C626" i="1"/>
  <c r="C552" i="1"/>
  <c r="C349" i="1"/>
  <c r="C1214" i="1"/>
  <c r="C1182" i="1"/>
  <c r="C1132" i="1"/>
  <c r="C1068" i="1"/>
  <c r="C1018" i="1"/>
  <c r="C980" i="1"/>
  <c r="C929" i="1"/>
  <c r="C890" i="1"/>
  <c r="C854" i="1"/>
  <c r="C822" i="1"/>
  <c r="C790" i="1"/>
  <c r="C729" i="1"/>
  <c r="C638" i="1"/>
  <c r="C489" i="1"/>
  <c r="C162" i="1"/>
  <c r="C1285" i="1"/>
  <c r="C1269" i="1"/>
  <c r="C1253" i="1"/>
  <c r="C1232" i="1"/>
  <c r="C1200" i="1"/>
  <c r="C1168" i="1"/>
  <c r="C1147" i="1"/>
  <c r="C1126" i="1"/>
  <c r="C1105" i="1"/>
  <c r="C1083" i="1"/>
  <c r="C1062" i="1"/>
  <c r="C1041" i="1"/>
  <c r="C1005" i="1"/>
  <c r="C966" i="1"/>
  <c r="C928" i="1"/>
  <c r="C877" i="1"/>
  <c r="C718" i="1"/>
  <c r="C676" i="1"/>
  <c r="C600" i="1"/>
  <c r="C437" i="1"/>
  <c r="C1236" i="1"/>
  <c r="C1204" i="1"/>
  <c r="C1172" i="1"/>
  <c r="C1120" i="1"/>
  <c r="C1056" i="1"/>
  <c r="C1004" i="1"/>
  <c r="C953" i="1"/>
  <c r="C914" i="1"/>
  <c r="C876" i="1"/>
  <c r="C845" i="1"/>
  <c r="C813" i="1"/>
  <c r="C781" i="1"/>
  <c r="C728" i="1"/>
  <c r="C637" i="1"/>
  <c r="C512" i="1"/>
  <c r="C161" i="1"/>
  <c r="C755" i="1"/>
  <c r="C722" i="1"/>
  <c r="C701" i="1"/>
  <c r="C680" i="1"/>
  <c r="C642" i="1"/>
  <c r="C590" i="1"/>
  <c r="C529" i="1"/>
  <c r="C405" i="1"/>
  <c r="C872" i="1"/>
  <c r="C856" i="1"/>
  <c r="C840" i="1"/>
  <c r="C824" i="1"/>
  <c r="C808" i="1"/>
  <c r="C792" i="1"/>
  <c r="C776" i="1"/>
  <c r="C736" i="1"/>
  <c r="C668" i="1"/>
  <c r="C622" i="1"/>
  <c r="C508" i="1"/>
  <c r="C210" i="1"/>
  <c r="C758" i="1"/>
  <c r="C705" i="1"/>
  <c r="C648" i="1"/>
  <c r="C573" i="1"/>
  <c r="C356" i="1"/>
  <c r="C999" i="1"/>
  <c r="C967" i="1"/>
  <c r="C935" i="1"/>
  <c r="C903" i="1"/>
  <c r="C871" i="1"/>
  <c r="C839" i="1"/>
  <c r="C807" i="1"/>
  <c r="C775" i="1"/>
  <c r="C715" i="1"/>
  <c r="C614" i="1"/>
  <c r="C209" i="1"/>
  <c r="C545" i="1"/>
  <c r="C353" i="1"/>
  <c r="C330" i="1"/>
  <c r="C74" i="1"/>
  <c r="C627" i="1"/>
  <c r="C558" i="1"/>
  <c r="C368" i="1"/>
  <c r="C465" i="1"/>
  <c r="C121" i="1"/>
  <c r="C471" i="1"/>
  <c r="C565" i="1"/>
  <c r="C519" i="1"/>
  <c r="C432" i="1"/>
  <c r="C242" i="1"/>
  <c r="C114" i="1"/>
  <c r="C763" i="1"/>
  <c r="C731" i="1"/>
  <c r="C710" i="1"/>
  <c r="C689" i="1"/>
  <c r="C666" i="1"/>
  <c r="C616" i="1"/>
  <c r="C581" i="1"/>
  <c r="C469" i="1"/>
  <c r="C372" i="1"/>
  <c r="C1019" i="1"/>
  <c r="C1003" i="1"/>
  <c r="C987" i="1"/>
  <c r="C971" i="1"/>
  <c r="C955" i="1"/>
  <c r="C939" i="1"/>
  <c r="C923" i="1"/>
  <c r="C907" i="1"/>
  <c r="C891" i="1"/>
  <c r="C875" i="1"/>
  <c r="C859" i="1"/>
  <c r="C843" i="1"/>
  <c r="C827" i="1"/>
  <c r="C811" i="1"/>
  <c r="C795" i="1"/>
  <c r="C779" i="1"/>
  <c r="C762" i="1"/>
  <c r="C730" i="1"/>
  <c r="C660" i="1"/>
  <c r="C621" i="1"/>
  <c r="C555" i="1"/>
  <c r="C481" i="1"/>
  <c r="C305" i="1"/>
  <c r="C177" i="1"/>
  <c r="C49" i="1"/>
  <c r="C584" i="1"/>
  <c r="C568" i="1"/>
  <c r="C536" i="1"/>
  <c r="C468" i="1"/>
  <c r="C409" i="1"/>
  <c r="C377" i="1"/>
  <c r="C345" i="1"/>
  <c r="C540" i="1"/>
  <c r="C511" i="1"/>
  <c r="C448" i="1"/>
  <c r="C314" i="1"/>
  <c r="C250" i="1"/>
  <c r="C186" i="1"/>
  <c r="C122" i="1"/>
  <c r="C58" i="1"/>
  <c r="C671" i="1"/>
  <c r="C655" i="1"/>
  <c r="C639" i="1"/>
  <c r="C623" i="1"/>
  <c r="C607" i="1"/>
  <c r="C591" i="1"/>
  <c r="C575" i="1"/>
  <c r="C553" i="1"/>
  <c r="C492" i="1"/>
  <c r="C428" i="1"/>
  <c r="C392" i="1"/>
  <c r="C360" i="1"/>
  <c r="C557" i="1"/>
  <c r="C525" i="1"/>
  <c r="C504" i="1"/>
  <c r="C440" i="1"/>
  <c r="C297" i="1"/>
  <c r="C233" i="1"/>
  <c r="C169" i="1"/>
  <c r="C105" i="1"/>
  <c r="C41" i="1"/>
  <c r="C499" i="1"/>
  <c r="C483" i="1"/>
  <c r="C467" i="1"/>
  <c r="C451" i="1"/>
  <c r="C435" i="1"/>
  <c r="C419" i="1"/>
  <c r="C403" i="1"/>
  <c r="C387" i="1"/>
  <c r="C371" i="1"/>
  <c r="C355" i="1"/>
  <c r="C334" i="1"/>
  <c r="C302" i="1"/>
  <c r="C270" i="1"/>
  <c r="C238" i="1"/>
  <c r="C206" i="1"/>
  <c r="C174" i="1"/>
  <c r="C142" i="1"/>
  <c r="C110" i="1"/>
  <c r="C78" i="1"/>
  <c r="C46" i="1"/>
  <c r="C14" i="1"/>
  <c r="C514" i="1"/>
  <c r="C498" i="1"/>
  <c r="C482" i="1"/>
  <c r="C466" i="1"/>
  <c r="C450" i="1"/>
  <c r="C434" i="1"/>
  <c r="C418" i="1"/>
  <c r="C402" i="1"/>
  <c r="C386" i="1"/>
  <c r="C370" i="1"/>
  <c r="C354" i="1"/>
  <c r="C333" i="1"/>
  <c r="C301" i="1"/>
  <c r="C269" i="1"/>
  <c r="C237" i="1"/>
  <c r="C205" i="1"/>
  <c r="C173" i="1"/>
  <c r="C141" i="1"/>
  <c r="C53" i="1"/>
  <c r="C304" i="1"/>
  <c r="C240" i="1"/>
  <c r="C176" i="1"/>
  <c r="C112" i="1"/>
  <c r="C48" i="1"/>
  <c r="C327" i="1"/>
  <c r="C263" i="1"/>
  <c r="C199" i="1"/>
  <c r="C135" i="1"/>
  <c r="C71" i="1"/>
  <c r="C7" i="1"/>
  <c r="G1165" i="1"/>
  <c r="C546" i="1"/>
  <c r="C456" i="1"/>
  <c r="C273" i="1"/>
  <c r="C145" i="1"/>
  <c r="C17" i="1"/>
  <c r="C580" i="1"/>
  <c r="C559" i="1"/>
  <c r="C527" i="1"/>
  <c r="C461" i="1"/>
  <c r="C401" i="1"/>
  <c r="C369" i="1"/>
  <c r="C563" i="1"/>
  <c r="C531" i="1"/>
  <c r="C505" i="1"/>
  <c r="C441" i="1"/>
  <c r="C298" i="1"/>
  <c r="C234" i="1"/>
  <c r="C170" i="1"/>
  <c r="C106" i="1"/>
  <c r="C42" i="1"/>
  <c r="C667" i="1"/>
  <c r="C651" i="1"/>
  <c r="C635" i="1"/>
  <c r="C619" i="1"/>
  <c r="C603" i="1"/>
  <c r="C587" i="1"/>
  <c r="C571" i="1"/>
  <c r="C544" i="1"/>
  <c r="C485" i="1"/>
  <c r="C421" i="1"/>
  <c r="C384" i="1"/>
  <c r="C352" i="1"/>
  <c r="C548" i="1"/>
  <c r="C520" i="1"/>
  <c r="C497" i="1"/>
  <c r="C433" i="1"/>
  <c r="C281" i="1"/>
  <c r="C217" i="1"/>
  <c r="C153" i="1"/>
  <c r="C89" i="1"/>
  <c r="C25" i="1"/>
  <c r="C495" i="1"/>
  <c r="C479" i="1"/>
  <c r="C463" i="1"/>
  <c r="C447" i="1"/>
  <c r="C431" i="1"/>
  <c r="C415" i="1"/>
  <c r="C399" i="1"/>
  <c r="C383" i="1"/>
  <c r="C367" i="1"/>
  <c r="C351" i="1"/>
  <c r="C326" i="1"/>
  <c r="C294" i="1"/>
  <c r="C262" i="1"/>
  <c r="C230" i="1"/>
  <c r="C198" i="1"/>
  <c r="C166" i="1"/>
  <c r="C134" i="1"/>
  <c r="C102" i="1"/>
  <c r="C70" i="1"/>
  <c r="C38" i="1"/>
  <c r="C6" i="1"/>
  <c r="C510" i="1"/>
  <c r="C494" i="1"/>
  <c r="C478" i="1"/>
  <c r="C462" i="1"/>
  <c r="C446" i="1"/>
  <c r="C430" i="1"/>
  <c r="C414" i="1"/>
  <c r="C398" i="1"/>
  <c r="C382" i="1"/>
  <c r="C366" i="1"/>
  <c r="C350" i="1"/>
  <c r="C325" i="1"/>
  <c r="C293" i="1"/>
  <c r="C261" i="1"/>
  <c r="C229" i="1"/>
  <c r="C197" i="1"/>
  <c r="C165" i="1"/>
  <c r="C125" i="1"/>
  <c r="C21" i="1"/>
  <c r="C288" i="1"/>
  <c r="C224" i="1"/>
  <c r="C160" i="1"/>
  <c r="C96" i="1"/>
  <c r="C32" i="1"/>
  <c r="C311" i="1"/>
  <c r="C247" i="1"/>
  <c r="C183" i="1"/>
  <c r="C119" i="1"/>
  <c r="C55" i="1"/>
  <c r="G1297" i="1"/>
  <c r="G1030" i="1"/>
  <c r="C772" i="1"/>
  <c r="C745" i="1"/>
  <c r="C695" i="1"/>
  <c r="C654" i="1"/>
  <c r="C604" i="1"/>
  <c r="C547" i="1"/>
  <c r="C496" i="1"/>
  <c r="C306" i="1"/>
  <c r="C178" i="1"/>
  <c r="C50" i="1"/>
  <c r="C749" i="1"/>
  <c r="C721" i="1"/>
  <c r="C700" i="1"/>
  <c r="C678" i="1"/>
  <c r="C641" i="1"/>
  <c r="C602" i="1"/>
  <c r="C537" i="1"/>
  <c r="C404" i="1"/>
  <c r="C1027" i="1"/>
  <c r="C1011" i="1"/>
  <c r="C995" i="1"/>
  <c r="C979" i="1"/>
  <c r="C963" i="1"/>
  <c r="C947" i="1"/>
  <c r="C931" i="1"/>
  <c r="C915" i="1"/>
  <c r="C899" i="1"/>
  <c r="C883" i="1"/>
  <c r="C867" i="1"/>
  <c r="C851" i="1"/>
  <c r="C835" i="1"/>
  <c r="C819" i="1"/>
  <c r="C803" i="1"/>
  <c r="C787" i="1"/>
  <c r="C771" i="1"/>
  <c r="C744" i="1"/>
  <c r="C699" i="1"/>
  <c r="C646" i="1"/>
  <c r="C596" i="1"/>
  <c r="C517" i="1"/>
  <c r="C417" i="1"/>
  <c r="C241" i="1"/>
  <c r="C113" i="1"/>
  <c r="C592" i="1"/>
  <c r="C576" i="1"/>
  <c r="C550" i="1"/>
  <c r="C500" i="1"/>
  <c r="C436" i="1"/>
  <c r="C393" i="1"/>
  <c r="C361" i="1"/>
  <c r="C554" i="1"/>
  <c r="C521" i="1"/>
  <c r="C480" i="1"/>
  <c r="C416" i="1"/>
  <c r="C282" i="1"/>
  <c r="C218" i="1"/>
  <c r="C154" i="1"/>
  <c r="C90" i="1"/>
  <c r="C26" i="1"/>
  <c r="C663" i="1"/>
  <c r="C647" i="1"/>
  <c r="C631" i="1"/>
  <c r="C615" i="1"/>
  <c r="C599" i="1"/>
  <c r="C583" i="1"/>
  <c r="C567" i="1"/>
  <c r="C535" i="1"/>
  <c r="C460" i="1"/>
  <c r="C408" i="1"/>
  <c r="C376" i="1"/>
  <c r="C344" i="1"/>
  <c r="C539" i="1"/>
  <c r="C515" i="1"/>
  <c r="C472" i="1"/>
  <c r="C329" i="1"/>
  <c r="C265" i="1"/>
  <c r="C201" i="1"/>
  <c r="C137" i="1"/>
  <c r="C73" i="1"/>
  <c r="C9" i="1"/>
  <c r="C491" i="1"/>
  <c r="C475" i="1"/>
  <c r="C459" i="1"/>
  <c r="C443" i="1"/>
  <c r="C427" i="1"/>
  <c r="C411" i="1"/>
  <c r="C395" i="1"/>
  <c r="C379" i="1"/>
  <c r="C363" i="1"/>
  <c r="C347" i="1"/>
  <c r="C318" i="1"/>
  <c r="C286" i="1"/>
  <c r="C254" i="1"/>
  <c r="C222" i="1"/>
  <c r="C190" i="1"/>
  <c r="C158" i="1"/>
  <c r="C126" i="1"/>
  <c r="C94" i="1"/>
  <c r="C62" i="1"/>
  <c r="C30" i="1"/>
  <c r="C522" i="1"/>
  <c r="C506" i="1"/>
  <c r="C490" i="1"/>
  <c r="C474" i="1"/>
  <c r="C458" i="1"/>
  <c r="C442" i="1"/>
  <c r="C426" i="1"/>
  <c r="C410" i="1"/>
  <c r="C394" i="1"/>
  <c r="C378" i="1"/>
  <c r="C362" i="1"/>
  <c r="C346" i="1"/>
  <c r="C317" i="1"/>
  <c r="C285" i="1"/>
  <c r="C253" i="1"/>
  <c r="C221" i="1"/>
  <c r="C189" i="1"/>
  <c r="C157" i="1"/>
  <c r="C117" i="1"/>
  <c r="C336" i="1"/>
  <c r="C272" i="1"/>
  <c r="C208" i="1"/>
  <c r="C144" i="1"/>
  <c r="C80" i="1"/>
  <c r="C16" i="1"/>
  <c r="C295" i="1"/>
  <c r="C231" i="1"/>
  <c r="C167" i="1"/>
  <c r="C103" i="1"/>
  <c r="C39" i="1"/>
  <c r="G1169" i="1"/>
  <c r="G859" i="1"/>
  <c r="C455" i="1"/>
  <c r="C439" i="1"/>
  <c r="C423" i="1"/>
  <c r="C407" i="1"/>
  <c r="C391" i="1"/>
  <c r="C375" i="1"/>
  <c r="C359" i="1"/>
  <c r="C342" i="1"/>
  <c r="C310" i="1"/>
  <c r="C278" i="1"/>
  <c r="C246" i="1"/>
  <c r="C214" i="1"/>
  <c r="C182" i="1"/>
  <c r="C150" i="1"/>
  <c r="C118" i="1"/>
  <c r="C86" i="1"/>
  <c r="C54" i="1"/>
  <c r="C22" i="1"/>
  <c r="C518" i="1"/>
  <c r="C502" i="1"/>
  <c r="C486" i="1"/>
  <c r="C470" i="1"/>
  <c r="C454" i="1"/>
  <c r="C438" i="1"/>
  <c r="C422" i="1"/>
  <c r="C406" i="1"/>
  <c r="C390" i="1"/>
  <c r="C374" i="1"/>
  <c r="C358" i="1"/>
  <c r="C341" i="1"/>
  <c r="C309" i="1"/>
  <c r="C277" i="1"/>
  <c r="C245" i="1"/>
  <c r="C213" i="1"/>
  <c r="C181" i="1"/>
  <c r="C149" i="1"/>
  <c r="C85" i="1"/>
  <c r="C320" i="1"/>
  <c r="C256" i="1"/>
  <c r="C192" i="1"/>
  <c r="C128" i="1"/>
  <c r="C64" i="1"/>
  <c r="C343" i="1"/>
  <c r="C279" i="1"/>
  <c r="C215" i="1"/>
  <c r="C151" i="1"/>
  <c r="C87" i="1"/>
  <c r="C23" i="1"/>
  <c r="G1293" i="1"/>
  <c r="G1205" i="1"/>
  <c r="C109" i="1"/>
  <c r="C77" i="1"/>
  <c r="C45" i="1"/>
  <c r="C13" i="1"/>
  <c r="C332" i="1"/>
  <c r="C316" i="1"/>
  <c r="C300" i="1"/>
  <c r="C284" i="1"/>
  <c r="C268" i="1"/>
  <c r="C252" i="1"/>
  <c r="C236" i="1"/>
  <c r="C220" i="1"/>
  <c r="C204" i="1"/>
  <c r="C188" i="1"/>
  <c r="C172" i="1"/>
  <c r="C156" i="1"/>
  <c r="C140" i="1"/>
  <c r="C124" i="1"/>
  <c r="C108" i="1"/>
  <c r="C92" i="1"/>
  <c r="C76" i="1"/>
  <c r="C60" i="1"/>
  <c r="C44" i="1"/>
  <c r="C28" i="1"/>
  <c r="C12" i="1"/>
  <c r="C339" i="1"/>
  <c r="C323" i="1"/>
  <c r="C307" i="1"/>
  <c r="C291" i="1"/>
  <c r="C275" i="1"/>
  <c r="C259" i="1"/>
  <c r="C243" i="1"/>
  <c r="C227" i="1"/>
  <c r="C211" i="1"/>
  <c r="C195" i="1"/>
  <c r="C179" i="1"/>
  <c r="C163" i="1"/>
  <c r="C147" i="1"/>
  <c r="C131" i="1"/>
  <c r="C115" i="1"/>
  <c r="C99" i="1"/>
  <c r="C83" i="1"/>
  <c r="C67" i="1"/>
  <c r="C51" i="1"/>
  <c r="C35" i="1"/>
  <c r="C19" i="1"/>
  <c r="C3" i="1"/>
  <c r="G1253" i="1"/>
  <c r="G1145" i="1"/>
  <c r="G1273" i="1"/>
  <c r="G1141" i="1"/>
  <c r="G987" i="1"/>
  <c r="G799" i="1"/>
  <c r="G1185" i="1"/>
  <c r="G1289" i="1"/>
  <c r="G1161" i="1"/>
  <c r="G1019" i="1"/>
  <c r="G783" i="1"/>
  <c r="G1213" i="1"/>
  <c r="G1040" i="1"/>
  <c r="G1285" i="1"/>
  <c r="G1157" i="1"/>
  <c r="G1305" i="1"/>
  <c r="G1177" i="1"/>
  <c r="G1008" i="1"/>
  <c r="G831" i="1"/>
  <c r="G870" i="1"/>
  <c r="G1173" i="1"/>
  <c r="G913" i="1"/>
  <c r="G1088" i="1"/>
  <c r="G1003" i="1"/>
  <c r="G928" i="1"/>
  <c r="G839" i="1"/>
  <c r="G626" i="1"/>
  <c r="G1124" i="1"/>
  <c r="G1077" i="1"/>
  <c r="G949" i="1"/>
  <c r="G618" i="1"/>
  <c r="G1149" i="1"/>
  <c r="G1035" i="1"/>
  <c r="G939" i="1"/>
  <c r="G853" i="1"/>
  <c r="G743" i="1"/>
  <c r="G479" i="1"/>
  <c r="G1292" i="1"/>
  <c r="G1260" i="1"/>
  <c r="G1228" i="1"/>
  <c r="G1196" i="1"/>
  <c r="G1164" i="1"/>
  <c r="G1132" i="1"/>
  <c r="G1066" i="1"/>
  <c r="G1023" i="1"/>
  <c r="G980" i="1"/>
  <c r="G938" i="1"/>
  <c r="G895" i="1"/>
  <c r="G851" i="1"/>
  <c r="G790" i="1"/>
  <c r="G726" i="1"/>
  <c r="G515" i="1"/>
  <c r="G86" i="1"/>
  <c r="G719" i="1"/>
  <c r="G547" i="1"/>
  <c r="G120" i="1"/>
  <c r="G1272" i="1"/>
  <c r="G1240" i="1"/>
  <c r="G1208" i="1"/>
  <c r="G1176" i="1"/>
  <c r="G1144" i="1"/>
  <c r="G1110" i="1"/>
  <c r="G1060" i="1"/>
  <c r="G1018" i="1"/>
  <c r="G975" i="1"/>
  <c r="G932" i="1"/>
  <c r="G890" i="1"/>
  <c r="G845" i="1"/>
  <c r="G782" i="1"/>
  <c r="G718" i="1"/>
  <c r="G573" i="1"/>
  <c r="G48" i="1"/>
  <c r="G997" i="1"/>
  <c r="G574" i="1"/>
  <c r="G1107" i="1"/>
  <c r="G897" i="1"/>
  <c r="G694" i="1"/>
  <c r="G236" i="1"/>
  <c r="G969" i="1"/>
  <c r="G397" i="1"/>
  <c r="C133" i="1"/>
  <c r="C101" i="1"/>
  <c r="C69" i="1"/>
  <c r="C37" i="1"/>
  <c r="C5" i="1"/>
  <c r="C328" i="1"/>
  <c r="C312" i="1"/>
  <c r="C296" i="1"/>
  <c r="C280" i="1"/>
  <c r="C264" i="1"/>
  <c r="C248" i="1"/>
  <c r="C232" i="1"/>
  <c r="C216" i="1"/>
  <c r="C200" i="1"/>
  <c r="C184" i="1"/>
  <c r="C168" i="1"/>
  <c r="C152" i="1"/>
  <c r="C136" i="1"/>
  <c r="C120" i="1"/>
  <c r="C104" i="1"/>
  <c r="C88" i="1"/>
  <c r="C72" i="1"/>
  <c r="C56" i="1"/>
  <c r="C40" i="1"/>
  <c r="C24" i="1"/>
  <c r="C8" i="1"/>
  <c r="C335" i="1"/>
  <c r="C319" i="1"/>
  <c r="C303" i="1"/>
  <c r="C287" i="1"/>
  <c r="C271" i="1"/>
  <c r="C255" i="1"/>
  <c r="C239" i="1"/>
  <c r="C223" i="1"/>
  <c r="C207" i="1"/>
  <c r="C191" i="1"/>
  <c r="C175" i="1"/>
  <c r="C159" i="1"/>
  <c r="C143" i="1"/>
  <c r="C127" i="1"/>
  <c r="C111" i="1"/>
  <c r="C95" i="1"/>
  <c r="C79" i="1"/>
  <c r="C63" i="1"/>
  <c r="C47" i="1"/>
  <c r="C31" i="1"/>
  <c r="C15" i="1"/>
  <c r="C3484" i="1"/>
  <c r="G1233" i="1"/>
  <c r="G1073" i="1"/>
  <c r="G1229" i="1"/>
  <c r="G1111" i="1"/>
  <c r="G944" i="1"/>
  <c r="G1269" i="1"/>
  <c r="G977" i="1"/>
  <c r="G1245" i="1"/>
  <c r="G1137" i="1"/>
  <c r="G976" i="1"/>
  <c r="G663" i="1"/>
  <c r="G1193" i="1"/>
  <c r="G998" i="1"/>
  <c r="G1265" i="1"/>
  <c r="G1009" i="1"/>
  <c r="G1261" i="1"/>
  <c r="G1129" i="1"/>
  <c r="G966" i="1"/>
  <c r="G767" i="1"/>
  <c r="G1281" i="1"/>
  <c r="G1153" i="1"/>
  <c r="G586" i="1"/>
  <c r="G1067" i="1"/>
  <c r="G982" i="1"/>
  <c r="G907" i="1"/>
  <c r="G807" i="1"/>
  <c r="G387" i="1"/>
  <c r="G1115" i="1"/>
  <c r="G1045" i="1"/>
  <c r="G917" i="1"/>
  <c r="G597" i="1"/>
  <c r="G1125" i="1"/>
  <c r="G1014" i="1"/>
  <c r="G918" i="1"/>
  <c r="G823" i="1"/>
  <c r="G727" i="1"/>
  <c r="G326" i="1"/>
  <c r="G1284" i="1"/>
  <c r="G1252" i="1"/>
  <c r="G1220" i="1"/>
  <c r="G1188" i="1"/>
  <c r="G1156" i="1"/>
  <c r="G1096" i="1"/>
  <c r="G1055" i="1"/>
  <c r="G1012" i="1"/>
  <c r="G970" i="1"/>
  <c r="G927" i="1"/>
  <c r="G884" i="1"/>
  <c r="G838" i="1"/>
  <c r="G774" i="1"/>
  <c r="G710" i="1"/>
  <c r="G461" i="1"/>
  <c r="G83" i="1"/>
  <c r="G703" i="1"/>
  <c r="G460" i="1"/>
  <c r="G1296" i="1"/>
  <c r="G1264" i="1"/>
  <c r="G1232" i="1"/>
  <c r="G1200" i="1"/>
  <c r="G1168" i="1"/>
  <c r="G1136" i="1"/>
  <c r="G1101" i="1"/>
  <c r="G1050" i="1"/>
  <c r="G1007" i="1"/>
  <c r="G964" i="1"/>
  <c r="G922" i="1"/>
  <c r="G879" i="1"/>
  <c r="G830" i="1"/>
  <c r="G766" i="1"/>
  <c r="G654" i="1"/>
  <c r="G388" i="1"/>
  <c r="G1092" i="1"/>
  <c r="G965" i="1"/>
  <c r="G497" i="1"/>
  <c r="G1098" i="1"/>
  <c r="G865" i="1"/>
  <c r="G662" i="1"/>
  <c r="G1123" i="1"/>
  <c r="G905" i="1"/>
  <c r="G225" i="1"/>
  <c r="C93" i="1"/>
  <c r="C61" i="1"/>
  <c r="C29" i="1"/>
  <c r="C340" i="1"/>
  <c r="C324" i="1"/>
  <c r="C308" i="1"/>
  <c r="C292" i="1"/>
  <c r="C276" i="1"/>
  <c r="C260" i="1"/>
  <c r="C244" i="1"/>
  <c r="C228" i="1"/>
  <c r="C212" i="1"/>
  <c r="C196" i="1"/>
  <c r="C180" i="1"/>
  <c r="C164" i="1"/>
  <c r="C148" i="1"/>
  <c r="C132" i="1"/>
  <c r="C116" i="1"/>
  <c r="C100" i="1"/>
  <c r="C84" i="1"/>
  <c r="C68" i="1"/>
  <c r="C52" i="1"/>
  <c r="C36" i="1"/>
  <c r="C20" i="1"/>
  <c r="C4" i="1"/>
  <c r="C331" i="1"/>
  <c r="C315" i="1"/>
  <c r="C299" i="1"/>
  <c r="C283" i="1"/>
  <c r="C267" i="1"/>
  <c r="C251" i="1"/>
  <c r="C235" i="1"/>
  <c r="C219" i="1"/>
  <c r="C203" i="1"/>
  <c r="C187" i="1"/>
  <c r="C171" i="1"/>
  <c r="C155" i="1"/>
  <c r="C139" i="1"/>
  <c r="C123" i="1"/>
  <c r="C107" i="1"/>
  <c r="C91" i="1"/>
  <c r="C75" i="1"/>
  <c r="C59" i="1"/>
  <c r="C43" i="1"/>
  <c r="C27" i="1"/>
  <c r="C11" i="1"/>
  <c r="G2" i="1"/>
  <c r="G1189" i="1"/>
  <c r="G945" i="1"/>
  <c r="G1209" i="1"/>
  <c r="G1072" i="1"/>
  <c r="G902" i="1"/>
  <c r="G1249" i="1"/>
  <c r="G847" i="1"/>
  <c r="G1225" i="1"/>
  <c r="G1102" i="1"/>
  <c r="G934" i="1"/>
  <c r="G1277" i="1"/>
  <c r="G1120" i="1"/>
  <c r="G955" i="1"/>
  <c r="G1221" i="1"/>
  <c r="G881" i="1"/>
  <c r="G1241" i="1"/>
  <c r="G1093" i="1"/>
  <c r="G923" i="1"/>
  <c r="G617" i="1"/>
  <c r="G1237" i="1"/>
  <c r="G1121" i="1"/>
  <c r="G149" i="1"/>
  <c r="G1046" i="1"/>
  <c r="G971" i="1"/>
  <c r="G886" i="1"/>
  <c r="G759" i="1"/>
  <c r="G239" i="1"/>
  <c r="G1106" i="1"/>
  <c r="G1013" i="1"/>
  <c r="G885" i="1"/>
  <c r="G424" i="1"/>
  <c r="G1078" i="1"/>
  <c r="G992" i="1"/>
  <c r="G896" i="1"/>
  <c r="G791" i="1"/>
  <c r="G671" i="1"/>
  <c r="G118" i="1"/>
  <c r="G1276" i="1"/>
  <c r="G1244" i="1"/>
  <c r="G1212" i="1"/>
  <c r="G1180" i="1"/>
  <c r="G1148" i="1"/>
  <c r="G1087" i="1"/>
  <c r="G1044" i="1"/>
  <c r="G1002" i="1"/>
  <c r="G959" i="1"/>
  <c r="G916" i="1"/>
  <c r="G874" i="1"/>
  <c r="G822" i="1"/>
  <c r="G758" i="1"/>
  <c r="G687" i="1"/>
  <c r="G369" i="1"/>
  <c r="G751" i="1"/>
  <c r="G609" i="1"/>
  <c r="G295" i="1"/>
  <c r="G1288" i="1"/>
  <c r="G1256" i="1"/>
  <c r="G1224" i="1"/>
  <c r="G1192" i="1"/>
  <c r="G1160" i="1"/>
  <c r="G1128" i="1"/>
  <c r="G1082" i="1"/>
  <c r="G1039" i="1"/>
  <c r="G996" i="1"/>
  <c r="G954" i="1"/>
  <c r="G911" i="1"/>
  <c r="G868" i="1"/>
  <c r="G814" i="1"/>
  <c r="G750" i="1"/>
  <c r="G627" i="1"/>
  <c r="G267" i="1"/>
  <c r="G1061" i="1"/>
  <c r="G869" i="1"/>
  <c r="G351" i="1"/>
  <c r="G1025" i="1"/>
  <c r="G598" i="1"/>
  <c r="G530" i="1"/>
  <c r="G1091" i="1"/>
  <c r="G659" i="1"/>
  <c r="G70" i="1"/>
  <c r="G815" i="1"/>
  <c r="G1181" i="1"/>
  <c r="G1062" i="1"/>
  <c r="G891" i="1"/>
  <c r="G1257" i="1"/>
  <c r="G1083" i="1"/>
  <c r="G912" i="1"/>
  <c r="G1201" i="1"/>
  <c r="G296" i="1"/>
  <c r="G1197" i="1"/>
  <c r="G1051" i="1"/>
  <c r="G880" i="1"/>
  <c r="G209" i="1"/>
  <c r="G1217" i="1"/>
  <c r="G1041" i="1"/>
  <c r="G1133" i="1"/>
  <c r="G1024" i="1"/>
  <c r="G950" i="1"/>
  <c r="G864" i="1"/>
  <c r="G711" i="1"/>
  <c r="G179" i="1"/>
  <c r="G1097" i="1"/>
  <c r="G981" i="1"/>
  <c r="G645" i="1"/>
  <c r="G152" i="1"/>
  <c r="G1056" i="1"/>
  <c r="G960" i="1"/>
  <c r="G875" i="1"/>
  <c r="G775" i="1"/>
  <c r="G561" i="1"/>
  <c r="G1300" i="1"/>
  <c r="G1268" i="1"/>
  <c r="G1236" i="1"/>
  <c r="G1204" i="1"/>
  <c r="G1172" i="1"/>
  <c r="G1140" i="1"/>
  <c r="G1076" i="1"/>
  <c r="G1034" i="1"/>
  <c r="G991" i="1"/>
  <c r="G948" i="1"/>
  <c r="G906" i="1"/>
  <c r="G863" i="1"/>
  <c r="G806" i="1"/>
  <c r="G742" i="1"/>
  <c r="G559" i="1"/>
  <c r="G298" i="1"/>
  <c r="G735" i="1"/>
  <c r="G585" i="1"/>
  <c r="G208" i="1"/>
  <c r="G1280" i="1"/>
  <c r="G1248" i="1"/>
  <c r="G1216" i="1"/>
  <c r="G1184" i="1"/>
  <c r="G1152" i="1"/>
  <c r="G1119" i="1"/>
  <c r="G1071" i="1"/>
  <c r="G1028" i="1"/>
  <c r="G986" i="1"/>
  <c r="G943" i="1"/>
  <c r="G900" i="1"/>
  <c r="G858" i="1"/>
  <c r="G798" i="1"/>
  <c r="G734" i="1"/>
  <c r="G607" i="1"/>
  <c r="G119" i="1"/>
  <c r="G1029" i="1"/>
  <c r="G846" i="1"/>
  <c r="G268" i="1"/>
  <c r="G993" i="1"/>
  <c r="G531" i="1"/>
  <c r="G423" i="1"/>
  <c r="G1033" i="1"/>
  <c r="G593" i="1"/>
  <c r="G1295" i="1"/>
  <c r="G933" i="1"/>
  <c r="G679" i="1"/>
  <c r="G443" i="1"/>
  <c r="G49" i="1"/>
  <c r="G1089" i="1"/>
  <c r="G961" i="1"/>
  <c r="G854" i="1"/>
  <c r="G180" i="1"/>
  <c r="G678" i="1"/>
  <c r="G571" i="1"/>
  <c r="G496" i="1"/>
  <c r="G323" i="1"/>
  <c r="G177" i="1"/>
  <c r="G1105" i="1"/>
  <c r="G1065" i="1"/>
  <c r="G1001" i="1"/>
  <c r="G937" i="1"/>
  <c r="G873" i="1"/>
  <c r="G641" i="1"/>
  <c r="G507" i="1"/>
  <c r="G341" i="1"/>
  <c r="G136" i="1"/>
  <c r="G1307" i="1"/>
  <c r="G1287" i="1"/>
  <c r="G1271" i="1"/>
  <c r="G1255" i="1"/>
  <c r="G1239" i="1"/>
  <c r="G1223" i="1"/>
  <c r="G1207" i="1"/>
  <c r="G1191" i="1"/>
  <c r="G1175" i="1"/>
  <c r="G1159" i="1"/>
  <c r="G1143" i="1"/>
  <c r="G1127" i="1"/>
  <c r="G1095" i="1"/>
  <c r="G1070" i="1"/>
  <c r="G1048" i="1"/>
  <c r="G1027" i="1"/>
  <c r="G1006" i="1"/>
  <c r="G984" i="1"/>
  <c r="G963" i="1"/>
  <c r="G942" i="1"/>
  <c r="G920" i="1"/>
  <c r="G899" i="1"/>
  <c r="G878" i="1"/>
  <c r="G850" i="1"/>
  <c r="G819" i="1"/>
  <c r="G787" i="1"/>
  <c r="G755" i="1"/>
  <c r="G723" i="1"/>
  <c r="G691" i="1"/>
  <c r="G631" i="1"/>
  <c r="G554" i="1"/>
  <c r="G433" i="1"/>
  <c r="G253" i="1"/>
  <c r="G28" i="1"/>
  <c r="G1099" i="1"/>
  <c r="G1053" i="1"/>
  <c r="G989" i="1"/>
  <c r="G925" i="1"/>
  <c r="G861" i="1"/>
  <c r="G649" i="1"/>
  <c r="G553" i="1"/>
  <c r="G340" i="1"/>
  <c r="G102" i="1"/>
  <c r="G1290" i="1"/>
  <c r="G1274" i="1"/>
  <c r="G1258" i="1"/>
  <c r="G1242" i="1"/>
  <c r="G1226" i="1"/>
  <c r="G1210" i="1"/>
  <c r="G1194" i="1"/>
  <c r="G1178" i="1"/>
  <c r="G1162" i="1"/>
  <c r="G1146" i="1"/>
  <c r="G1130" i="1"/>
  <c r="G1103" i="1"/>
  <c r="G1074" i="1"/>
  <c r="G1052" i="1"/>
  <c r="G1031" i="1"/>
  <c r="G1010" i="1"/>
  <c r="G988" i="1"/>
  <c r="G967" i="1"/>
  <c r="G946" i="1"/>
  <c r="G924" i="1"/>
  <c r="G903" i="1"/>
  <c r="G882" i="1"/>
  <c r="G860" i="1"/>
  <c r="G818" i="1"/>
  <c r="G786" i="1"/>
  <c r="G754" i="1"/>
  <c r="G722" i="1"/>
  <c r="G690" i="1"/>
  <c r="G639" i="1"/>
  <c r="G565" i="1"/>
  <c r="G487" i="1"/>
  <c r="G339" i="1"/>
  <c r="G134" i="1"/>
  <c r="G657" i="1"/>
  <c r="G611" i="1"/>
  <c r="G590" i="1"/>
  <c r="G551" i="1"/>
  <c r="G429" i="1"/>
  <c r="G356" i="1"/>
  <c r="G231" i="1"/>
  <c r="G113" i="1"/>
  <c r="G17" i="1"/>
  <c r="G829" i="1"/>
  <c r="G813" i="1"/>
  <c r="G797" i="1"/>
  <c r="G781" i="1"/>
  <c r="G765" i="1"/>
  <c r="G749" i="1"/>
  <c r="G733" i="1"/>
  <c r="G717" i="1"/>
  <c r="G701" i="1"/>
  <c r="G685" i="1"/>
  <c r="G669" i="1"/>
  <c r="G638" i="1"/>
  <c r="G570" i="1"/>
  <c r="G535" i="1"/>
  <c r="G465" i="1"/>
  <c r="G392" i="1"/>
  <c r="G275" i="1"/>
  <c r="G186" i="1"/>
  <c r="G110" i="1"/>
  <c r="G642" i="1"/>
  <c r="G901" i="1"/>
  <c r="G635" i="1"/>
  <c r="G405" i="1"/>
  <c r="G1116" i="1"/>
  <c r="G1057" i="1"/>
  <c r="G929" i="1"/>
  <c r="G695" i="1"/>
  <c r="G702" i="1"/>
  <c r="G670" i="1"/>
  <c r="G546" i="1"/>
  <c r="G441" i="1"/>
  <c r="G266" i="1"/>
  <c r="G46" i="1"/>
  <c r="G1100" i="1"/>
  <c r="G1049" i="1"/>
  <c r="G985" i="1"/>
  <c r="G921" i="1"/>
  <c r="G857" i="1"/>
  <c r="G603" i="1"/>
  <c r="G452" i="1"/>
  <c r="G282" i="1"/>
  <c r="G103" i="1"/>
  <c r="G1299" i="1"/>
  <c r="G1283" i="1"/>
  <c r="G1267" i="1"/>
  <c r="G1251" i="1"/>
  <c r="G1235" i="1"/>
  <c r="G1219" i="1"/>
  <c r="G1203" i="1"/>
  <c r="G1187" i="1"/>
  <c r="G1171" i="1"/>
  <c r="G1155" i="1"/>
  <c r="G1139" i="1"/>
  <c r="G1118" i="1"/>
  <c r="G1086" i="1"/>
  <c r="G1064" i="1"/>
  <c r="G1043" i="1"/>
  <c r="G1022" i="1"/>
  <c r="G1000" i="1"/>
  <c r="G979" i="1"/>
  <c r="G958" i="1"/>
  <c r="G936" i="1"/>
  <c r="G915" i="1"/>
  <c r="G894" i="1"/>
  <c r="G872" i="1"/>
  <c r="G843" i="1"/>
  <c r="G811" i="1"/>
  <c r="G779" i="1"/>
  <c r="G747" i="1"/>
  <c r="G715" i="1"/>
  <c r="G683" i="1"/>
  <c r="G622" i="1"/>
  <c r="G539" i="1"/>
  <c r="G415" i="1"/>
  <c r="G194" i="1"/>
  <c r="G1122" i="1"/>
  <c r="G1090" i="1"/>
  <c r="G1037" i="1"/>
  <c r="G973" i="1"/>
  <c r="G909" i="1"/>
  <c r="G855" i="1"/>
  <c r="G602" i="1"/>
  <c r="G469" i="1"/>
  <c r="G281" i="1"/>
  <c r="G1306" i="1"/>
  <c r="G1286" i="1"/>
  <c r="G1270" i="1"/>
  <c r="G1254" i="1"/>
  <c r="G1238" i="1"/>
  <c r="G1222" i="1"/>
  <c r="G1206" i="1"/>
  <c r="G1190" i="1"/>
  <c r="G1174" i="1"/>
  <c r="G1158" i="1"/>
  <c r="G1142" i="1"/>
  <c r="G1126" i="1"/>
  <c r="G1094" i="1"/>
  <c r="G1068" i="1"/>
  <c r="G1047" i="1"/>
  <c r="G1026" i="1"/>
  <c r="G1004" i="1"/>
  <c r="G983" i="1"/>
  <c r="G962" i="1"/>
  <c r="G940" i="1"/>
  <c r="G919" i="1"/>
  <c r="G898" i="1"/>
  <c r="G876" i="1"/>
  <c r="G842" i="1"/>
  <c r="G810" i="1"/>
  <c r="G778" i="1"/>
  <c r="G746" i="1"/>
  <c r="G714" i="1"/>
  <c r="G682" i="1"/>
  <c r="G630" i="1"/>
  <c r="G538" i="1"/>
  <c r="G432" i="1"/>
  <c r="G309" i="1"/>
  <c r="G99" i="1"/>
  <c r="G643" i="1"/>
  <c r="G606" i="1"/>
  <c r="G583" i="1"/>
  <c r="G493" i="1"/>
  <c r="G420" i="1"/>
  <c r="G347" i="1"/>
  <c r="G217" i="1"/>
  <c r="G94" i="1"/>
  <c r="G841" i="1"/>
  <c r="G825" i="1"/>
  <c r="G809" i="1"/>
  <c r="G793" i="1"/>
  <c r="G777" i="1"/>
  <c r="G761" i="1"/>
  <c r="G745" i="1"/>
  <c r="G729" i="1"/>
  <c r="G713" i="1"/>
  <c r="G697" i="1"/>
  <c r="G681" i="1"/>
  <c r="G665" i="1"/>
  <c r="G629" i="1"/>
  <c r="G563" i="1"/>
  <c r="G527" i="1"/>
  <c r="G456" i="1"/>
  <c r="G383" i="1"/>
  <c r="G259" i="1"/>
  <c r="G172" i="1"/>
  <c r="G77" i="1"/>
  <c r="G633" i="1"/>
  <c r="G1279" i="1"/>
  <c r="G1263" i="1"/>
  <c r="G1247" i="1"/>
  <c r="G1231" i="1"/>
  <c r="G1215" i="1"/>
  <c r="G1199" i="1"/>
  <c r="G1183" i="1"/>
  <c r="G1167" i="1"/>
  <c r="G1151" i="1"/>
  <c r="G1135" i="1"/>
  <c r="G1109" i="1"/>
  <c r="G1080" i="1"/>
  <c r="G1059" i="1"/>
  <c r="G1038" i="1"/>
  <c r="G1016" i="1"/>
  <c r="G995" i="1"/>
  <c r="G974" i="1"/>
  <c r="G952" i="1"/>
  <c r="G931" i="1"/>
  <c r="G910" i="1"/>
  <c r="G888" i="1"/>
  <c r="G867" i="1"/>
  <c r="G835" i="1"/>
  <c r="G803" i="1"/>
  <c r="G771" i="1"/>
  <c r="G739" i="1"/>
  <c r="G707" i="1"/>
  <c r="G675" i="1"/>
  <c r="G613" i="1"/>
  <c r="G523" i="1"/>
  <c r="G360" i="1"/>
  <c r="G135" i="1"/>
  <c r="G1113" i="1"/>
  <c r="G1085" i="1"/>
  <c r="G1021" i="1"/>
  <c r="G957" i="1"/>
  <c r="G893" i="1"/>
  <c r="G849" i="1"/>
  <c r="G591" i="1"/>
  <c r="G451" i="1"/>
  <c r="G222" i="1"/>
  <c r="G1298" i="1"/>
  <c r="G1282" i="1"/>
  <c r="G1266" i="1"/>
  <c r="G1250" i="1"/>
  <c r="G1234" i="1"/>
  <c r="G1218" i="1"/>
  <c r="G1202" i="1"/>
  <c r="G1186" i="1"/>
  <c r="G1170" i="1"/>
  <c r="G1154" i="1"/>
  <c r="G1138" i="1"/>
  <c r="G1117" i="1"/>
  <c r="G1084" i="1"/>
  <c r="G1063" i="1"/>
  <c r="G1042" i="1"/>
  <c r="G1020" i="1"/>
  <c r="G999" i="1"/>
  <c r="G978" i="1"/>
  <c r="G956" i="1"/>
  <c r="G935" i="1"/>
  <c r="G914" i="1"/>
  <c r="G892" i="1"/>
  <c r="G871" i="1"/>
  <c r="G834" i="1"/>
  <c r="G802" i="1"/>
  <c r="G770" i="1"/>
  <c r="G738" i="1"/>
  <c r="G706" i="1"/>
  <c r="G674" i="1"/>
  <c r="G621" i="1"/>
  <c r="G522" i="1"/>
  <c r="G377" i="1"/>
  <c r="G250" i="1"/>
  <c r="G66" i="1"/>
  <c r="G634" i="1"/>
  <c r="G601" i="1"/>
  <c r="G577" i="1"/>
  <c r="G484" i="1"/>
  <c r="G411" i="1"/>
  <c r="G290" i="1"/>
  <c r="G158" i="1"/>
  <c r="G60" i="1"/>
  <c r="G837" i="1"/>
  <c r="G821" i="1"/>
  <c r="G805" i="1"/>
  <c r="G789" i="1"/>
  <c r="G773" i="1"/>
  <c r="G757" i="1"/>
  <c r="G741" i="1"/>
  <c r="G725" i="1"/>
  <c r="G709" i="1"/>
  <c r="G693" i="1"/>
  <c r="G677" i="1"/>
  <c r="G661" i="1"/>
  <c r="G615" i="1"/>
  <c r="G557" i="1"/>
  <c r="G519" i="1"/>
  <c r="G447" i="1"/>
  <c r="G318" i="1"/>
  <c r="G245" i="1"/>
  <c r="G143" i="1"/>
  <c r="G16" i="1"/>
  <c r="G619" i="1"/>
  <c r="G686" i="1"/>
  <c r="G653" i="1"/>
  <c r="G514" i="1"/>
  <c r="G368" i="1"/>
  <c r="G207" i="1"/>
  <c r="G1114" i="1"/>
  <c r="G1081" i="1"/>
  <c r="G1017" i="1"/>
  <c r="G953" i="1"/>
  <c r="G889" i="1"/>
  <c r="G650" i="1"/>
  <c r="G567" i="1"/>
  <c r="G379" i="1"/>
  <c r="G166" i="1"/>
  <c r="G29" i="1"/>
  <c r="G1291" i="1"/>
  <c r="G1275" i="1"/>
  <c r="G1259" i="1"/>
  <c r="G1243" i="1"/>
  <c r="G1227" i="1"/>
  <c r="G1211" i="1"/>
  <c r="G1195" i="1"/>
  <c r="G1179" i="1"/>
  <c r="G1163" i="1"/>
  <c r="G1147" i="1"/>
  <c r="G1131" i="1"/>
  <c r="G1104" i="1"/>
  <c r="G1075" i="1"/>
  <c r="G1054" i="1"/>
  <c r="G1032" i="1"/>
  <c r="G1011" i="1"/>
  <c r="G990" i="1"/>
  <c r="G968" i="1"/>
  <c r="G947" i="1"/>
  <c r="G926" i="1"/>
  <c r="G904" i="1"/>
  <c r="G883" i="1"/>
  <c r="G862" i="1"/>
  <c r="G827" i="1"/>
  <c r="G795" i="1"/>
  <c r="G763" i="1"/>
  <c r="G731" i="1"/>
  <c r="G699" i="1"/>
  <c r="G667" i="1"/>
  <c r="G579" i="1"/>
  <c r="G488" i="1"/>
  <c r="G312" i="1"/>
  <c r="G67" i="1"/>
  <c r="G1108" i="1"/>
  <c r="G1069" i="1"/>
  <c r="G1005" i="1"/>
  <c r="G941" i="1"/>
  <c r="G877" i="1"/>
  <c r="G658" i="1"/>
  <c r="G566" i="1"/>
  <c r="G396" i="1"/>
  <c r="G163" i="1"/>
  <c r="G1294" i="1"/>
  <c r="G1278" i="1"/>
  <c r="G1262" i="1"/>
  <c r="G1246" i="1"/>
  <c r="G1230" i="1"/>
  <c r="G1214" i="1"/>
  <c r="G1198" i="1"/>
  <c r="G1182" i="1"/>
  <c r="G1166" i="1"/>
  <c r="G1150" i="1"/>
  <c r="G1134" i="1"/>
  <c r="G1112" i="1"/>
  <c r="G1079" i="1"/>
  <c r="G1058" i="1"/>
  <c r="G1036" i="1"/>
  <c r="G1015" i="1"/>
  <c r="G994" i="1"/>
  <c r="G972" i="1"/>
  <c r="G951" i="1"/>
  <c r="G930" i="1"/>
  <c r="G908" i="1"/>
  <c r="G887" i="1"/>
  <c r="G866" i="1"/>
  <c r="G826" i="1"/>
  <c r="G794" i="1"/>
  <c r="G762" i="1"/>
  <c r="G730" i="1"/>
  <c r="G698" i="1"/>
  <c r="G666" i="1"/>
  <c r="G578" i="1"/>
  <c r="G505" i="1"/>
  <c r="G359" i="1"/>
  <c r="G193" i="1"/>
  <c r="G26" i="1"/>
  <c r="G625" i="1"/>
  <c r="G595" i="1"/>
  <c r="G558" i="1"/>
  <c r="G475" i="1"/>
  <c r="G365" i="1"/>
  <c r="G276" i="1"/>
  <c r="G144" i="1"/>
  <c r="G40" i="1"/>
  <c r="G833" i="1"/>
  <c r="G817" i="1"/>
  <c r="G801" i="1"/>
  <c r="G785" i="1"/>
  <c r="G769" i="1"/>
  <c r="G753" i="1"/>
  <c r="G737" i="1"/>
  <c r="G721" i="1"/>
  <c r="G705" i="1"/>
  <c r="G689" i="1"/>
  <c r="G673" i="1"/>
  <c r="G647" i="1"/>
  <c r="G589" i="1"/>
  <c r="G543" i="1"/>
  <c r="G511" i="1"/>
  <c r="G401" i="1"/>
  <c r="G304" i="1"/>
  <c r="G202" i="1"/>
  <c r="G129" i="1"/>
  <c r="G651" i="1"/>
  <c r="G610" i="1"/>
  <c r="G605" i="1"/>
  <c r="G575" i="1"/>
  <c r="G492" i="1"/>
  <c r="G419" i="1"/>
  <c r="G332" i="1"/>
  <c r="G230" i="1"/>
  <c r="G157" i="1"/>
  <c r="G58" i="1"/>
  <c r="G848" i="1"/>
  <c r="G832" i="1"/>
  <c r="G816" i="1"/>
  <c r="G800" i="1"/>
  <c r="G784" i="1"/>
  <c r="G768" i="1"/>
  <c r="G752" i="1"/>
  <c r="G736" i="1"/>
  <c r="G720" i="1"/>
  <c r="G704" i="1"/>
  <c r="G688" i="1"/>
  <c r="G672" i="1"/>
  <c r="G646" i="1"/>
  <c r="G587" i="1"/>
  <c r="G549" i="1"/>
  <c r="G518" i="1"/>
  <c r="G409" i="1"/>
  <c r="G331" i="1"/>
  <c r="G199" i="1"/>
  <c r="G75" i="1"/>
  <c r="G491" i="1"/>
  <c r="G445" i="1"/>
  <c r="G404" i="1"/>
  <c r="G363" i="1"/>
  <c r="G286" i="1"/>
  <c r="G243" i="1"/>
  <c r="G213" i="1"/>
  <c r="G148" i="1"/>
  <c r="G108" i="1"/>
  <c r="G54" i="1"/>
  <c r="G541" i="1"/>
  <c r="G525" i="1"/>
  <c r="G504" i="1"/>
  <c r="G463" i="1"/>
  <c r="G417" i="1"/>
  <c r="G376" i="1"/>
  <c r="G330" i="1"/>
  <c r="G300" i="1"/>
  <c r="G249" i="1"/>
  <c r="G184" i="1"/>
  <c r="G139" i="1"/>
  <c r="G98" i="1"/>
  <c r="G42" i="1"/>
  <c r="G485" i="1"/>
  <c r="G444" i="1"/>
  <c r="G403" i="1"/>
  <c r="G357" i="1"/>
  <c r="G307" i="1"/>
  <c r="G277" i="1"/>
  <c r="G212" i="1"/>
  <c r="G161" i="1"/>
  <c r="G114" i="1"/>
  <c r="G71" i="1"/>
  <c r="G660" i="1"/>
  <c r="G644" i="1"/>
  <c r="G628" i="1"/>
  <c r="G612" i="1"/>
  <c r="G596" i="1"/>
  <c r="G580" i="1"/>
  <c r="G564" i="1"/>
  <c r="G548" i="1"/>
  <c r="G532" i="1"/>
  <c r="G516" i="1"/>
  <c r="G480" i="1"/>
  <c r="G439" i="1"/>
  <c r="G393" i="1"/>
  <c r="G352" i="1"/>
  <c r="G313" i="1"/>
  <c r="G248" i="1"/>
  <c r="G203" i="1"/>
  <c r="G138" i="1"/>
  <c r="G97" i="1"/>
  <c r="G52" i="1"/>
  <c r="G20" i="1"/>
  <c r="G316" i="1"/>
  <c r="G284" i="1"/>
  <c r="G252" i="1"/>
  <c r="G220" i="1"/>
  <c r="G188" i="1"/>
  <c r="G156" i="1"/>
  <c r="G128" i="1"/>
  <c r="G64" i="1"/>
  <c r="G13" i="1"/>
  <c r="G320" i="1"/>
  <c r="G288" i="1"/>
  <c r="G256" i="1"/>
  <c r="G224" i="1"/>
  <c r="G192" i="1"/>
  <c r="G160" i="1"/>
  <c r="G127" i="1"/>
  <c r="G106" i="1"/>
  <c r="G85" i="1"/>
  <c r="G57" i="1"/>
  <c r="G18" i="1"/>
  <c r="G502" i="1"/>
  <c r="G486" i="1"/>
  <c r="G470" i="1"/>
  <c r="G454" i="1"/>
  <c r="G438" i="1"/>
  <c r="G422" i="1"/>
  <c r="G406" i="1"/>
  <c r="G390" i="1"/>
  <c r="G374" i="1"/>
  <c r="G358" i="1"/>
  <c r="G342" i="1"/>
  <c r="G310" i="1"/>
  <c r="G278" i="1"/>
  <c r="G246" i="1"/>
  <c r="G214" i="1"/>
  <c r="G182" i="1"/>
  <c r="G150" i="1"/>
  <c r="G100" i="1"/>
  <c r="G56" i="1"/>
  <c r="G5" i="1"/>
  <c r="G55" i="1"/>
  <c r="G39" i="1"/>
  <c r="G23" i="1"/>
  <c r="G7" i="1"/>
  <c r="G1302" i="1"/>
  <c r="G599" i="1"/>
  <c r="G569" i="1"/>
  <c r="G483" i="1"/>
  <c r="G373" i="1"/>
  <c r="G303" i="1"/>
  <c r="G216" i="1"/>
  <c r="G126" i="1"/>
  <c r="G36" i="1"/>
  <c r="G844" i="1"/>
  <c r="G828" i="1"/>
  <c r="G812" i="1"/>
  <c r="G796" i="1"/>
  <c r="G780" i="1"/>
  <c r="G764" i="1"/>
  <c r="G748" i="1"/>
  <c r="G732" i="1"/>
  <c r="G716" i="1"/>
  <c r="G700" i="1"/>
  <c r="G684" i="1"/>
  <c r="G668" i="1"/>
  <c r="G637" i="1"/>
  <c r="G581" i="1"/>
  <c r="G542" i="1"/>
  <c r="G473" i="1"/>
  <c r="G400" i="1"/>
  <c r="G317" i="1"/>
  <c r="G185" i="1"/>
  <c r="G14" i="1"/>
  <c r="G477" i="1"/>
  <c r="G436" i="1"/>
  <c r="G395" i="1"/>
  <c r="G349" i="1"/>
  <c r="G280" i="1"/>
  <c r="G235" i="1"/>
  <c r="G170" i="1"/>
  <c r="G140" i="1"/>
  <c r="G91" i="1"/>
  <c r="G34" i="1"/>
  <c r="G537" i="1"/>
  <c r="G521" i="1"/>
  <c r="G495" i="1"/>
  <c r="G449" i="1"/>
  <c r="G408" i="1"/>
  <c r="G367" i="1"/>
  <c r="G322" i="1"/>
  <c r="G271" i="1"/>
  <c r="G241" i="1"/>
  <c r="G176" i="1"/>
  <c r="G131" i="1"/>
  <c r="G89" i="1"/>
  <c r="G22" i="1"/>
  <c r="G476" i="1"/>
  <c r="G435" i="1"/>
  <c r="G389" i="1"/>
  <c r="G348" i="1"/>
  <c r="G299" i="1"/>
  <c r="G234" i="1"/>
  <c r="G204" i="1"/>
  <c r="G153" i="1"/>
  <c r="G105" i="1"/>
  <c r="G53" i="1"/>
  <c r="G656" i="1"/>
  <c r="G640" i="1"/>
  <c r="G624" i="1"/>
  <c r="G608" i="1"/>
  <c r="G592" i="1"/>
  <c r="G576" i="1"/>
  <c r="G560" i="1"/>
  <c r="G544" i="1"/>
  <c r="G528" i="1"/>
  <c r="G512" i="1"/>
  <c r="G471" i="1"/>
  <c r="G425" i="1"/>
  <c r="G384" i="1"/>
  <c r="G335" i="1"/>
  <c r="G305" i="1"/>
  <c r="G240" i="1"/>
  <c r="G195" i="1"/>
  <c r="G130" i="1"/>
  <c r="G87" i="1"/>
  <c r="G41" i="1"/>
  <c r="G343" i="1"/>
  <c r="G311" i="1"/>
  <c r="G279" i="1"/>
  <c r="G247" i="1"/>
  <c r="G215" i="1"/>
  <c r="G183" i="1"/>
  <c r="G151" i="1"/>
  <c r="G112" i="1"/>
  <c r="G45" i="1"/>
  <c r="G6" i="1"/>
  <c r="G315" i="1"/>
  <c r="G283" i="1"/>
  <c r="G251" i="1"/>
  <c r="G219" i="1"/>
  <c r="G187" i="1"/>
  <c r="G155" i="1"/>
  <c r="G122" i="1"/>
  <c r="G101" i="1"/>
  <c r="G79" i="1"/>
  <c r="G50" i="1"/>
  <c r="G12" i="1"/>
  <c r="G498" i="1"/>
  <c r="G482" i="1"/>
  <c r="G466" i="1"/>
  <c r="G450" i="1"/>
  <c r="G434" i="1"/>
  <c r="G418" i="1"/>
  <c r="G402" i="1"/>
  <c r="G386" i="1"/>
  <c r="G370" i="1"/>
  <c r="G354" i="1"/>
  <c r="G333" i="1"/>
  <c r="G301" i="1"/>
  <c r="G269" i="1"/>
  <c r="G237" i="1"/>
  <c r="G205" i="1"/>
  <c r="G173" i="1"/>
  <c r="G141" i="1"/>
  <c r="G84" i="1"/>
  <c r="G37" i="1"/>
  <c r="G4" i="1"/>
  <c r="G51" i="1"/>
  <c r="G35" i="1"/>
  <c r="G19" i="1"/>
  <c r="G3" i="1"/>
  <c r="G1301" i="1"/>
  <c r="G594" i="1"/>
  <c r="G550" i="1"/>
  <c r="G437" i="1"/>
  <c r="G364" i="1"/>
  <c r="G289" i="1"/>
  <c r="G200" i="1"/>
  <c r="G93" i="1"/>
  <c r="G856" i="1"/>
  <c r="G840" i="1"/>
  <c r="G824" i="1"/>
  <c r="G808" i="1"/>
  <c r="G792" i="1"/>
  <c r="G776" i="1"/>
  <c r="G760" i="1"/>
  <c r="G744" i="1"/>
  <c r="G728" i="1"/>
  <c r="G712" i="1"/>
  <c r="G696" i="1"/>
  <c r="G680" i="1"/>
  <c r="G664" i="1"/>
  <c r="G623" i="1"/>
  <c r="G562" i="1"/>
  <c r="G534" i="1"/>
  <c r="G464" i="1"/>
  <c r="G391" i="1"/>
  <c r="G258" i="1"/>
  <c r="G109" i="1"/>
  <c r="G509" i="1"/>
  <c r="G468" i="1"/>
  <c r="G427" i="1"/>
  <c r="G381" i="1"/>
  <c r="G337" i="1"/>
  <c r="G272" i="1"/>
  <c r="G227" i="1"/>
  <c r="G162" i="1"/>
  <c r="G125" i="1"/>
  <c r="G82" i="1"/>
  <c r="G10" i="1"/>
  <c r="G533" i="1"/>
  <c r="G517" i="1"/>
  <c r="G481" i="1"/>
  <c r="G440" i="1"/>
  <c r="G399" i="1"/>
  <c r="G353" i="1"/>
  <c r="G314" i="1"/>
  <c r="G263" i="1"/>
  <c r="G198" i="1"/>
  <c r="G168" i="1"/>
  <c r="G124" i="1"/>
  <c r="G72" i="1"/>
  <c r="G508" i="1"/>
  <c r="G467" i="1"/>
  <c r="G421" i="1"/>
  <c r="G380" i="1"/>
  <c r="G336" i="1"/>
  <c r="G291" i="1"/>
  <c r="G226" i="1"/>
  <c r="G175" i="1"/>
  <c r="G145" i="1"/>
  <c r="G88" i="1"/>
  <c r="G33" i="1"/>
  <c r="G652" i="1"/>
  <c r="G636" i="1"/>
  <c r="G620" i="1"/>
  <c r="G604" i="1"/>
  <c r="G588" i="1"/>
  <c r="G572" i="1"/>
  <c r="G556" i="1"/>
  <c r="G540" i="1"/>
  <c r="G524" i="1"/>
  <c r="G503" i="1"/>
  <c r="G457" i="1"/>
  <c r="G416" i="1"/>
  <c r="G375" i="1"/>
  <c r="G327" i="1"/>
  <c r="G262" i="1"/>
  <c r="G232" i="1"/>
  <c r="G189" i="1"/>
  <c r="G121" i="1"/>
  <c r="G78" i="1"/>
  <c r="G21" i="1"/>
  <c r="G334" i="1"/>
  <c r="G302" i="1"/>
  <c r="G270" i="1"/>
  <c r="G238" i="1"/>
  <c r="G206" i="1"/>
  <c r="G174" i="1"/>
  <c r="G142" i="1"/>
  <c r="G96" i="1"/>
  <c r="G38" i="1"/>
  <c r="G338" i="1"/>
  <c r="G306" i="1"/>
  <c r="G274" i="1"/>
  <c r="G242" i="1"/>
  <c r="G210" i="1"/>
  <c r="G178" i="1"/>
  <c r="G146" i="1"/>
  <c r="G117" i="1"/>
  <c r="G95" i="1"/>
  <c r="G74" i="1"/>
  <c r="G44" i="1"/>
  <c r="G510" i="1"/>
  <c r="G494" i="1"/>
  <c r="G478" i="1"/>
  <c r="G462" i="1"/>
  <c r="G446" i="1"/>
  <c r="G430" i="1"/>
  <c r="G414" i="1"/>
  <c r="G398" i="1"/>
  <c r="G382" i="1"/>
  <c r="G366" i="1"/>
  <c r="G350" i="1"/>
  <c r="G324" i="1"/>
  <c r="G292" i="1"/>
  <c r="G260" i="1"/>
  <c r="G228" i="1"/>
  <c r="G196" i="1"/>
  <c r="G164" i="1"/>
  <c r="G132" i="1"/>
  <c r="G68" i="1"/>
  <c r="G30" i="1"/>
  <c r="G63" i="1"/>
  <c r="G47" i="1"/>
  <c r="G31" i="1"/>
  <c r="G15" i="1"/>
  <c r="G1304" i="1"/>
  <c r="G582" i="1"/>
  <c r="G501" i="1"/>
  <c r="G428" i="1"/>
  <c r="G355" i="1"/>
  <c r="G273" i="1"/>
  <c r="G171" i="1"/>
  <c r="G76" i="1"/>
  <c r="G852" i="1"/>
  <c r="G836" i="1"/>
  <c r="G820" i="1"/>
  <c r="G804" i="1"/>
  <c r="G788" i="1"/>
  <c r="G772" i="1"/>
  <c r="G756" i="1"/>
  <c r="G740" i="1"/>
  <c r="G724" i="1"/>
  <c r="G708" i="1"/>
  <c r="G692" i="1"/>
  <c r="G676" i="1"/>
  <c r="G655" i="1"/>
  <c r="G614" i="1"/>
  <c r="G555" i="1"/>
  <c r="G526" i="1"/>
  <c r="G455" i="1"/>
  <c r="G345" i="1"/>
  <c r="G244" i="1"/>
  <c r="G92" i="1"/>
  <c r="G500" i="1"/>
  <c r="G459" i="1"/>
  <c r="G413" i="1"/>
  <c r="G372" i="1"/>
  <c r="G294" i="1"/>
  <c r="G264" i="1"/>
  <c r="G221" i="1"/>
  <c r="G154" i="1"/>
  <c r="G115" i="1"/>
  <c r="G73" i="1"/>
  <c r="G545" i="1"/>
  <c r="G529" i="1"/>
  <c r="G513" i="1"/>
  <c r="G472" i="1"/>
  <c r="G431" i="1"/>
  <c r="G385" i="1"/>
  <c r="G344" i="1"/>
  <c r="G308" i="1"/>
  <c r="G257" i="1"/>
  <c r="G190" i="1"/>
  <c r="G147" i="1"/>
  <c r="G107" i="1"/>
  <c r="G65" i="1"/>
  <c r="G499" i="1"/>
  <c r="G453" i="1"/>
  <c r="G412" i="1"/>
  <c r="G371" i="1"/>
  <c r="G328" i="1"/>
  <c r="G285" i="1"/>
  <c r="G218" i="1"/>
  <c r="G167" i="1"/>
  <c r="G123" i="1"/>
  <c r="G81" i="1"/>
  <c r="G9" i="1"/>
  <c r="G648" i="1"/>
  <c r="G632" i="1"/>
  <c r="G616" i="1"/>
  <c r="G600" i="1"/>
  <c r="G584" i="1"/>
  <c r="G568" i="1"/>
  <c r="G552" i="1"/>
  <c r="G536" i="1"/>
  <c r="G520" i="1"/>
  <c r="G489" i="1"/>
  <c r="G448" i="1"/>
  <c r="G407" i="1"/>
  <c r="G361" i="1"/>
  <c r="G321" i="1"/>
  <c r="G254" i="1"/>
  <c r="G211" i="1"/>
  <c r="G181" i="1"/>
  <c r="G104" i="1"/>
  <c r="G61" i="1"/>
  <c r="G8" i="1"/>
  <c r="G325" i="1"/>
  <c r="G293" i="1"/>
  <c r="G261" i="1"/>
  <c r="G229" i="1"/>
  <c r="G197" i="1"/>
  <c r="G165" i="1"/>
  <c r="G133" i="1"/>
  <c r="G80" i="1"/>
  <c r="G32" i="1"/>
  <c r="G329" i="1"/>
  <c r="G297" i="1"/>
  <c r="G265" i="1"/>
  <c r="G233" i="1"/>
  <c r="G201" i="1"/>
  <c r="G169" i="1"/>
  <c r="G137" i="1"/>
  <c r="G111" i="1"/>
  <c r="G90" i="1"/>
  <c r="G69" i="1"/>
  <c r="G25" i="1"/>
  <c r="G506" i="1"/>
  <c r="G490" i="1"/>
  <c r="G474" i="1"/>
  <c r="G458" i="1"/>
  <c r="G442" i="1"/>
  <c r="G426" i="1"/>
  <c r="G410" i="1"/>
  <c r="G394" i="1"/>
  <c r="G378" i="1"/>
  <c r="G362" i="1"/>
  <c r="G346" i="1"/>
  <c r="G319" i="1"/>
  <c r="G287" i="1"/>
  <c r="G255" i="1"/>
  <c r="G223" i="1"/>
  <c r="G191" i="1"/>
  <c r="G159" i="1"/>
  <c r="G116" i="1"/>
  <c r="G62" i="1"/>
  <c r="G24" i="1"/>
  <c r="G59" i="1"/>
  <c r="G43" i="1"/>
  <c r="G27" i="1"/>
  <c r="G11" i="1"/>
  <c r="G1303" i="1"/>
  <c r="C2" i="1"/>
  <c r="K3248" i="1" a="1"/>
  <c r="K3356" i="1" a="1"/>
  <c r="K3412" i="1" a="1"/>
  <c r="K2560" i="1" a="1"/>
  <c r="K2924" i="1" a="1"/>
  <c r="K2719" i="1" a="1"/>
  <c r="K3052" i="1" a="1"/>
  <c r="K3116" i="1" a="1"/>
  <c r="K2743" i="1" a="1"/>
  <c r="K3025" i="1" a="1"/>
  <c r="K3471" i="1" a="1"/>
  <c r="K2839" i="1" a="1"/>
  <c r="K3496" i="1" a="1"/>
  <c r="K2957" i="1" a="1"/>
  <c r="K1838" i="1" a="1"/>
  <c r="K3228" i="1" a="1"/>
  <c r="K3037" i="1" a="1"/>
  <c r="K1925" i="1" a="1"/>
  <c r="K3239" i="1" a="1"/>
  <c r="K2431" i="1" a="1"/>
  <c r="K3079" i="1" a="1"/>
  <c r="K2273" i="1" a="1"/>
  <c r="K3312" i="1" a="1"/>
  <c r="K2584" i="1" a="1"/>
  <c r="K3360" i="1" a="1"/>
  <c r="K2671" i="1" a="1"/>
  <c r="K3276" i="1" a="1"/>
  <c r="K2447" i="1" a="1"/>
  <c r="K3090" i="1" a="1"/>
  <c r="K1505" i="1" a="1"/>
  <c r="K3262" i="1" a="1"/>
  <c r="K2391" i="1" a="1"/>
  <c r="K3478" i="1" a="1"/>
  <c r="K3350" i="1" a="1"/>
  <c r="K3045" i="1" a="1"/>
  <c r="K2660" i="1" a="1"/>
  <c r="K2404" i="1" a="1"/>
  <c r="K1524" i="1" a="1"/>
  <c r="K2902" i="1" a="1"/>
  <c r="K3119" i="1" a="1"/>
  <c r="K2948" i="1" a="1"/>
  <c r="K2323" i="1" a="1"/>
  <c r="K1624" i="1" a="1"/>
  <c r="K2896" i="1" a="1"/>
  <c r="K2193" i="1" a="1"/>
  <c r="K769" i="1" a="1"/>
  <c r="K2909" i="1" a="1"/>
  <c r="K3432" i="1" a="1"/>
  <c r="K2736" i="1" a="1"/>
  <c r="K3460" i="1" a="1"/>
  <c r="K2871" i="1" a="1"/>
  <c r="K1345" i="1" a="1"/>
  <c r="K3185" i="1" a="1"/>
  <c r="K2929" i="1" a="1"/>
  <c r="K1344" i="1" a="1"/>
  <c r="K3149" i="1" a="1"/>
  <c r="K2184" i="1" a="1"/>
  <c r="K3031" i="1" a="1"/>
  <c r="K2110" i="1" a="1"/>
  <c r="K3284" i="1" a="1"/>
  <c r="K2319" i="1" a="1"/>
  <c r="K3336" i="1" a="1"/>
  <c r="K2543" i="1" a="1"/>
  <c r="K2893" i="1" a="1"/>
  <c r="K2424" i="1" a="1"/>
  <c r="K1608" i="1" a="1"/>
  <c r="K3063" i="1" a="1"/>
  <c r="K2639" i="1" a="1"/>
  <c r="K2066" i="1" a="1"/>
  <c r="K3233" i="1" a="1"/>
  <c r="K2792" i="1" a="1"/>
  <c r="K2088" i="1" a="1"/>
  <c r="K3459" i="1" a="1"/>
  <c r="K3331" i="1" a="1"/>
  <c r="K2983" i="1" a="1"/>
  <c r="K2583" i="1" a="1"/>
  <c r="K2005" i="1" a="1"/>
  <c r="K2955" i="1" a="1"/>
  <c r="K3438" i="1" a="1"/>
  <c r="K3374" i="1" a="1"/>
  <c r="K3310" i="1" a="1"/>
  <c r="K3141" i="1" a="1"/>
  <c r="K2885" i="1" a="1"/>
  <c r="K2708" i="1" a="1"/>
  <c r="K2580" i="1" a="1"/>
  <c r="K2452" i="1" a="1"/>
  <c r="K2241" i="1" a="1"/>
  <c r="K1885" i="1" a="1"/>
  <c r="K3222" i="1" a="1"/>
  <c r="K2992" i="1" a="1"/>
  <c r="K3236" i="1" a="1"/>
  <c r="K3151" i="1" a="1"/>
  <c r="K3066" i="1" a="1"/>
  <c r="K2980" i="1" a="1"/>
  <c r="K2895" i="1" a="1"/>
  <c r="K2746" i="1" a="1"/>
  <c r="K2179" i="1" a="1"/>
  <c r="K1827" i="1" a="1"/>
  <c r="K834" i="1" a="1"/>
  <c r="K2950" i="1" a="1"/>
  <c r="K2811" i="1" a="1"/>
  <c r="K2253" i="1" a="1"/>
  <c r="K2087" i="1" a="1"/>
  <c r="K1541" i="1" a="1"/>
  <c r="K3488" i="1" a="1"/>
  <c r="K2495" i="1" a="1"/>
  <c r="K1940" i="1" a="1"/>
  <c r="K3084" i="1" a="1"/>
  <c r="K3272" i="1" a="1"/>
  <c r="K3100" i="1" a="1"/>
  <c r="K3324" i="1" a="1"/>
  <c r="K3392" i="1" a="1"/>
  <c r="K2994" i="1" a="1"/>
  <c r="K1816" i="1" a="1"/>
  <c r="K2720" i="1" a="1"/>
  <c r="K3294" i="1" a="1"/>
  <c r="K2281" i="1" a="1"/>
  <c r="K3355" i="1" a="1"/>
  <c r="K2664" i="1" a="1"/>
  <c r="K3110" i="1" a="1"/>
  <c r="K3386" i="1" a="1"/>
  <c r="K3189" i="1" a="1"/>
  <c r="K2732" i="1" a="1"/>
  <c r="K2476" i="1" a="1"/>
  <c r="K1933" i="1" a="1"/>
  <c r="K3019" i="1" a="1"/>
  <c r="K3167" i="1" a="1"/>
  <c r="K2996" i="1" a="1"/>
  <c r="K2778" i="1" a="1"/>
  <c r="K2040" i="1" a="1"/>
  <c r="K2987" i="1" a="1"/>
  <c r="K2308" i="1" a="1"/>
  <c r="K1639" i="1" a="1"/>
  <c r="K1804" i="1" a="1"/>
  <c r="K424" i="1" a="1"/>
  <c r="K2546" i="1" a="1"/>
  <c r="K2321" i="1" a="1"/>
  <c r="K1969" i="1" a="1"/>
  <c r="K920" i="1" a="1"/>
  <c r="K2176" i="1" a="1"/>
  <c r="K1811" i="1" a="1"/>
  <c r="K802" i="1" a="1"/>
  <c r="K2761" i="1" a="1"/>
  <c r="K2633" i="1" a="1"/>
  <c r="K2505" i="1" a="1"/>
  <c r="K2361" i="1" a="1"/>
  <c r="K2008" i="1" a="1"/>
  <c r="K1150" i="1" a="1"/>
  <c r="K2196" i="1" a="1"/>
  <c r="K1863" i="1" a="1"/>
  <c r="K1290" i="1" a="1"/>
  <c r="K1935" i="1" a="1"/>
  <c r="K1690" i="1" a="1"/>
  <c r="K477" i="1" a="1"/>
  <c r="K1644" i="1" a="1"/>
  <c r="K3469" i="1" a="1"/>
  <c r="K3405" i="1" a="1"/>
  <c r="K3341" i="1" a="1"/>
  <c r="K3255" i="1" a="1"/>
  <c r="K3017" i="1" a="1"/>
  <c r="K2790" i="1" a="1"/>
  <c r="K2651" i="1" a="1"/>
  <c r="K2523" i="1" a="1"/>
  <c r="K2395" i="1" a="1"/>
  <c r="K2082" i="1" a="1"/>
  <c r="K1523" i="1" a="1"/>
  <c r="K3072" i="1" a="1"/>
  <c r="K3214" i="1" a="1"/>
  <c r="K3128" i="1" a="1"/>
  <c r="K3043" i="1" a="1"/>
  <c r="K2958" i="1" a="1"/>
  <c r="K2866" i="1" a="1"/>
  <c r="K2331" i="1" a="1"/>
  <c r="K2113" i="1" a="1"/>
  <c r="K1623" i="1" a="1"/>
  <c r="K2718" i="1" a="1"/>
  <c r="K2654" i="1" a="1"/>
  <c r="K2590" i="1" a="1"/>
  <c r="K2526" i="1" a="1"/>
  <c r="K2462" i="1" a="1"/>
  <c r="K2398" i="1" a="1"/>
  <c r="K2280" i="1" a="1"/>
  <c r="K2070" i="1" a="1"/>
  <c r="K1929" i="1" a="1"/>
  <c r="K1497" i="1" a="1"/>
  <c r="K2362" i="1" a="1"/>
  <c r="K2234" i="1" a="1"/>
  <c r="K2149" i="1" a="1"/>
  <c r="K2064" i="1" a="1"/>
  <c r="K1756" i="1" a="1"/>
  <c r="K1419" i="1" a="1"/>
  <c r="K2869" i="1" a="1"/>
  <c r="K2805" i="1" a="1"/>
  <c r="K2741" i="1" a="1"/>
  <c r="K2677" i="1" a="1"/>
  <c r="K2613" i="1" a="1"/>
  <c r="K2549" i="1" a="1"/>
  <c r="K2485" i="1" a="1"/>
  <c r="K2421" i="1" a="1"/>
  <c r="K2320" i="1" a="1"/>
  <c r="K2154" i="1" a="1"/>
  <c r="K1968" i="1" a="1"/>
  <c r="K1743" i="1" a="1"/>
  <c r="K733" i="1" a="1"/>
  <c r="K2269" i="1" a="1"/>
  <c r="K2169" i="1" a="1"/>
  <c r="K2084" i="1" a="1"/>
  <c r="K1809" i="1" a="1"/>
  <c r="K1567" i="1" a="1"/>
  <c r="K865" i="1" a="1"/>
  <c r="K1979" i="1" a="1"/>
  <c r="K1915" i="1" a="1"/>
  <c r="K1814" i="1" a="1"/>
  <c r="K1492" i="1" a="1"/>
  <c r="K1119" i="1" a="1"/>
  <c r="K1845" i="1" a="1"/>
  <c r="K1747" i="1" a="1"/>
  <c r="K1604" i="1" a="1"/>
  <c r="K1403" i="1" a="1"/>
  <c r="K2611" i="1" a="1"/>
  <c r="K2313" i="1" a="1"/>
  <c r="K1043" i="1" a="1"/>
  <c r="K3187" i="1" a="1"/>
  <c r="K3016" i="1" a="1"/>
  <c r="K2820" i="1" a="1"/>
  <c r="K2060" i="1" a="1"/>
  <c r="K2698" i="1" a="1"/>
  <c r="K2570" i="1" a="1"/>
  <c r="K2442" i="1" a="1"/>
  <c r="K2239" i="1" a="1"/>
  <c r="K1889" i="1" a="1"/>
  <c r="K2325" i="1" a="1"/>
  <c r="K2123" i="1" a="1"/>
  <c r="K1648" i="1" a="1"/>
  <c r="K1312" i="1" a="1"/>
  <c r="K2849" i="1" a="1"/>
  <c r="K2785" i="1" a="1"/>
  <c r="K2721" i="1" a="1"/>
  <c r="K2657" i="1" a="1"/>
  <c r="K2593" i="1" a="1"/>
  <c r="K2529" i="1" a="1"/>
  <c r="K2465" i="1" a="1"/>
  <c r="K2401" i="1" a="1"/>
  <c r="K2279" i="1" a="1"/>
  <c r="K2074" i="1" a="1"/>
  <c r="K1928" i="1" a="1"/>
  <c r="K1514" i="1" a="1"/>
  <c r="K2356" i="1" a="1"/>
  <c r="K2228" i="1" a="1"/>
  <c r="K2143" i="1" a="1"/>
  <c r="K2057" i="1" a="1"/>
  <c r="K1755" i="1" a="1"/>
  <c r="K1418" i="1" a="1"/>
  <c r="K2023" i="1" a="1"/>
  <c r="K1959" i="1" a="1"/>
  <c r="K1895" i="1" a="1"/>
  <c r="K1754" i="1" a="1"/>
  <c r="K1393" i="1" a="1"/>
  <c r="K984" i="1" a="1"/>
  <c r="K1819" i="1" a="1"/>
  <c r="K1702" i="1" a="1"/>
  <c r="K1564" i="1" a="1"/>
  <c r="K1076" i="1" a="1"/>
  <c r="K2699" i="1" a="1"/>
  <c r="K2443" i="1" a="1"/>
  <c r="K1884" i="1" a="1"/>
  <c r="K3250" i="1" a="1"/>
  <c r="K3075" i="1" a="1"/>
  <c r="K2904" i="1" a="1"/>
  <c r="K2177" i="1" a="1"/>
  <c r="K691" i="1" a="1"/>
  <c r="K2614" i="1" a="1"/>
  <c r="K2486" i="1" a="1"/>
  <c r="K2326" i="1" a="1"/>
  <c r="K1977" i="1" a="1"/>
  <c r="K1022" i="1" a="1"/>
  <c r="K2181" i="1" a="1"/>
  <c r="K1821" i="1" a="1"/>
  <c r="K866" i="1" a="1"/>
  <c r="K2765" i="1" a="1"/>
  <c r="K2637" i="1" a="1"/>
  <c r="K2509" i="1" a="1"/>
  <c r="K2366" i="1" a="1"/>
  <c r="K2016" i="1" a="1"/>
  <c r="K1225" i="1" a="1"/>
  <c r="K2201" i="1" a="1"/>
  <c r="K2029" i="1" a="1"/>
  <c r="K1311" i="1" a="1"/>
  <c r="K1939" i="1" a="1"/>
  <c r="K1696" i="1" a="1"/>
  <c r="K561" i="1" a="1"/>
  <c r="K1652" i="1" a="1"/>
  <c r="K2002" i="1" a="1"/>
  <c r="K1009" i="1" a="1"/>
  <c r="K2014" i="1" a="1"/>
  <c r="K1950" i="1" a="1"/>
  <c r="K1886" i="1" a="1"/>
  <c r="K1720" i="1" a="1"/>
  <c r="K1317" i="1" a="1"/>
  <c r="K957" i="1" a="1"/>
  <c r="K1817" i="1" a="1"/>
  <c r="K1700" i="1" a="1"/>
  <c r="K1563" i="1" a="1"/>
  <c r="K1359" i="1" a="1"/>
  <c r="K817" i="1" a="1"/>
  <c r="K1467" i="1" a="1"/>
  <c r="K1256" i="1" a="1"/>
  <c r="K1061" i="1" a="1"/>
  <c r="K608" i="1" a="1"/>
  <c r="K1630" i="1" a="1"/>
  <c r="K1566" i="1" a="1"/>
  <c r="K1448" i="1" a="1"/>
  <c r="K1363" i="1" a="1"/>
  <c r="K1221" i="1" a="1"/>
  <c r="K858" i="1" a="1"/>
  <c r="K1530" i="1" a="1"/>
  <c r="K1357" i="1" a="1"/>
  <c r="K1145" i="1" a="1"/>
  <c r="K912" i="1" a="1"/>
  <c r="K1745" i="1" a="1"/>
  <c r="K1681" i="1" a="1"/>
  <c r="K1617" i="1" a="1"/>
  <c r="K1552" i="1" a="1"/>
  <c r="K1431" i="1" a="1"/>
  <c r="K1346" i="1" a="1"/>
  <c r="K1165" i="1" a="1"/>
  <c r="K809" i="1" a="1"/>
  <c r="K1270" i="1" a="1"/>
  <c r="K1169" i="1" a="1"/>
  <c r="K1079" i="1" a="1"/>
  <c r="K949" i="1" a="1"/>
  <c r="K677" i="1" a="1"/>
  <c r="K1205" i="1" a="1"/>
  <c r="K1012" i="1" a="1"/>
  <c r="K846" i="1" a="1"/>
  <c r="K613" i="1" a="1"/>
  <c r="K1265" i="1" a="1"/>
  <c r="K1163" i="1" a="1"/>
  <c r="K1078" i="1" a="1"/>
  <c r="K960" i="1" a="1"/>
  <c r="K664" i="1" a="1"/>
  <c r="K1199" i="1" a="1"/>
  <c r="K985" i="1" a="1"/>
  <c r="K837" i="1" a="1"/>
  <c r="K612" i="1" a="1"/>
  <c r="K717" i="1" a="1"/>
  <c r="K582" i="1" a="1"/>
  <c r="K852" i="1" a="1"/>
  <c r="K788" i="1" a="1"/>
  <c r="K597" i="1" a="1"/>
  <c r="K694" i="1" a="1"/>
  <c r="K991" i="1" a="1"/>
  <c r="K863" i="1" a="1"/>
  <c r="K683" i="1" a="1"/>
  <c r="K818" i="1" a="1"/>
  <c r="K1930" i="1" a="1"/>
  <c r="K1555" i="1" a="1"/>
  <c r="K476" i="1" a="1"/>
  <c r="K1651" i="1" a="1"/>
  <c r="K1306" i="1" a="1"/>
  <c r="K1401" i="1" a="1"/>
  <c r="K990" i="1" a="1"/>
  <c r="K1610" i="1" a="1"/>
  <c r="K1422" i="1" a="1"/>
  <c r="K1124" i="1" a="1"/>
  <c r="K1489" i="1" a="1"/>
  <c r="K1091" i="1" a="1"/>
  <c r="K1725" i="1" a="1"/>
  <c r="K1597" i="1" a="1"/>
  <c r="K1404" i="1" a="1"/>
  <c r="K1026" i="1" a="1"/>
  <c r="K1250" i="1" a="1"/>
  <c r="K1053" i="1" a="1"/>
  <c r="K586" i="1" a="1"/>
  <c r="K954" i="1" a="1"/>
  <c r="K290" i="1" a="1"/>
  <c r="K1137" i="1" a="1"/>
  <c r="K902" i="1" a="1"/>
  <c r="K1152" i="1" a="1"/>
  <c r="K797" i="1" a="1"/>
  <c r="K690" i="1" a="1"/>
  <c r="K832" i="1" a="1"/>
  <c r="K759" i="1" a="1"/>
  <c r="K338" i="1" a="1"/>
  <c r="K609" i="1" a="1"/>
  <c r="K951" i="1" a="1"/>
  <c r="K823" i="1" a="1"/>
  <c r="K507" i="1" a="1"/>
  <c r="K202" i="1" a="1"/>
  <c r="K530" i="1" a="1"/>
  <c r="K1307" i="1" a="1"/>
  <c r="K1974" i="1" a="1"/>
  <c r="K1786" i="1" a="1"/>
  <c r="K1097" i="1" a="1"/>
  <c r="K1764" i="1" a="1"/>
  <c r="K1423" i="1" a="1"/>
  <c r="K1513" i="1" a="1"/>
  <c r="K1125" i="1" a="1"/>
  <c r="K1654" i="1" a="1"/>
  <c r="K1494" i="1" a="1"/>
  <c r="K1310" i="1" a="1"/>
  <c r="K322" i="1" a="1"/>
  <c r="K1247" i="1" a="1"/>
  <c r="K501" i="1" a="1"/>
  <c r="K1641" i="1" a="1"/>
  <c r="K1470" i="1" a="1"/>
  <c r="K1292" i="1" a="1"/>
  <c r="K193" i="1" a="1"/>
  <c r="K1111" i="1" a="1"/>
  <c r="K748" i="1" a="1"/>
  <c r="K1084" i="1" a="1"/>
  <c r="K738" i="1" a="1"/>
  <c r="K1209" i="1" a="1"/>
  <c r="K1024" i="1" a="1"/>
  <c r="K348" i="1" a="1"/>
  <c r="K882" i="1" a="1"/>
  <c r="K764" i="1" a="1"/>
  <c r="K357" i="1" a="1"/>
  <c r="K679" i="1" a="1"/>
  <c r="K18" i="1" a="1"/>
  <c r="K388" i="1" a="1"/>
  <c r="K911" i="1" a="1"/>
  <c r="K783" i="1" a="1"/>
  <c r="K572" i="1" a="1"/>
  <c r="K643" i="1" a="1"/>
  <c r="K185" i="1" a="1"/>
  <c r="K1954" i="1" a="1"/>
  <c r="K1890" i="1" a="1"/>
  <c r="K1727" i="1" a="1"/>
  <c r="K1349" i="1" a="1"/>
  <c r="K982" i="1" a="1"/>
  <c r="K1823" i="1" a="1"/>
  <c r="K1707" i="1" a="1"/>
  <c r="K1571" i="1" a="1"/>
  <c r="K1370" i="1" a="1"/>
  <c r="K849" i="1" a="1"/>
  <c r="K1476" i="1" a="1"/>
  <c r="K1264" i="1" a="1"/>
  <c r="K1071" i="1" a="1"/>
  <c r="K633" i="1" a="1"/>
  <c r="K1634" i="1" a="1"/>
  <c r="K1570" i="1" a="1"/>
  <c r="K1453" i="1" a="1"/>
  <c r="K1368" i="1" a="1"/>
  <c r="K1230" i="1" a="1"/>
  <c r="K874" i="1" a="1"/>
  <c r="K1539" i="1" a="1"/>
  <c r="K1373" i="1" a="1"/>
  <c r="K1155" i="1" a="1"/>
  <c r="K925" i="1" a="1"/>
  <c r="K1749" i="1" a="1"/>
  <c r="K1685" i="1" a="1"/>
  <c r="K1621" i="1" a="1"/>
  <c r="K1557" i="1" a="1"/>
  <c r="K1436" i="1" a="1"/>
  <c r="K1351" i="1" a="1"/>
  <c r="K1174" i="1" a="1"/>
  <c r="K825" i="1" a="1"/>
  <c r="K1274" i="1" a="1"/>
  <c r="K1178" i="1" a="1"/>
  <c r="K1085" i="1" a="1"/>
  <c r="K968" i="1" a="1"/>
  <c r="K688" i="1" a="1"/>
  <c r="K1214" i="1" a="1"/>
  <c r="K1018" i="1" a="1"/>
  <c r="K854" i="1" a="1"/>
  <c r="K638" i="1" a="1"/>
  <c r="K1269" i="1" a="1"/>
  <c r="K1168" i="1" a="1"/>
  <c r="K1083" i="1" a="1"/>
  <c r="K966" i="1" a="1"/>
  <c r="K676" i="1" a="1"/>
  <c r="K1204" i="1" a="1"/>
  <c r="K1004" i="1" a="1"/>
  <c r="K845" i="1" a="1"/>
  <c r="K637" i="1" a="1"/>
  <c r="K722" i="1" a="1"/>
  <c r="K590" i="1" a="1"/>
  <c r="K856" i="1" a="1"/>
  <c r="K792" i="1" a="1"/>
  <c r="K622" i="1" a="1"/>
  <c r="K705" i="1" a="1"/>
  <c r="K999" i="1" a="1"/>
  <c r="K871" i="1" a="1"/>
  <c r="K715" i="1" a="1"/>
  <c r="K353" i="1" a="1"/>
  <c r="K558" i="1" a="1"/>
  <c r="K471" i="1" a="1"/>
  <c r="K242" i="1" a="1"/>
  <c r="K710" i="1" a="1"/>
  <c r="K581" i="1" a="1"/>
  <c r="K3202" i="1" a="1"/>
  <c r="K3344" i="1" a="1"/>
  <c r="K3391" i="1" a="1"/>
  <c r="K2479" i="1" a="1"/>
  <c r="K2897" i="1" a="1"/>
  <c r="K2672" i="1" a="1"/>
  <c r="K2972" i="1" a="1"/>
  <c r="K3095" i="1" a="1"/>
  <c r="K2727" i="1" a="1"/>
  <c r="K3267" i="1" a="1"/>
  <c r="K2400" i="1" a="1"/>
  <c r="K3047" i="1" a="1"/>
  <c r="K1387" i="1" a="1"/>
  <c r="K3196" i="1" a="1"/>
  <c r="K2364" i="1" a="1"/>
  <c r="K3474" i="1" a="1"/>
  <c r="K3346" i="1" a="1"/>
  <c r="K3029" i="1" a="1"/>
  <c r="K2652" i="1" a="1"/>
  <c r="K2396" i="1" a="1"/>
  <c r="K1451" i="1" a="1"/>
  <c r="K892" i="1" a="1"/>
  <c r="K3114" i="1" a="1"/>
  <c r="K2943" i="1" a="1"/>
  <c r="K2314" i="1" a="1"/>
  <c r="K1592" i="1" a="1"/>
  <c r="K2891" i="1" a="1"/>
  <c r="K2183" i="1" a="1"/>
  <c r="K3501" i="1" a="1"/>
  <c r="K3473" i="1" a="1"/>
  <c r="K3409" i="1" a="1"/>
  <c r="K3345" i="1" a="1"/>
  <c r="K3264" i="1" a="1"/>
  <c r="K3033" i="1" a="1"/>
  <c r="K2808" i="1" a="1"/>
  <c r="K2659" i="1" a="1"/>
  <c r="K2403" i="1" a="1"/>
  <c r="K1711" i="1" a="1"/>
  <c r="K3219" i="1" a="1"/>
  <c r="K3048" i="1" a="1"/>
  <c r="K2878" i="1" a="1"/>
  <c r="K2124" i="1" a="1"/>
  <c r="K2722" i="1" a="1"/>
  <c r="K2594" i="1" a="1"/>
  <c r="K2466" i="1" a="1"/>
  <c r="K2289" i="1" a="1"/>
  <c r="K1937" i="1" a="1"/>
  <c r="K2371" i="1" a="1"/>
  <c r="K2155" i="1" a="1"/>
  <c r="K1768" i="1" a="1"/>
  <c r="K1440" i="1" a="1"/>
  <c r="K2873" i="1" a="1"/>
  <c r="K2809" i="1" a="1"/>
  <c r="K2745" i="1" a="1"/>
  <c r="K2681" i="1" a="1"/>
  <c r="K2617" i="1" a="1"/>
  <c r="K2553" i="1" a="1"/>
  <c r="K2489" i="1" a="1"/>
  <c r="K2425" i="1" a="1"/>
  <c r="K2329" i="1" a="1"/>
  <c r="K2170" i="1" a="1"/>
  <c r="K1976" i="1" a="1"/>
  <c r="K1778" i="1" a="1"/>
  <c r="K918" i="1" a="1"/>
  <c r="K2274" i="1" a="1"/>
  <c r="K2175" i="1" a="1"/>
  <c r="K2089" i="1" a="1"/>
  <c r="K1820" i="1" a="1"/>
  <c r="K1583" i="1" a="1"/>
  <c r="K969" i="1" a="1"/>
  <c r="K1983" i="1" a="1"/>
  <c r="K1919" i="1" a="1"/>
  <c r="K1830" i="1" a="1"/>
  <c r="K1529" i="1" a="1"/>
  <c r="K1141" i="1" a="1"/>
  <c r="K1851" i="1" a="1"/>
  <c r="K1765" i="1" a="1"/>
  <c r="K1612" i="1" a="1"/>
  <c r="K1414" i="1" a="1"/>
  <c r="K2751" i="1" a="1"/>
  <c r="K2491" i="1" a="1"/>
  <c r="K1980" i="1" a="1"/>
  <c r="K3300" i="1" a="1"/>
  <c r="K3107" i="1" a="1"/>
  <c r="K2936" i="1" a="1"/>
  <c r="K2267" i="1" a="1"/>
  <c r="K1407" i="1" a="1"/>
  <c r="K2638" i="1" a="1"/>
  <c r="K2510" i="1" a="1"/>
  <c r="K2376" i="1" a="1"/>
  <c r="K2025" i="1" a="1"/>
  <c r="K1313" i="1" a="1"/>
  <c r="K2213" i="1" a="1"/>
  <c r="K2043" i="1" a="1"/>
  <c r="K1664" i="1" a="1"/>
  <c r="K2853" i="1" a="1"/>
  <c r="K2725" i="1" a="1"/>
  <c r="K2597" i="1" a="1"/>
  <c r="K2469" i="1" a="1"/>
  <c r="K2288" i="1" a="1"/>
  <c r="K1936" i="1" a="1"/>
  <c r="K2365" i="1" a="1"/>
  <c r="K2148" i="1" a="1"/>
  <c r="K1767" i="1" a="1"/>
  <c r="K257" i="1" a="1"/>
  <c r="K1899" i="1" a="1"/>
  <c r="K1425" i="1" a="1"/>
  <c r="K1824" i="1" a="1"/>
  <c r="K1572" i="1" a="1"/>
  <c r="K1296" i="1" a="1"/>
  <c r="K3433" i="1" a="1"/>
  <c r="K3369" i="1" a="1"/>
  <c r="K3305" i="1" a="1"/>
  <c r="K3129" i="1" a="1"/>
  <c r="K2872" i="1" a="1"/>
  <c r="K2707" i="1" a="1"/>
  <c r="K2579" i="1" a="1"/>
  <c r="K2451" i="1" a="1"/>
  <c r="K2249" i="1" a="1"/>
  <c r="K1900" i="1" a="1"/>
  <c r="K3227" i="1" a="1"/>
  <c r="K3259" i="1" a="1"/>
  <c r="K3166" i="1" a="1"/>
  <c r="K3080" i="1" a="1"/>
  <c r="K2995" i="1" a="1"/>
  <c r="K2910" i="1" a="1"/>
  <c r="K2770" i="1" a="1"/>
  <c r="K2188" i="1" a="1"/>
  <c r="K1847" i="1" a="1"/>
  <c r="K833" i="1" a="1"/>
  <c r="K2682" i="1" a="1"/>
  <c r="K2618" i="1" a="1"/>
  <c r="K2554" i="1" a="1"/>
  <c r="K2490" i="1" a="1"/>
  <c r="K2426" i="1" a="1"/>
  <c r="K2335" i="1" a="1"/>
  <c r="K2182" i="1" a="1"/>
  <c r="K1985" i="1" a="1"/>
  <c r="K1822" i="1" a="1"/>
  <c r="K1066" i="1" a="1"/>
  <c r="K2293" i="1" a="1"/>
  <c r="K2187" i="1" a="1"/>
  <c r="K2101" i="1" a="1"/>
  <c r="K1832" i="1" a="1"/>
  <c r="K970" i="1" a="1"/>
  <c r="K2769" i="1" a="1"/>
  <c r="K2641" i="1" a="1"/>
  <c r="K2513" i="1" a="1"/>
  <c r="K2375" i="1" a="1"/>
  <c r="K2024" i="1" a="1"/>
  <c r="K1259" i="1" a="1"/>
  <c r="K2207" i="1" a="1"/>
  <c r="K2036" i="1" a="1"/>
  <c r="K1332" i="1" a="1"/>
  <c r="K1943" i="1" a="1"/>
  <c r="K1703" i="1" a="1"/>
  <c r="K672" i="1" a="1"/>
  <c r="K1660" i="1" a="1"/>
  <c r="K2018" i="1" a="1"/>
  <c r="K3413" i="1" a="1"/>
  <c r="K3269" i="1" a="1"/>
  <c r="K2815" i="1" a="1"/>
  <c r="K2539" i="1" a="1"/>
  <c r="K2146" i="1" a="1"/>
  <c r="K3115" i="1" a="1"/>
  <c r="K3139" i="1" a="1"/>
  <c r="K2968" i="1" a="1"/>
  <c r="K2349" i="1" a="1"/>
  <c r="K1684" i="1" a="1"/>
  <c r="K2662" i="1" a="1"/>
  <c r="K2534" i="1" a="1"/>
  <c r="K2406" i="1" a="1"/>
  <c r="K2102" i="1" a="1"/>
  <c r="K1680" i="1" a="1"/>
  <c r="K2252" i="1" a="1"/>
  <c r="K2075" i="1" a="1"/>
  <c r="K1779" i="1" a="1"/>
  <c r="K258" i="1" a="1"/>
  <c r="K2749" i="1" a="1"/>
  <c r="K2621" i="1" a="1"/>
  <c r="K2493" i="1" a="1"/>
  <c r="K2334" i="1" a="1"/>
  <c r="K1984" i="1" a="1"/>
  <c r="K1021" i="1" a="1"/>
  <c r="K2283" i="1" a="1"/>
  <c r="K2180" i="1" a="1"/>
  <c r="K2095" i="1" a="1"/>
  <c r="K1831" i="1" a="1"/>
  <c r="K1599" i="1" a="1"/>
  <c r="K1020" i="1" a="1"/>
  <c r="K1987" i="1" a="1"/>
  <c r="K1923" i="1" a="1"/>
  <c r="K1846" i="1" a="1"/>
  <c r="K1538" i="1" a="1"/>
  <c r="K1162" i="1" a="1"/>
  <c r="K1856" i="1" a="1"/>
  <c r="K1771" i="1" a="1"/>
  <c r="K1620" i="1" a="1"/>
  <c r="K1424" i="1" a="1"/>
  <c r="K1371" i="1" a="1"/>
  <c r="K1998" i="1" a="1"/>
  <c r="K1870" i="1" a="1"/>
  <c r="K1682" i="1" a="1"/>
  <c r="K1234" i="1" a="1"/>
  <c r="K560" i="1" a="1"/>
  <c r="K1796" i="1" a="1"/>
  <c r="K1659" i="1" a="1"/>
  <c r="K1509" i="1" a="1"/>
  <c r="K1316" i="1" a="1"/>
  <c r="K129" i="1" a="1"/>
  <c r="K1417" i="1" a="1"/>
  <c r="K1194" i="1" a="1"/>
  <c r="K1016" i="1" a="1"/>
  <c r="K397" i="1" a="1"/>
  <c r="K1614" i="1" a="1"/>
  <c r="K1544" i="1" a="1"/>
  <c r="K1427" i="1" a="1"/>
  <c r="K1342" i="1" a="1"/>
  <c r="K1156" i="1" a="1"/>
  <c r="K794" i="1" a="1"/>
  <c r="K1498" i="1" a="1"/>
  <c r="K1293" i="1" a="1"/>
  <c r="K1102" i="1" a="1"/>
  <c r="K702" i="1" a="1"/>
  <c r="K1729" i="1" a="1"/>
  <c r="K1665" i="1" a="1"/>
  <c r="K1601" i="1" a="1"/>
  <c r="K1520" i="1" a="1"/>
  <c r="K1410" i="1" a="1"/>
  <c r="K1324" i="1" a="1"/>
  <c r="K1048" i="1" a="1"/>
  <c r="K1254" i="1" a="1"/>
  <c r="K1058" i="1" a="1"/>
  <c r="K601" i="1" a="1"/>
  <c r="K961" i="1" a="1"/>
  <c r="K464" i="1" a="1"/>
  <c r="K1142" i="1" a="1"/>
  <c r="K909" i="1" a="1"/>
  <c r="K1167" i="1" a="1"/>
  <c r="K805" i="1" a="1"/>
  <c r="K696" i="1" a="1"/>
  <c r="K836" i="1" a="1"/>
  <c r="K457" i="1" a="1"/>
  <c r="K634" i="1" a="1"/>
  <c r="K959" i="1" a="1"/>
  <c r="K831" i="1" a="1"/>
  <c r="K564" i="1" a="1"/>
  <c r="K266" i="1" a="1"/>
  <c r="K562" i="1" a="1"/>
  <c r="K1318" i="1" a="1"/>
  <c r="K620" i="1" a="1"/>
  <c r="K1978" i="1" a="1"/>
  <c r="K1914" i="1" a="1"/>
  <c r="K1802" i="1" a="1"/>
  <c r="K1491" i="1" a="1"/>
  <c r="K1118" i="1" a="1"/>
  <c r="K1855" i="1" a="1"/>
  <c r="K1769" i="1" a="1"/>
  <c r="K1619" i="1" a="1"/>
  <c r="K1434" i="1" a="1"/>
  <c r="K1160" i="1" a="1"/>
  <c r="K1522" i="1" a="1"/>
  <c r="K1337" i="1" a="1"/>
  <c r="K1135" i="1" a="1"/>
  <c r="K901" i="1" a="1"/>
  <c r="K1658" i="1" a="1"/>
  <c r="K1594" i="1" a="1"/>
  <c r="K1503" i="1" a="1"/>
  <c r="K1400" i="1" a="1"/>
  <c r="K1315" i="1" a="1"/>
  <c r="K1002" i="1" a="1"/>
  <c r="K606" i="1" a="1"/>
  <c r="K1457" i="1" a="1"/>
  <c r="K1255" i="1" a="1"/>
  <c r="K1049" i="1" a="1"/>
  <c r="K542" i="1" a="1"/>
  <c r="K1709" i="1" a="1"/>
  <c r="K1645" i="1" a="1"/>
  <c r="K1581" i="1" a="1"/>
  <c r="K1479" i="1" a="1"/>
  <c r="K1383" i="1" a="1"/>
  <c r="K1298" i="1" a="1"/>
  <c r="K937" i="1" a="1"/>
  <c r="K321" i="1" a="1"/>
  <c r="K1224" i="1" a="1"/>
  <c r="K1117" i="1" a="1"/>
  <c r="K1031" i="1" a="1"/>
  <c r="K757" i="1" a="1"/>
  <c r="K413" i="1" a="1"/>
  <c r="K1100" i="1" a="1"/>
  <c r="K916" i="1" a="1"/>
  <c r="K774" i="1" a="1"/>
  <c r="K34" i="1" a="1"/>
  <c r="K1218" i="1" a="1"/>
  <c r="K1115" i="1" a="1"/>
  <c r="K1030" i="1" a="1"/>
  <c r="K756" i="1" a="1"/>
  <c r="K380" i="1" a="1"/>
  <c r="K1088" i="1" a="1"/>
  <c r="K889" i="1" a="1"/>
  <c r="K746" i="1" a="1"/>
  <c r="K33" i="1" a="1"/>
  <c r="K656" i="1" a="1"/>
  <c r="K373" i="1" a="1"/>
  <c r="K816" i="1" a="1"/>
  <c r="K711" i="1" a="1"/>
  <c r="K82" i="1" a="1"/>
  <c r="K444" i="1" a="1"/>
  <c r="K919" i="1" a="1"/>
  <c r="K791" i="1" a="1"/>
  <c r="K588" i="1" a="1"/>
  <c r="K659" i="1" a="1"/>
  <c r="K249" i="1" a="1"/>
  <c r="K1140" i="1" a="1"/>
  <c r="K2022" i="1" a="1"/>
  <c r="K1958" i="1" a="1"/>
  <c r="K1894" i="1" a="1"/>
  <c r="K1746" i="1" a="1"/>
  <c r="K1381" i="1" a="1"/>
  <c r="K1008" i="1" a="1"/>
  <c r="K1828" i="1" a="1"/>
  <c r="K1726" i="1" a="1"/>
  <c r="K1579" i="1" a="1"/>
  <c r="K1380" i="1" a="1"/>
  <c r="K905" i="1" a="1"/>
  <c r="K1481" i="1" a="1"/>
  <c r="K1272" i="1" a="1"/>
  <c r="K1082" i="1" a="1"/>
  <c r="K658" i="1" a="1"/>
  <c r="K1638" i="1" a="1"/>
  <c r="K1574" i="1" a="1"/>
  <c r="K1462" i="1" a="1"/>
  <c r="K1374" i="1" a="1"/>
  <c r="K1239" i="1" a="1"/>
  <c r="K900" i="1" a="1"/>
  <c r="K1548" i="1" a="1"/>
  <c r="K1389" i="1" a="1"/>
  <c r="K1184" i="1" a="1"/>
  <c r="K950" i="1" a="1"/>
  <c r="K1753" i="1" a="1"/>
  <c r="K1689" i="1" a="1"/>
  <c r="K1625" i="1" a="1"/>
  <c r="K1561" i="1" a="1"/>
  <c r="K1442" i="1" a="1"/>
  <c r="K1356" i="1" a="1"/>
  <c r="K1183" i="1" a="1"/>
  <c r="K841" i="1" a="1"/>
  <c r="K1278" i="1" a="1"/>
  <c r="K1187" i="1" a="1"/>
  <c r="K1090" i="1" a="1"/>
  <c r="K974" i="1" a="1"/>
  <c r="K698" i="1" a="1"/>
  <c r="K1223" i="1" a="1"/>
  <c r="K1025" i="1" a="1"/>
  <c r="K862" i="1" a="1"/>
  <c r="K652" i="1" a="1"/>
  <c r="K1273" i="1" a="1"/>
  <c r="K1177" i="1" a="1"/>
  <c r="K1089" i="1" a="1"/>
  <c r="K973" i="1" a="1"/>
  <c r="K686" i="1" a="1"/>
  <c r="K1213" i="1" a="1"/>
  <c r="K1010" i="1" a="1"/>
  <c r="K853" i="1" a="1"/>
  <c r="K662" i="1" a="1"/>
  <c r="K732" i="1" a="1"/>
  <c r="K610" i="1" a="1"/>
  <c r="K860" i="1" a="1"/>
  <c r="K796" i="1" a="1"/>
  <c r="K629" i="1" a="1"/>
  <c r="K716" i="1" a="1"/>
  <c r="K1007" i="1" a="1"/>
  <c r="K879" i="1" a="1"/>
  <c r="K735" i="1" a="1"/>
  <c r="K385" i="1" a="1"/>
  <c r="K579" i="1" a="1"/>
  <c r="K487" i="1" a="1"/>
  <c r="K1874" i="1" a="1"/>
  <c r="K1688" i="1" a="1"/>
  <c r="K1251" i="1" a="1"/>
  <c r="K618" i="1" a="1"/>
  <c r="K1801" i="1" a="1"/>
  <c r="K1667" i="1" a="1"/>
  <c r="K1518" i="1" a="1"/>
  <c r="K1327" i="1" a="1"/>
  <c r="K669" i="1" a="1"/>
  <c r="K1433" i="1" a="1"/>
  <c r="K1203" i="1" a="1"/>
  <c r="K1029" i="1" a="1"/>
  <c r="K1618" i="1" a="1"/>
  <c r="K1432" i="1" a="1"/>
  <c r="K1166" i="1" a="1"/>
  <c r="K1507" i="1" a="1"/>
  <c r="K1113" i="1" a="1"/>
  <c r="K1733" i="1" a="1"/>
  <c r="K1605" i="1" a="1"/>
  <c r="K1415" i="1" a="1"/>
  <c r="K1080" i="1" a="1"/>
  <c r="K1258" i="1" a="1"/>
  <c r="K1063" i="1" a="1"/>
  <c r="K626" i="1" a="1"/>
  <c r="K980" i="1" a="1"/>
  <c r="K489" i="1" a="1"/>
  <c r="K1147" i="1" a="1"/>
  <c r="K928" i="1" a="1"/>
  <c r="K1172" i="1" a="1"/>
  <c r="K813" i="1" a="1"/>
  <c r="K701" i="1" a="1"/>
  <c r="K840" i="1" a="1"/>
  <c r="K508" i="1" a="1"/>
  <c r="K648" i="1" a="1"/>
  <c r="K967" i="1" a="1"/>
  <c r="K839" i="1" a="1"/>
  <c r="K614" i="1" a="1"/>
  <c r="K330" i="1" a="1"/>
  <c r="K368" i="1" a="1"/>
  <c r="K565" i="1" a="1"/>
  <c r="K114" i="1" a="1"/>
  <c r="K689" i="1" a="1"/>
  <c r="K469" i="1" a="1"/>
  <c r="K987" i="1" a="1"/>
  <c r="K923" i="1" a="1"/>
  <c r="K859" i="1" a="1"/>
  <c r="K795" i="1" a="1"/>
  <c r="K660" i="1" a="1"/>
  <c r="K305" i="1" a="1"/>
  <c r="K568" i="1" a="1"/>
  <c r="K377" i="1" a="1"/>
  <c r="K448" i="1" a="1"/>
  <c r="K122" i="1" a="1"/>
  <c r="K639" i="1" a="1"/>
  <c r="K575" i="1" a="1"/>
  <c r="K392" i="1" a="1"/>
  <c r="K504" i="1" a="1"/>
  <c r="K169" i="1" a="1"/>
  <c r="K483" i="1" a="1"/>
  <c r="K419" i="1" a="1"/>
  <c r="K355" i="1" a="1"/>
  <c r="K238" i="1" a="1"/>
  <c r="K110" i="1" a="1"/>
  <c r="K514" i="1" a="1"/>
  <c r="K450" i="1" a="1"/>
  <c r="K386" i="1" a="1"/>
  <c r="K2951" i="1" a="1"/>
  <c r="K2488" i="1" a="1"/>
  <c r="K1751" i="1" a="1"/>
  <c r="K3121" i="1" a="1"/>
  <c r="K2703" i="1" a="1"/>
  <c r="K2174" i="1" a="1"/>
  <c r="K3285" i="1" a="1"/>
  <c r="K2826" i="1" a="1"/>
  <c r="K2173" i="1" a="1"/>
  <c r="K3475" i="1" a="1"/>
  <c r="K3347" i="1" a="1"/>
  <c r="K3041" i="1" a="1"/>
  <c r="K2647" i="1" a="1"/>
  <c r="K2131" i="1" a="1"/>
  <c r="K3094" i="1" a="1"/>
  <c r="K3446" i="1" a="1"/>
  <c r="K3382" i="1" a="1"/>
  <c r="K3318" i="1" a="1"/>
  <c r="K3173" i="1" a="1"/>
  <c r="K2917" i="1" a="1"/>
  <c r="K2724" i="1" a="1"/>
  <c r="K2596" i="1" a="1"/>
  <c r="K2468" i="1" a="1"/>
  <c r="K2287" i="1" a="1"/>
  <c r="K1917" i="1" a="1"/>
  <c r="K3257" i="1" a="1"/>
  <c r="K3008" i="1" a="1"/>
  <c r="K3251" i="1" a="1"/>
  <c r="K3162" i="1" a="1"/>
  <c r="K3076" i="1" a="1"/>
  <c r="K2991" i="1" a="1"/>
  <c r="K2906" i="1" a="1"/>
  <c r="K2771" i="1" a="1"/>
  <c r="K2200" i="1" a="1"/>
  <c r="K2028" i="1" a="1"/>
  <c r="K1044" i="1" a="1"/>
  <c r="K2976" i="1" a="1"/>
  <c r="K2836" i="1" a="1"/>
  <c r="K2299" i="1" a="1"/>
  <c r="K2108" i="1" a="1"/>
  <c r="K1607" i="1" a="1"/>
  <c r="K2310" i="1" a="1"/>
  <c r="K3180" i="1" a="1"/>
  <c r="K2141" i="1" a="1"/>
  <c r="K3277" i="1" a="1"/>
  <c r="K2392" i="1" a="1"/>
  <c r="K3380" i="1" a="1"/>
  <c r="K3304" i="1" a="1"/>
  <c r="K2432" i="1" a="1"/>
  <c r="K3375" i="1" a="1"/>
  <c r="K2864" i="1" a="1"/>
  <c r="K3286" i="1" a="1"/>
  <c r="K2591" i="1" a="1"/>
  <c r="K3436" i="1" a="1"/>
  <c r="K2945" i="1" a="1"/>
  <c r="K2503" i="1" a="1"/>
  <c r="K3073" i="1" a="1"/>
  <c r="K1640" i="1" a="1"/>
  <c r="K2680" i="1" a="1"/>
  <c r="K2098" i="1" a="1"/>
  <c r="K3258" i="1" a="1"/>
  <c r="K2863" i="1" a="1"/>
  <c r="K2382" i="1" a="1"/>
  <c r="K3335" i="1" a="1"/>
  <c r="K3004" i="1" a="1"/>
  <c r="K2504" i="1" a="1"/>
  <c r="K1244" i="1" a="1"/>
  <c r="K3395" i="1" a="1"/>
  <c r="K3181" i="1" a="1"/>
  <c r="K2782" i="1" a="1"/>
  <c r="K2337" i="1" a="1"/>
  <c r="K3216" i="1" a="1"/>
  <c r="K3470" i="1" a="1"/>
  <c r="K3406" i="1" a="1"/>
  <c r="K3342" i="1" a="1"/>
  <c r="K3256" i="1" a="1"/>
  <c r="K3013" i="1" a="1"/>
  <c r="K2791" i="1" a="1"/>
  <c r="K2644" i="1" a="1"/>
  <c r="K2516" i="1" a="1"/>
  <c r="K2369" i="1" a="1"/>
  <c r="K2013" i="1" a="1"/>
  <c r="K1409" i="1" a="1"/>
  <c r="K3067" i="1" a="1"/>
  <c r="K3297" i="1" a="1"/>
  <c r="K3194" i="1" a="1"/>
  <c r="K3108" i="1" a="1"/>
  <c r="K3023" i="1" a="1"/>
  <c r="K2938" i="1" a="1"/>
  <c r="K2835" i="1" a="1"/>
  <c r="K2277" i="1" a="1"/>
  <c r="K2093" i="1" a="1"/>
  <c r="K1560" i="1" a="1"/>
  <c r="K3078" i="1" a="1"/>
  <c r="K2886" i="1" a="1"/>
  <c r="K2381" i="1" a="1"/>
  <c r="K2172" i="1" a="1"/>
  <c r="K1793" i="1" a="1"/>
  <c r="K3497" i="1" a="1"/>
  <c r="K2623" i="1" a="1"/>
  <c r="K3263" i="1" a="1"/>
  <c r="K2399" i="1" a="1"/>
  <c r="K3367" i="1" a="1"/>
  <c r="K2567" i="1" a="1"/>
  <c r="K3423" i="1" a="1"/>
  <c r="K3408" i="1" a="1"/>
  <c r="K2607" i="1" a="1"/>
  <c r="K3428" i="1" a="1"/>
  <c r="K3010" i="1" a="1"/>
  <c r="K3416" i="1" a="1"/>
  <c r="K2755" i="1" a="1"/>
  <c r="K3492" i="1" a="1"/>
  <c r="K3074" i="1" a="1"/>
  <c r="K1469" i="1" a="1"/>
  <c r="K3164" i="1" a="1"/>
  <c r="K2046" i="1" a="1"/>
  <c r="K2762" i="1" a="1"/>
  <c r="K2236" i="1" a="1"/>
  <c r="K893" i="1" a="1"/>
  <c r="K2935" i="1" a="1"/>
  <c r="K2464" i="1" a="1"/>
  <c r="K1301" i="1" a="1"/>
  <c r="K3105" i="1" a="1"/>
  <c r="K2615" i="1" a="1"/>
  <c r="K1672" i="1" a="1"/>
  <c r="K3419" i="1" a="1"/>
  <c r="K3271" i="1" a="1"/>
  <c r="K2870" i="1" a="1"/>
  <c r="K2408" i="1" a="1"/>
  <c r="K894" i="1" a="1"/>
  <c r="K3482" i="1" a="1"/>
  <c r="K3418" i="1" a="1"/>
  <c r="K3354" i="1" a="1"/>
  <c r="K3279" i="1" a="1"/>
  <c r="K3061" i="1" a="1"/>
  <c r="K2823" i="1" a="1"/>
  <c r="K2668" i="1" a="1"/>
  <c r="K2540" i="1" a="1"/>
  <c r="K2412" i="1" a="1"/>
  <c r="K2126" i="1" a="1"/>
  <c r="K1687" i="1" a="1"/>
  <c r="K3120" i="1" a="1"/>
  <c r="K2923" i="1" a="1"/>
  <c r="K3210" i="1" a="1"/>
  <c r="K3124" i="1" a="1"/>
  <c r="K3039" i="1" a="1"/>
  <c r="K2954" i="1" a="1"/>
  <c r="K2867" i="1" a="1"/>
  <c r="K2332" i="1" a="1"/>
  <c r="K2125" i="1" a="1"/>
  <c r="K1656" i="1" a="1"/>
  <c r="K3147" i="1" a="1"/>
  <c r="K2907" i="1" a="1"/>
  <c r="K2754" i="1" a="1"/>
  <c r="K2204" i="1" a="1"/>
  <c r="K1857" i="1" a="1"/>
  <c r="K1300" i="1" a="1"/>
  <c r="K2514" i="1" a="1"/>
  <c r="K2385" i="1" a="1"/>
  <c r="K2032" i="1" a="1"/>
  <c r="K1377" i="1" a="1"/>
  <c r="K2219" i="1" a="1"/>
  <c r="K2048" i="1" a="1"/>
  <c r="K1355" i="1" a="1"/>
  <c r="K2793" i="1" a="1"/>
  <c r="K2665" i="1" a="1"/>
  <c r="K2537" i="1" a="1"/>
  <c r="K2409" i="1" a="1"/>
  <c r="K2106" i="1" a="1"/>
  <c r="K1679" i="1" a="1"/>
  <c r="K2242" i="1" a="1"/>
  <c r="K2068" i="1" a="1"/>
  <c r="K1477" i="1" a="1"/>
  <c r="K1967" i="1" a="1"/>
  <c r="K1766" i="1" a="1"/>
  <c r="K1055" i="1" a="1"/>
  <c r="K1715" i="1" a="1"/>
  <c r="K1339" i="1" a="1"/>
  <c r="K3373" i="1" a="1"/>
  <c r="K3145" i="1" a="1"/>
  <c r="K2715" i="1" a="1"/>
  <c r="K2459" i="1" a="1"/>
  <c r="K1916" i="1" a="1"/>
  <c r="K3268" i="1" a="1"/>
  <c r="K3086" i="1" a="1"/>
  <c r="K2915" i="1" a="1"/>
  <c r="K2199" i="1" a="1"/>
  <c r="K1128" i="1" a="1"/>
  <c r="K2622" i="1" a="1"/>
  <c r="K2494" i="1" a="1"/>
  <c r="K2344" i="1" a="1"/>
  <c r="K1993" i="1" a="1"/>
  <c r="K1109" i="1" a="1"/>
  <c r="K2192" i="1" a="1"/>
  <c r="K1843" i="1" a="1"/>
  <c r="K1600" i="1" a="1"/>
  <c r="K1108" i="1" a="1"/>
  <c r="K2837" i="1" a="1"/>
  <c r="K2773" i="1" a="1"/>
  <c r="K2709" i="1" a="1"/>
  <c r="K2645" i="1" a="1"/>
  <c r="K2581" i="1" a="1"/>
  <c r="K2517" i="1" a="1"/>
  <c r="K2453" i="1" a="1"/>
  <c r="K2384" i="1" a="1"/>
  <c r="K2256" i="1" a="1"/>
  <c r="K2031" i="1" a="1"/>
  <c r="K1904" i="1" a="1"/>
  <c r="K1333" i="1" a="1"/>
  <c r="K2333" i="1" a="1"/>
  <c r="K2212" i="1" a="1"/>
  <c r="K2127" i="1" a="1"/>
  <c r="K2041" i="1" a="1"/>
  <c r="K1691" i="1" a="1"/>
  <c r="K1354" i="1" a="1"/>
  <c r="K2011" i="1" a="1"/>
  <c r="K1947" i="1" a="1"/>
  <c r="K1883" i="1" a="1"/>
  <c r="K1722" i="1" a="1"/>
  <c r="K1297" i="1" a="1"/>
  <c r="K714" i="1" a="1"/>
  <c r="K1803" i="1" a="1"/>
  <c r="K1668" i="1" a="1"/>
  <c r="K1510" i="1" a="1"/>
  <c r="K2822" i="1" a="1"/>
  <c r="K2547" i="1" a="1"/>
  <c r="K2178" i="1" a="1"/>
  <c r="K3136" i="1" a="1"/>
  <c r="K3144" i="1" a="1"/>
  <c r="K2974" i="1" a="1"/>
  <c r="K2386" i="1" a="1"/>
  <c r="K1710" i="1" a="1"/>
  <c r="K2666" i="1" a="1"/>
  <c r="K2538" i="1" a="1"/>
  <c r="K2410" i="1" a="1"/>
  <c r="K2118" i="1" a="1"/>
  <c r="K1706" i="1" a="1"/>
  <c r="K2261" i="1" a="1"/>
  <c r="K2080" i="1" a="1"/>
  <c r="K1496" i="1" a="1"/>
  <c r="K2817" i="1" a="1"/>
  <c r="K2689" i="1" a="1"/>
  <c r="K2561" i="1" a="1"/>
  <c r="K2433" i="1" a="1"/>
  <c r="K2202" i="1" a="1"/>
  <c r="K1842" i="1" a="1"/>
  <c r="K2292" i="1" a="1"/>
  <c r="K2100" i="1" a="1"/>
  <c r="K1615" i="1" a="1"/>
  <c r="K1991" i="1" a="1"/>
  <c r="K1862" i="1" a="1"/>
  <c r="K1217" i="1" a="1"/>
  <c r="K1776" i="1" a="1"/>
  <c r="K1628" i="1" a="1"/>
  <c r="K1435" i="1" a="1"/>
  <c r="K2635" i="1" a="1"/>
  <c r="K2368" i="1" a="1"/>
  <c r="K1365" i="1" a="1"/>
  <c r="K3203" i="1" a="1"/>
  <c r="K3032" i="1" a="1"/>
  <c r="K2852" i="1" a="1"/>
  <c r="K2092" i="1" a="1"/>
  <c r="K2710" i="1" a="1"/>
  <c r="K2582" i="1" a="1"/>
  <c r="K2454" i="1" a="1"/>
  <c r="K2262" i="1" a="1"/>
  <c r="K1913" i="1" a="1"/>
  <c r="K2348" i="1" a="1"/>
  <c r="K2139" i="1" a="1"/>
  <c r="K1376" i="1" a="1"/>
  <c r="K2797" i="1" a="1"/>
  <c r="K2669" i="1" a="1"/>
  <c r="K2541" i="1" a="1"/>
  <c r="K2413" i="1" a="1"/>
  <c r="K2122" i="1" a="1"/>
  <c r="K1704" i="1" a="1"/>
  <c r="K2251" i="1" a="1"/>
  <c r="K2073" i="1" a="1"/>
  <c r="K1495" i="1" a="1"/>
  <c r="K1971" i="1" a="1"/>
  <c r="K1782" i="1" a="1"/>
  <c r="K1077" i="1" a="1"/>
  <c r="K1734" i="1" a="1"/>
  <c r="K1382" i="1" a="1"/>
  <c r="K1328" i="1" a="1"/>
  <c r="K1982" i="1" a="1"/>
  <c r="K1818" i="1" a="1"/>
  <c r="K1139" i="1" a="1"/>
  <c r="K1775" i="1" a="1"/>
  <c r="K1444" i="1" a="1"/>
  <c r="K1531" i="1" a="1"/>
  <c r="K1146" i="1" a="1"/>
  <c r="K1662" i="1" a="1"/>
  <c r="K1512" i="1" a="1"/>
  <c r="K1320" i="1" a="1"/>
  <c r="K703" i="1" a="1"/>
  <c r="K1263" i="1" a="1"/>
  <c r="K577" i="1" a="1"/>
  <c r="K1649" i="1" a="1"/>
  <c r="K1488" i="1" a="1"/>
  <c r="K1303" i="1" a="1"/>
  <c r="K962" i="1" a="1"/>
  <c r="K449" i="1" a="1"/>
  <c r="K1233" i="1" a="1"/>
  <c r="K1122" i="1" a="1"/>
  <c r="K1037" i="1" a="1"/>
  <c r="K766" i="1" a="1"/>
  <c r="K534" i="1" a="1"/>
  <c r="K1116" i="1" a="1"/>
  <c r="K922" i="1" a="1"/>
  <c r="K782" i="1" a="1"/>
  <c r="K98" i="1" a="1"/>
  <c r="K1227" i="1" a="1"/>
  <c r="K1121" i="1" a="1"/>
  <c r="K1035" i="1" a="1"/>
  <c r="K765" i="1" a="1"/>
  <c r="K412" i="1" a="1"/>
  <c r="K1104" i="1" a="1"/>
  <c r="K908" i="1" a="1"/>
  <c r="K773" i="1" a="1"/>
  <c r="K97" i="1" a="1"/>
  <c r="K674" i="1" a="1"/>
  <c r="K389" i="1" a="1"/>
  <c r="K820" i="1" a="1"/>
  <c r="K727" i="1" a="1"/>
  <c r="K528" i="1" a="1"/>
  <c r="K927" i="1" a="1"/>
  <c r="K799" i="1" a="1"/>
  <c r="K2026" i="1" a="1"/>
  <c r="K1898" i="1" a="1"/>
  <c r="K1413" i="1" a="1"/>
  <c r="K1033" i="1" a="1"/>
  <c r="K1833" i="1" a="1"/>
  <c r="K1732" i="1" a="1"/>
  <c r="K1587" i="1" a="1"/>
  <c r="K1391" i="1" a="1"/>
  <c r="K930" i="1" a="1"/>
  <c r="K1490" i="1" a="1"/>
  <c r="K1280" i="1" a="1"/>
  <c r="K1093" i="1" a="1"/>
  <c r="K682" i="1" a="1"/>
  <c r="K1642" i="1" a="1"/>
  <c r="K1578" i="1" a="1"/>
  <c r="K1471" i="1" a="1"/>
  <c r="K1379" i="1" a="1"/>
  <c r="K1294" i="1" a="1"/>
  <c r="K913" i="1" a="1"/>
  <c r="K1553" i="1" a="1"/>
  <c r="K1405" i="1" a="1"/>
  <c r="K1193" i="1" a="1"/>
  <c r="K976" i="1" a="1"/>
  <c r="K1757" i="1" a="1"/>
  <c r="K1693" i="1" a="1"/>
  <c r="K1629" i="1" a="1"/>
  <c r="K1565" i="1" a="1"/>
  <c r="K1447" i="1" a="1"/>
  <c r="K1362" i="1" a="1"/>
  <c r="K1220" i="1" a="1"/>
  <c r="K857" i="1" a="1"/>
  <c r="K1282" i="1" a="1"/>
  <c r="K1192" i="1" a="1"/>
  <c r="K1095" i="1" a="1"/>
  <c r="K981" i="1" a="1"/>
  <c r="K709" i="1" a="1"/>
  <c r="K1228" i="1" a="1"/>
  <c r="K1036" i="1" a="1"/>
  <c r="K870" i="1" a="1"/>
  <c r="K687" i="1" a="1"/>
  <c r="K1277" i="1" a="1"/>
  <c r="K1186" i="1" a="1"/>
  <c r="K1094" i="1" a="1"/>
  <c r="K992" i="1" a="1"/>
  <c r="K697" i="1" a="1"/>
  <c r="K1222" i="1" a="1"/>
  <c r="K1017" i="1" a="1"/>
  <c r="K861" i="1" a="1"/>
  <c r="K675" i="1" a="1"/>
  <c r="K741" i="1" a="1"/>
  <c r="K617" i="1" a="1"/>
  <c r="K864" i="1" a="1"/>
  <c r="K800" i="1" a="1"/>
  <c r="K636" i="1" a="1"/>
  <c r="K726" i="1" a="1"/>
  <c r="K1015" i="1" a="1"/>
  <c r="K887" i="1" a="1"/>
  <c r="K753" i="1" a="1"/>
  <c r="K429" i="1" a="1"/>
  <c r="K595" i="1" a="1"/>
  <c r="K503" i="1" a="1"/>
  <c r="K906" i="1" a="1"/>
  <c r="K2006" i="1" a="1"/>
  <c r="K1942" i="1" a="1"/>
  <c r="K1878" i="1" a="1"/>
  <c r="K1695" i="1" a="1"/>
  <c r="K1267" i="1" a="1"/>
  <c r="K713" i="1" a="1"/>
  <c r="K1807" i="1" a="1"/>
  <c r="K1675" i="1" a="1"/>
  <c r="K1527" i="1" a="1"/>
  <c r="K1338" i="1" a="1"/>
  <c r="K751" i="1" a="1"/>
  <c r="K1449" i="1" a="1"/>
  <c r="K1240" i="1" a="1"/>
  <c r="K1039" i="1" a="1"/>
  <c r="K543" i="1" a="1"/>
  <c r="K1622" i="1" a="1"/>
  <c r="K1558" i="1" a="1"/>
  <c r="K1438" i="1" a="1"/>
  <c r="K1352" i="1" a="1"/>
  <c r="K1175" i="1" a="1"/>
  <c r="K826" i="1" a="1"/>
  <c r="K1516" i="1" a="1"/>
  <c r="K1325" i="1" a="1"/>
  <c r="K1123" i="1" a="1"/>
  <c r="K742" i="1" a="1"/>
  <c r="K1737" i="1" a="1"/>
  <c r="K1673" i="1" a="1"/>
  <c r="K1609" i="1" a="1"/>
  <c r="K1534" i="1" a="1"/>
  <c r="K1420" i="1" a="1"/>
  <c r="K1335" i="1" a="1"/>
  <c r="K1112" i="1" a="1"/>
  <c r="K777" i="1" a="1"/>
  <c r="K1262" i="1" a="1"/>
  <c r="K1154" i="1" a="1"/>
  <c r="K1069" i="1" a="1"/>
  <c r="K936" i="1" a="1"/>
  <c r="K640" i="1" a="1"/>
  <c r="K1191" i="1" a="1"/>
  <c r="K986" i="1" a="1"/>
  <c r="K830" i="1" a="1"/>
  <c r="K513" i="1" a="1"/>
  <c r="K1257" i="1" a="1"/>
  <c r="K1153" i="1" a="1"/>
  <c r="K1067" i="1" a="1"/>
  <c r="K934" i="1" a="1"/>
  <c r="K625" i="1" a="1"/>
  <c r="K1181" i="1" a="1"/>
  <c r="K972" i="1" a="1"/>
  <c r="K821" i="1" a="1"/>
  <c r="K532" i="1" a="1"/>
  <c r="K706" i="1" a="1"/>
  <c r="K566" i="1" a="1"/>
  <c r="K844" i="1" a="1"/>
  <c r="K780" i="1" a="1"/>
  <c r="K538" i="1" a="1"/>
  <c r="K673" i="1" a="1"/>
  <c r="K975" i="1" a="1"/>
  <c r="K847" i="1" a="1"/>
  <c r="K628" i="1" a="1"/>
  <c r="K473" i="1" a="1"/>
  <c r="K400" i="1" a="1"/>
  <c r="K1986" i="1" a="1"/>
  <c r="K1922" i="1" a="1"/>
  <c r="K1834" i="1" a="1"/>
  <c r="K1537" i="1" a="1"/>
  <c r="K1161" i="1" a="1"/>
  <c r="K1865" i="1" a="1"/>
  <c r="K1780" i="1" a="1"/>
  <c r="K1635" i="1" a="1"/>
  <c r="K1454" i="1" a="1"/>
  <c r="K1215" i="1" a="1"/>
  <c r="K1540" i="1" a="1"/>
  <c r="K1369" i="1" a="1"/>
  <c r="K1157" i="1" a="1"/>
  <c r="K952" i="1" a="1"/>
  <c r="K1666" i="1" a="1"/>
  <c r="K1602" i="1" a="1"/>
  <c r="K1517" i="1" a="1"/>
  <c r="K1411" i="1" a="1"/>
  <c r="K1326" i="1" a="1"/>
  <c r="K1060" i="1" a="1"/>
  <c r="K743" i="1" a="1"/>
  <c r="K1475" i="1" a="1"/>
  <c r="K1271" i="1" a="1"/>
  <c r="K1070" i="1" a="1"/>
  <c r="K632" i="1" a="1"/>
  <c r="K1717" i="1" a="1"/>
  <c r="K1653" i="1" a="1"/>
  <c r="K1589" i="1" a="1"/>
  <c r="K1493" i="1" a="1"/>
  <c r="K1394" i="1" a="1"/>
  <c r="K1308" i="1" a="1"/>
  <c r="K988" i="1" a="1"/>
  <c r="K541" i="1" a="1"/>
  <c r="K1242" i="1" a="1"/>
  <c r="K1127" i="1" a="1"/>
  <c r="K1042" i="1" a="1"/>
  <c r="K878" i="1" a="1"/>
  <c r="K552" i="1" a="1"/>
  <c r="K1132" i="1" a="1"/>
  <c r="K929" i="1" a="1"/>
  <c r="K790" i="1" a="1"/>
  <c r="K162" i="1" a="1"/>
  <c r="K1232" i="1" a="1"/>
  <c r="K1126" i="1" a="1"/>
  <c r="K1041" i="1" a="1"/>
  <c r="K877" i="1" a="1"/>
  <c r="K437" i="1" a="1"/>
  <c r="K1120" i="1" a="1"/>
  <c r="K914" i="1" a="1"/>
  <c r="K781" i="1" a="1"/>
  <c r="K161" i="1" a="1"/>
  <c r="K680" i="1" a="1"/>
  <c r="K405" i="1" a="1"/>
  <c r="K824" i="1" a="1"/>
  <c r="K736" i="1" a="1"/>
  <c r="K209" i="1" a="1"/>
  <c r="K74" i="1" a="1"/>
  <c r="K465" i="1" a="1"/>
  <c r="K763" i="1" a="1"/>
  <c r="K2967" i="1" a="1"/>
  <c r="K3452" i="1" a="1"/>
  <c r="K2774" i="1" a="1"/>
  <c r="K3479" i="1" a="1"/>
  <c r="K2930" i="1" a="1"/>
  <c r="K1724" i="1" a="1"/>
  <c r="K3207" i="1" a="1"/>
  <c r="K2956" i="1" a="1"/>
  <c r="K1837" i="1" a="1"/>
  <c r="K3217" i="1" a="1"/>
  <c r="K2383" i="1" a="1"/>
  <c r="K3057" i="1" a="1"/>
  <c r="K2227" i="1" a="1"/>
  <c r="K3299" i="1" a="1"/>
  <c r="K2456" i="1" a="1"/>
  <c r="K3348" i="1" a="1"/>
  <c r="K2624" i="1" a="1"/>
  <c r="K2908" i="1" a="1"/>
  <c r="K2471" i="1" a="1"/>
  <c r="K1698" i="1" a="1"/>
  <c r="K3106" i="1" a="1"/>
  <c r="K2656" i="1" a="1"/>
  <c r="K2120" i="1" a="1"/>
  <c r="K3244" i="1" a="1"/>
  <c r="K2807" i="1" a="1"/>
  <c r="K2142" i="1" a="1"/>
  <c r="K3467" i="1" a="1"/>
  <c r="K3339" i="1" a="1"/>
  <c r="K3026" i="1" a="1"/>
  <c r="K2600" i="1" a="1"/>
  <c r="K2045" i="1" a="1"/>
  <c r="K3062" i="1" a="1"/>
  <c r="K3442" i="1" a="1"/>
  <c r="K3378" i="1" a="1"/>
  <c r="K3314" i="1" a="1"/>
  <c r="K3157" i="1" a="1"/>
  <c r="K2901" i="1" a="1"/>
  <c r="K2716" i="1" a="1"/>
  <c r="K2588" i="1" a="1"/>
  <c r="K2460" i="1" a="1"/>
  <c r="K2278" i="1" a="1"/>
  <c r="K1901" i="1" a="1"/>
  <c r="K3243" i="1" a="1"/>
  <c r="K3003" i="1" a="1"/>
  <c r="K3242" i="1" a="1"/>
  <c r="K3156" i="1" a="1"/>
  <c r="K3071" i="1" a="1"/>
  <c r="K2986" i="1" a="1"/>
  <c r="K2900" i="1" a="1"/>
  <c r="K2764" i="1" a="1"/>
  <c r="K2189" i="1" a="1"/>
  <c r="K1848" i="1" a="1"/>
  <c r="K945" i="1" a="1"/>
  <c r="K2966" i="1" a="1"/>
  <c r="K2818" i="1" a="1"/>
  <c r="K2290" i="1" a="1"/>
  <c r="K2097" i="1" a="1"/>
  <c r="K1575" i="1" a="1"/>
  <c r="K3377" i="1" a="1"/>
  <c r="K3161" i="1" a="1"/>
  <c r="K2723" i="1" a="1"/>
  <c r="K2595" i="1" a="1"/>
  <c r="K2467" i="1" a="1"/>
  <c r="K2295" i="1" a="1"/>
  <c r="K1932" i="1" a="1"/>
  <c r="K692" i="1" a="1"/>
  <c r="K3273" i="1" a="1"/>
  <c r="K3176" i="1" a="1"/>
  <c r="K3091" i="1" a="1"/>
  <c r="K3006" i="1" a="1"/>
  <c r="K2920" i="1" a="1"/>
  <c r="K2795" i="1" a="1"/>
  <c r="K2209" i="1" a="1"/>
  <c r="K2039" i="1" a="1"/>
  <c r="K1206" i="1" a="1"/>
  <c r="K2690" i="1" a="1"/>
  <c r="K2626" i="1" a="1"/>
  <c r="K2562" i="1" a="1"/>
  <c r="K2498" i="1" a="1"/>
  <c r="K2434" i="1" a="1"/>
  <c r="K2353" i="1" a="1"/>
  <c r="K2214" i="1" a="1"/>
  <c r="K2001" i="1" a="1"/>
  <c r="K1873" i="1" a="1"/>
  <c r="K1151" i="1" a="1"/>
  <c r="K2307" i="1" a="1"/>
  <c r="K2197" i="1" a="1"/>
  <c r="K2112" i="1" a="1"/>
  <c r="K1853" i="1" a="1"/>
  <c r="K1189" i="1" a="1"/>
  <c r="K2777" i="1" a="1"/>
  <c r="K2649" i="1" a="1"/>
  <c r="K2521" i="1" a="1"/>
  <c r="K2393" i="1" a="1"/>
  <c r="K2042" i="1" a="1"/>
  <c r="K1397" i="1" a="1"/>
  <c r="K2217" i="1" a="1"/>
  <c r="K2047" i="1" a="1"/>
  <c r="K1375" i="1" a="1"/>
  <c r="K1951" i="1" a="1"/>
  <c r="K1728" i="1" a="1"/>
  <c r="K933" i="1" a="1"/>
  <c r="K1676" i="1" a="1"/>
  <c r="K752" i="1" a="1"/>
  <c r="K2683" i="1" a="1"/>
  <c r="K2427" i="1" a="1"/>
  <c r="K1826" i="1" a="1"/>
  <c r="K3235" i="1" a="1"/>
  <c r="K3064" i="1" a="1"/>
  <c r="K2894" i="1" a="1"/>
  <c r="K2156" i="1" a="1"/>
  <c r="K2734" i="1" a="1"/>
  <c r="K2606" i="1" a="1"/>
  <c r="K2478" i="1" a="1"/>
  <c r="K2312" i="1" a="1"/>
  <c r="K1961" i="1" a="1"/>
  <c r="K734" i="1" a="1"/>
  <c r="K2171" i="1" a="1"/>
  <c r="K1533" i="1" a="1"/>
  <c r="K2821" i="1" a="1"/>
  <c r="K2693" i="1" a="1"/>
  <c r="K2565" i="1" a="1"/>
  <c r="K2437" i="1" a="1"/>
  <c r="K2218" i="1" a="1"/>
  <c r="K1872" i="1" a="1"/>
  <c r="K2301" i="1" a="1"/>
  <c r="K2105" i="1" a="1"/>
  <c r="K1631" i="1" a="1"/>
  <c r="K1995" i="1" a="1"/>
  <c r="K1867" i="1" a="1"/>
  <c r="K1235" i="1" a="1"/>
  <c r="K1781" i="1" a="1"/>
  <c r="K1446" i="1" a="1"/>
  <c r="K3465" i="1" a="1"/>
  <c r="K3401" i="1" a="1"/>
  <c r="K3337" i="1" a="1"/>
  <c r="K3246" i="1" a="1"/>
  <c r="K3001" i="1" a="1"/>
  <c r="K2783" i="1" a="1"/>
  <c r="K2643" i="1" a="1"/>
  <c r="K2515" i="1" a="1"/>
  <c r="K2377" i="1" a="1"/>
  <c r="K2050" i="1" a="1"/>
  <c r="K1450" i="1" a="1"/>
  <c r="K3040" i="1" a="1"/>
  <c r="K3208" i="1" a="1"/>
  <c r="K3123" i="1" a="1"/>
  <c r="K3038" i="1" a="1"/>
  <c r="K2952" i="1" a="1"/>
  <c r="K2859" i="1" a="1"/>
  <c r="K2322" i="1" a="1"/>
  <c r="K2103" i="1" a="1"/>
  <c r="K1591" i="1" a="1"/>
  <c r="K2714" i="1" a="1"/>
  <c r="K2650" i="1" a="1"/>
  <c r="K2586" i="1" a="1"/>
  <c r="K2522" i="1" a="1"/>
  <c r="K2458" i="1" a="1"/>
  <c r="K2394" i="1" a="1"/>
  <c r="K2271" i="1" a="1"/>
  <c r="K2054" i="1" a="1"/>
  <c r="K1921" i="1" a="1"/>
  <c r="K1460" i="1" a="1"/>
  <c r="K2357" i="1" a="1"/>
  <c r="K2229" i="1" a="1"/>
  <c r="K2144" i="1" a="1"/>
  <c r="K2059" i="1" a="1"/>
  <c r="K1731" i="1" a="1"/>
  <c r="K2865" i="1" a="1"/>
  <c r="K2737" i="1" a="1"/>
  <c r="K2609" i="1" a="1"/>
  <c r="K2481" i="1" a="1"/>
  <c r="K2311" i="1" a="1"/>
  <c r="K1960" i="1" a="1"/>
  <c r="K2388" i="1" a="1"/>
  <c r="K2164" i="1" a="1"/>
  <c r="K1799" i="1" a="1"/>
  <c r="K801" i="1" a="1"/>
  <c r="K1911" i="1" a="1"/>
  <c r="K1483" i="1" a="1"/>
  <c r="K1840" i="1" a="1"/>
  <c r="K1596" i="1" a="1"/>
  <c r="K1392" i="1" a="1"/>
  <c r="K3445" i="1" a="1"/>
  <c r="K3381" i="1" a="1"/>
  <c r="K3317" i="1" a="1"/>
  <c r="K3177" i="1" a="1"/>
  <c r="K2921" i="1" a="1"/>
  <c r="K2731" i="1" a="1"/>
  <c r="K2603" i="1" a="1"/>
  <c r="K2475" i="1" a="1"/>
  <c r="K2304" i="1" a="1"/>
  <c r="K1948" i="1" a="1"/>
  <c r="K944" i="1" a="1"/>
  <c r="K3282" i="1" a="1"/>
  <c r="K3182" i="1" a="1"/>
  <c r="K3096" i="1" a="1"/>
  <c r="K3011" i="1" a="1"/>
  <c r="K2926" i="1" a="1"/>
  <c r="K2802" i="1" a="1"/>
  <c r="K2220" i="1" a="1"/>
  <c r="K2049" i="1" a="1"/>
  <c r="K1322" i="1" a="1"/>
  <c r="K2694" i="1" a="1"/>
  <c r="K2630" i="1" a="1"/>
  <c r="K2566" i="1" a="1"/>
  <c r="K2502" i="1" a="1"/>
  <c r="K2438" i="1" a="1"/>
  <c r="K2358" i="1" a="1"/>
  <c r="K2230" i="1" a="1"/>
  <c r="K2009" i="1" a="1"/>
  <c r="K1881" i="1" a="1"/>
  <c r="K1226" i="1" a="1"/>
  <c r="K2316" i="1" a="1"/>
  <c r="K2203" i="1" a="1"/>
  <c r="K2117" i="1" a="1"/>
  <c r="K1864" i="1" a="1"/>
  <c r="K1632" i="1" a="1"/>
  <c r="K1291" i="1" a="1"/>
  <c r="K2845" i="1" a="1"/>
  <c r="K2781" i="1" a="1"/>
  <c r="K2717" i="1" a="1"/>
  <c r="K2653" i="1" a="1"/>
  <c r="K2589" i="1" a="1"/>
  <c r="K2525" i="1" a="1"/>
  <c r="K2461" i="1" a="1"/>
  <c r="K2397" i="1" a="1"/>
  <c r="K2270" i="1" a="1"/>
  <c r="K2058" i="1" a="1"/>
  <c r="K1920" i="1" a="1"/>
  <c r="K1459" i="1" a="1"/>
  <c r="K2347" i="1" a="1"/>
  <c r="K2223" i="1" a="1"/>
  <c r="K2137" i="1" a="1"/>
  <c r="K2052" i="1" a="1"/>
  <c r="K1742" i="1" a="1"/>
  <c r="K1396" i="1" a="1"/>
  <c r="K2019" i="1" a="1"/>
  <c r="K1955" i="1" a="1"/>
  <c r="K1891" i="1" a="1"/>
  <c r="K1735" i="1" a="1"/>
  <c r="K1361" i="1" a="1"/>
  <c r="K958" i="1" a="1"/>
  <c r="K1813" i="1" a="1"/>
  <c r="K1683" i="1" a="1"/>
  <c r="K1528" i="1" a="1"/>
  <c r="K1198" i="1" a="1"/>
  <c r="K1966" i="1" a="1"/>
  <c r="K1759" i="1" a="1"/>
  <c r="K1054" i="1" a="1"/>
  <c r="K1739" i="1" a="1"/>
  <c r="K1402" i="1" a="1"/>
  <c r="K1499" i="1" a="1"/>
  <c r="K1103" i="1" a="1"/>
  <c r="K1646" i="1" a="1"/>
  <c r="K1480" i="1" a="1"/>
  <c r="K1299" i="1" a="1"/>
  <c r="K66" i="1" a="1"/>
  <c r="K1202" i="1" a="1"/>
  <c r="K1761" i="1" a="1"/>
  <c r="K1633" i="1" a="1"/>
  <c r="K1456" i="1" a="1"/>
  <c r="K1229" i="1" a="1"/>
  <c r="K873" i="1" a="1"/>
  <c r="K1286" i="1" a="1"/>
  <c r="K1201" i="1" a="1"/>
  <c r="K1101" i="1" a="1"/>
  <c r="K1000" i="1" a="1"/>
  <c r="K720" i="1" a="1"/>
  <c r="K1237" i="1" a="1"/>
  <c r="K1052" i="1" a="1"/>
  <c r="K884" i="1" a="1"/>
  <c r="K719" i="1" a="1"/>
  <c r="K1281" i="1" a="1"/>
  <c r="K1195" i="1" a="1"/>
  <c r="K1099" i="1" a="1"/>
  <c r="K998" i="1" a="1"/>
  <c r="K708" i="1" a="1"/>
  <c r="K1231" i="1" a="1"/>
  <c r="K1040" i="1" a="1"/>
  <c r="K869" i="1" a="1"/>
  <c r="K707" i="1" a="1"/>
  <c r="K750" i="1" a="1"/>
  <c r="K624" i="1" a="1"/>
  <c r="K868" i="1" a="1"/>
  <c r="K804" i="1" a="1"/>
  <c r="K661" i="1" a="1"/>
  <c r="K740" i="1" a="1"/>
  <c r="K493" i="1" a="1"/>
  <c r="K611" i="1" a="1"/>
  <c r="K57" i="1" a="1"/>
  <c r="K932" i="1" a="1"/>
  <c r="K2010" i="1" a="1"/>
  <c r="K1946" i="1" a="1"/>
  <c r="K1882" i="1" a="1"/>
  <c r="K1714" i="1" a="1"/>
  <c r="K1283" i="1" a="1"/>
  <c r="K880" i="1" a="1"/>
  <c r="K1812" i="1" a="1"/>
  <c r="K1694" i="1" a="1"/>
  <c r="K1536" i="1" a="1"/>
  <c r="K1348" i="1" a="1"/>
  <c r="K785" i="1" a="1"/>
  <c r="K1458" i="1" a="1"/>
  <c r="K1248" i="1" a="1"/>
  <c r="K1050" i="1" a="1"/>
  <c r="K578" i="1" a="1"/>
  <c r="K1626" i="1" a="1"/>
  <c r="K1562" i="1" a="1"/>
  <c r="K1443" i="1" a="1"/>
  <c r="K1358" i="1" a="1"/>
  <c r="K1212" i="1" a="1"/>
  <c r="K842" i="1" a="1"/>
  <c r="K1521" i="1" a="1"/>
  <c r="K1341" i="1" a="1"/>
  <c r="K1134" i="1" a="1"/>
  <c r="K886" i="1" a="1"/>
  <c r="K1741" i="1" a="1"/>
  <c r="K1677" i="1" a="1"/>
  <c r="K1613" i="1" a="1"/>
  <c r="K1543" i="1" a="1"/>
  <c r="K1426" i="1" a="1"/>
  <c r="K1340" i="1" a="1"/>
  <c r="K1144" i="1" a="1"/>
  <c r="K793" i="1" a="1"/>
  <c r="K1266" i="1" a="1"/>
  <c r="K1159" i="1" a="1"/>
  <c r="K1074" i="1" a="1"/>
  <c r="K942" i="1" a="1"/>
  <c r="K665" i="1" a="1"/>
  <c r="K1196" i="1" a="1"/>
  <c r="K993" i="1" a="1"/>
  <c r="K838" i="1" a="1"/>
  <c r="K533" i="1" a="1"/>
  <c r="K1261" i="1" a="1"/>
  <c r="K1158" i="1" a="1"/>
  <c r="K1073" i="1" a="1"/>
  <c r="K941" i="1" a="1"/>
  <c r="K650" i="1" a="1"/>
  <c r="K1190" i="1" a="1"/>
  <c r="K978" i="1" a="1"/>
  <c r="K829" i="1" a="1"/>
  <c r="K598" i="1" a="1"/>
  <c r="K712" i="1" a="1"/>
  <c r="K574" i="1" a="1"/>
  <c r="K848" i="1" a="1"/>
  <c r="K784" i="1" a="1"/>
  <c r="K556" i="1" a="1"/>
  <c r="K684" i="1" a="1"/>
  <c r="K983" i="1" a="1"/>
  <c r="K855" i="1" a="1"/>
  <c r="K653" i="1" a="1"/>
  <c r="K516" i="1" a="1"/>
  <c r="K453" i="1" a="1"/>
  <c r="K1350" i="1" a="1"/>
  <c r="K786" i="1" a="1"/>
  <c r="K1990" i="1" a="1"/>
  <c r="K1926" i="1" a="1"/>
  <c r="K1850" i="1" a="1"/>
  <c r="K1546" i="1" a="1"/>
  <c r="K1179" i="1" a="1"/>
  <c r="K364" i="1" a="1"/>
  <c r="K1785" i="1" a="1"/>
  <c r="K1643" i="1" a="1"/>
  <c r="K1463" i="1" a="1"/>
  <c r="K1295" i="1" a="1"/>
  <c r="K1545" i="1" a="1"/>
  <c r="K1385" i="1" a="1"/>
  <c r="K1176" i="1" a="1"/>
  <c r="K965" i="1" a="1"/>
  <c r="K1670" i="1" a="1"/>
  <c r="K1606" i="1" a="1"/>
  <c r="K1526" i="1" a="1"/>
  <c r="K1416" i="1" a="1"/>
  <c r="K1331" i="1" a="1"/>
  <c r="K1092" i="1" a="1"/>
  <c r="K761" i="1" a="1"/>
  <c r="K1484" i="1" a="1"/>
  <c r="K1279" i="1" a="1"/>
  <c r="K1081" i="1" a="1"/>
  <c r="K657" i="1" a="1"/>
  <c r="K1721" i="1" a="1"/>
  <c r="K1657" i="1" a="1"/>
  <c r="K1593" i="1" a="1"/>
  <c r="K1502" i="1" a="1"/>
  <c r="K1399" i="1" a="1"/>
  <c r="K1314" i="1" a="1"/>
  <c r="K1001" i="1" a="1"/>
  <c r="K605" i="1" a="1"/>
  <c r="K1246" i="1" a="1"/>
  <c r="K1133" i="1" a="1"/>
  <c r="K1047" i="1" a="1"/>
  <c r="K885" i="1" a="1"/>
  <c r="K570" i="1" a="1"/>
  <c r="K1148" i="1" a="1"/>
  <c r="K948" i="1" a="1"/>
  <c r="K798" i="1" a="1"/>
  <c r="K226" i="1" a="1"/>
  <c r="K1241" i="1" a="1"/>
  <c r="K1131" i="1" a="1"/>
  <c r="K1046" i="1" a="1"/>
  <c r="K896" i="1" a="1"/>
  <c r="K551" i="1" a="1"/>
  <c r="K1136" i="1" a="1"/>
  <c r="K921" i="1" a="1"/>
  <c r="K789" i="1" a="1"/>
  <c r="K225" i="1" a="1"/>
  <c r="K685" i="1" a="1"/>
  <c r="K420" i="1" a="1"/>
  <c r="K828" i="1" a="1"/>
  <c r="K754" i="1" a="1"/>
  <c r="K274" i="1" a="1"/>
  <c r="K589" i="1" a="1"/>
  <c r="K943" i="1" a="1"/>
  <c r="K815" i="1" a="1"/>
  <c r="K337" i="1" a="1"/>
  <c r="K138" i="1" a="1"/>
  <c r="K509" i="1" a="1"/>
  <c r="K1970" i="1" a="1"/>
  <c r="K1770" i="1" a="1"/>
  <c r="K1075" i="1" a="1"/>
  <c r="K1758" i="1" a="1"/>
  <c r="K1412" i="1" a="1"/>
  <c r="K1508" i="1" a="1"/>
  <c r="K1114" i="1" a="1"/>
  <c r="K1650" i="1" a="1"/>
  <c r="K1586" i="1" a="1"/>
  <c r="K1485" i="1" a="1"/>
  <c r="K1390" i="1" a="1"/>
  <c r="K1304" i="1" a="1"/>
  <c r="K964" i="1" a="1"/>
  <c r="K194" i="1" a="1"/>
  <c r="K1437" i="1" a="1"/>
  <c r="K1211" i="1" a="1"/>
  <c r="K1014" i="1" a="1"/>
  <c r="K396" i="1" a="1"/>
  <c r="K1701" i="1" a="1"/>
  <c r="K1637" i="1" a="1"/>
  <c r="K1573" i="1" a="1"/>
  <c r="K1461" i="1" a="1"/>
  <c r="K1372" i="1" a="1"/>
  <c r="K1238" i="1" a="1"/>
  <c r="K898" i="1" a="1"/>
  <c r="K65" i="1" a="1"/>
  <c r="K1210" i="1" a="1"/>
  <c r="K1106" i="1" a="1"/>
  <c r="K1006" i="1" a="1"/>
  <c r="K739" i="1" a="1"/>
  <c r="K349" i="1" a="1"/>
  <c r="K1068" i="1" a="1"/>
  <c r="K890" i="1" a="1"/>
  <c r="K729" i="1" a="1"/>
  <c r="K1285" i="1" a="1"/>
  <c r="K1200" i="1" a="1"/>
  <c r="K1105" i="1" a="1"/>
  <c r="K1005" i="1" a="1"/>
  <c r="K718" i="1" a="1"/>
  <c r="K1236" i="1" a="1"/>
  <c r="K1056" i="1" a="1"/>
  <c r="K876" i="1" a="1"/>
  <c r="K728" i="1" a="1"/>
  <c r="K755" i="1" a="1"/>
  <c r="K642" i="1" a="1"/>
  <c r="K872" i="1" a="1"/>
  <c r="K808" i="1" a="1"/>
  <c r="K668" i="1" a="1"/>
  <c r="K758" i="1" a="1"/>
  <c r="K356" i="1" a="1"/>
  <c r="K903" i="1" a="1"/>
  <c r="K775" i="1" a="1"/>
  <c r="K545" i="1" a="1"/>
  <c r="K627" i="1" a="1"/>
  <c r="K121" i="1" a="1"/>
  <c r="K432" i="1" a="1"/>
  <c r="K731" i="1" a="1"/>
  <c r="K616" i="1" a="1"/>
  <c r="K1003" i="1" a="1"/>
  <c r="K939" i="1" a="1"/>
  <c r="K875" i="1" a="1"/>
  <c r="K811" i="1" a="1"/>
  <c r="K730" i="1" a="1"/>
  <c r="K481" i="1" a="1"/>
  <c r="K584" i="1" a="1"/>
  <c r="K409" i="1" a="1"/>
  <c r="K511" i="1" a="1"/>
  <c r="K186" i="1" a="1"/>
  <c r="K655" i="1" a="1"/>
  <c r="K428" i="1" a="1"/>
  <c r="K233" i="1" a="1"/>
  <c r="K435" i="1" a="1"/>
  <c r="K270" i="1" a="1"/>
  <c r="K14" i="1" a="1"/>
  <c r="K402" i="1" a="1"/>
  <c r="K205" i="1" a="1"/>
  <c r="K304" i="1" a="1"/>
  <c r="K48" i="1" a="1"/>
  <c r="K135" i="1" a="1"/>
  <c r="K546" i="1" a="1"/>
  <c r="K17" i="1" a="1"/>
  <c r="K461" i="1" a="1"/>
  <c r="K531" i="1" a="1"/>
  <c r="K234" i="1" a="1"/>
  <c r="K667" i="1" a="1"/>
  <c r="K603" i="1" a="1"/>
  <c r="K485" i="1" a="1"/>
  <c r="K548" i="1" a="1"/>
  <c r="K281" i="1" a="1"/>
  <c r="K25" i="1" a="1"/>
  <c r="K447" i="1" a="1"/>
  <c r="K383" i="1" a="1"/>
  <c r="K294" i="1" a="1"/>
  <c r="K166" i="1" a="1"/>
  <c r="K38" i="1" a="1"/>
  <c r="K478" i="1" a="1"/>
  <c r="K414" i="1" a="1"/>
  <c r="K350" i="1" a="1"/>
  <c r="K229" i="1" a="1"/>
  <c r="K21" i="1" a="1"/>
  <c r="K96" i="1" a="1"/>
  <c r="K183" i="1" a="1"/>
  <c r="K654" i="1" a="1"/>
  <c r="K306" i="1" a="1"/>
  <c r="K721" i="1" a="1"/>
  <c r="K602" i="1" a="1"/>
  <c r="K1011" i="1" a="1"/>
  <c r="K947" i="1" a="1"/>
  <c r="K883" i="1" a="1"/>
  <c r="K819" i="1" a="1"/>
  <c r="K744" i="1" a="1"/>
  <c r="K517" i="1" a="1"/>
  <c r="K592" i="1" a="1"/>
  <c r="K436" i="1" a="1"/>
  <c r="K521" i="1" a="1"/>
  <c r="K218" i="1" a="1"/>
  <c r="K663" i="1" a="1"/>
  <c r="K599" i="1" a="1"/>
  <c r="K460" i="1" a="1"/>
  <c r="K539" i="1" a="1"/>
  <c r="K265" i="1" a="1"/>
  <c r="K9" i="1"/>
  <c r="L9" i="1" s="1" a="1"/>
  <c r="K443" i="1" a="1"/>
  <c r="K379" i="1" a="1"/>
  <c r="K286" i="1" a="1"/>
  <c r="K158" i="1" a="1"/>
  <c r="K30" i="1" a="1"/>
  <c r="K474" i="1" a="1"/>
  <c r="K410" i="1" a="1"/>
  <c r="K346" i="1" a="1"/>
  <c r="K221" i="1" a="1"/>
  <c r="K407" i="1" a="1"/>
  <c r="K342" i="1" a="1"/>
  <c r="K214" i="1" a="1"/>
  <c r="K86" i="1" a="1"/>
  <c r="K502" i="1" a="1"/>
  <c r="K438" i="1" a="1"/>
  <c r="K374" i="1" a="1"/>
  <c r="K277" i="1" a="1"/>
  <c r="K149" i="1" a="1"/>
  <c r="K192" i="1" a="1"/>
  <c r="K279" i="1" a="1"/>
  <c r="K23" i="1" a="1"/>
  <c r="K316" i="1" a="1"/>
  <c r="K188" i="1" a="1"/>
  <c r="K60" i="1" a="1"/>
  <c r="K275" i="1" a="1"/>
  <c r="K147" i="1" a="1"/>
  <c r="K19" i="1" a="1"/>
  <c r="K312" i="1" a="1"/>
  <c r="K184" i="1" a="1"/>
  <c r="K56" i="1" a="1"/>
  <c r="K271" i="1" a="1"/>
  <c r="K143" i="1" a="1"/>
  <c r="K15" i="1" a="1"/>
  <c r="K29" i="1" a="1"/>
  <c r="K292" i="1" a="1"/>
  <c r="K228" i="1" a="1"/>
  <c r="K164" i="1" a="1"/>
  <c r="K100" i="1" a="1"/>
  <c r="K36" i="1" a="1"/>
  <c r="K315" i="1" a="1"/>
  <c r="K251" i="1" a="1"/>
  <c r="K187" i="1" a="1"/>
  <c r="K123" i="1" a="1"/>
  <c r="K59" i="1" a="1"/>
  <c r="K301" i="1" a="1"/>
  <c r="K173" i="1" a="1"/>
  <c r="K240" i="1" a="1"/>
  <c r="K327" i="1" a="1"/>
  <c r="K71" i="1" a="1"/>
  <c r="K580" i="1" a="1"/>
  <c r="K505" i="1" a="1"/>
  <c r="K651" i="1" a="1"/>
  <c r="K421" i="1" a="1"/>
  <c r="K217" i="1" a="1"/>
  <c r="K431" i="1" a="1"/>
  <c r="K262" i="1" a="1"/>
  <c r="K6" i="1" a="1"/>
  <c r="K398" i="1" a="1"/>
  <c r="K197" i="1" a="1"/>
  <c r="K288" i="1" a="1"/>
  <c r="K32" i="1" a="1"/>
  <c r="K119" i="1" a="1"/>
  <c r="K604" i="1" a="1"/>
  <c r="K700" i="1" a="1"/>
  <c r="K995" i="1" a="1"/>
  <c r="K867" i="1" a="1"/>
  <c r="K699" i="1" a="1"/>
  <c r="K576" i="1" a="1"/>
  <c r="K480" i="1" a="1"/>
  <c r="K647" i="1" a="1"/>
  <c r="K408" i="1" a="1"/>
  <c r="K201" i="1" a="1"/>
  <c r="K427" i="1" a="1"/>
  <c r="K254" i="1" a="1"/>
  <c r="K522" i="1" a="1"/>
  <c r="K394" i="1" a="1"/>
  <c r="K189" i="1" a="1"/>
  <c r="K272" i="1" a="1"/>
  <c r="K16" i="1" a="1"/>
  <c r="K103" i="1" a="1"/>
  <c r="K391" i="1" a="1"/>
  <c r="K182" i="1" a="1"/>
  <c r="K486" i="1" a="1"/>
  <c r="K358" i="1" a="1"/>
  <c r="K85" i="1" a="1"/>
  <c r="K128" i="1" a="1"/>
  <c r="K215" i="1" a="1"/>
  <c r="K45" i="1" a="1"/>
  <c r="K300" i="1" a="1"/>
  <c r="K236" i="1" a="1"/>
  <c r="K172" i="1" a="1"/>
  <c r="K108" i="1" a="1"/>
  <c r="K44" i="1" a="1"/>
  <c r="K323" i="1" a="1"/>
  <c r="K259" i="1" a="1"/>
  <c r="K195" i="1" a="1"/>
  <c r="K131" i="1" a="1"/>
  <c r="K67" i="1" a="1"/>
  <c r="K3" i="1" a="1"/>
  <c r="K37" i="1" a="1"/>
  <c r="K296" i="1" a="1"/>
  <c r="K232" i="1" a="1"/>
  <c r="K168" i="1" a="1"/>
  <c r="K104" i="1" a="1"/>
  <c r="K40" i="1" a="1"/>
  <c r="K319" i="1" a="1"/>
  <c r="K255" i="1" a="1"/>
  <c r="K191" i="1" a="1"/>
  <c r="K127" i="1" a="1"/>
  <c r="K63" i="1" a="1"/>
  <c r="K3484" i="1" a="1"/>
  <c r="K340" i="1" a="1"/>
  <c r="K276" i="1" a="1"/>
  <c r="K212" i="1" a="1"/>
  <c r="K148" i="1" a="1"/>
  <c r="K84" i="1" a="1"/>
  <c r="K20" i="1" a="1"/>
  <c r="K299" i="1" a="1"/>
  <c r="K235" i="1" a="1"/>
  <c r="K171" i="1" a="1"/>
  <c r="K107" i="1" a="1"/>
  <c r="K43" i="1" a="1"/>
  <c r="K372" i="1" a="1"/>
  <c r="K907" i="1" a="1"/>
  <c r="K779" i="1" a="1"/>
  <c r="K177" i="1" a="1"/>
  <c r="K345" i="1" a="1"/>
  <c r="K58" i="1" a="1"/>
  <c r="K623" i="1" a="1"/>
  <c r="K553" i="1" a="1"/>
  <c r="K360" i="1" a="1"/>
  <c r="K440" i="1" a="1"/>
  <c r="K105" i="1" a="1"/>
  <c r="K467" i="1" a="1"/>
  <c r="K403" i="1" a="1"/>
  <c r="K334" i="1" a="1"/>
  <c r="K206" i="1" a="1"/>
  <c r="K78" i="1" a="1"/>
  <c r="K498" i="1" a="1"/>
  <c r="K434" i="1" a="1"/>
  <c r="K370" i="1" a="1"/>
  <c r="K269" i="1" a="1"/>
  <c r="K141" i="1" a="1"/>
  <c r="K176" i="1" a="1"/>
  <c r="K263" i="1" a="1"/>
  <c r="K7" i="1" a="1"/>
  <c r="K273" i="1" a="1"/>
  <c r="K559" i="1" a="1"/>
  <c r="K369" i="1" a="1"/>
  <c r="K441" i="1" a="1"/>
  <c r="K106" i="1" a="1"/>
  <c r="K635" i="1" a="1"/>
  <c r="K571" i="1" a="1"/>
  <c r="K384" i="1" a="1"/>
  <c r="K497" i="1" a="1"/>
  <c r="K153" i="1" a="1"/>
  <c r="K479" i="1" a="1"/>
  <c r="K415" i="1" a="1"/>
  <c r="K351" i="1" a="1"/>
  <c r="K230" i="1" a="1"/>
  <c r="K102" i="1" a="1"/>
  <c r="K510" i="1" a="1"/>
  <c r="K446" i="1" a="1"/>
  <c r="K382" i="1" a="1"/>
  <c r="K293" i="1" a="1"/>
  <c r="K165" i="1" a="1"/>
  <c r="K224" i="1" a="1"/>
  <c r="K311" i="1" a="1"/>
  <c r="K55" i="1" a="1"/>
  <c r="K745" i="1" a="1"/>
  <c r="K547" i="1" a="1"/>
  <c r="K50" i="1" a="1"/>
  <c r="K678" i="1" a="1"/>
  <c r="K404" i="1" a="1"/>
  <c r="K979" i="1" a="1"/>
  <c r="K915" i="1" a="1"/>
  <c r="K851" i="1" a="1"/>
  <c r="K787" i="1" a="1"/>
  <c r="K646" i="1" a="1"/>
  <c r="K241" i="1" a="1"/>
  <c r="K550" i="1" a="1"/>
  <c r="K361" i="1" a="1"/>
  <c r="K416" i="1" a="1"/>
  <c r="K90" i="1" a="1"/>
  <c r="K631" i="1" a="1"/>
  <c r="K567" i="1" a="1"/>
  <c r="K376" i="1" a="1"/>
  <c r="K472" i="1" a="1"/>
  <c r="K137" i="1" a="1"/>
  <c r="K475" i="1" a="1"/>
  <c r="K411" i="1" a="1"/>
  <c r="K347" i="1" a="1"/>
  <c r="K222" i="1" a="1"/>
  <c r="K94" i="1" a="1"/>
  <c r="K506" i="1" a="1"/>
  <c r="K442" i="1" a="1"/>
  <c r="K378" i="1" a="1"/>
  <c r="K285" i="1" a="1"/>
  <c r="K157" i="1" a="1"/>
  <c r="K439" i="1" a="1"/>
  <c r="K375" i="1" a="1"/>
  <c r="K278" i="1" a="1"/>
  <c r="K150" i="1" a="1"/>
  <c r="K22" i="1" a="1"/>
  <c r="K470" i="1" a="1"/>
  <c r="K406" i="1" a="1"/>
  <c r="K341" i="1" a="1"/>
  <c r="K213" i="1" a="1"/>
  <c r="K320" i="1" a="1"/>
  <c r="K64" i="1" a="1"/>
  <c r="K151" i="1" a="1"/>
  <c r="K13" i="1" a="1"/>
  <c r="K284" i="1" a="1"/>
  <c r="K220" i="1" a="1"/>
  <c r="K156" i="1" a="1"/>
  <c r="K92" i="1" a="1"/>
  <c r="K28" i="1" a="1"/>
  <c r="K307" i="1" a="1"/>
  <c r="K243" i="1" a="1"/>
  <c r="K179" i="1" a="1"/>
  <c r="K115" i="1" a="1"/>
  <c r="K51" i="1" a="1"/>
  <c r="K133" i="1" a="1"/>
  <c r="K5" i="1" a="1"/>
  <c r="K280" i="1" a="1"/>
  <c r="K216" i="1" a="1"/>
  <c r="K152" i="1" a="1"/>
  <c r="K88" i="1" a="1"/>
  <c r="K24" i="1" a="1"/>
  <c r="K303" i="1" a="1"/>
  <c r="K239" i="1" a="1"/>
  <c r="K175" i="1" a="1"/>
  <c r="K111" i="1" a="1"/>
  <c r="K47" i="1" a="1"/>
  <c r="K93" i="1" a="1"/>
  <c r="K324" i="1" a="1"/>
  <c r="K260" i="1" a="1"/>
  <c r="K196" i="1" a="1"/>
  <c r="K132" i="1" a="1"/>
  <c r="K68" i="1" a="1"/>
  <c r="K4" i="1" a="1"/>
  <c r="K283" i="1" a="1"/>
  <c r="K219" i="1" a="1"/>
  <c r="K155" i="1" a="1"/>
  <c r="K91" i="1" a="1"/>
  <c r="K27" i="1" a="1"/>
  <c r="K1019" i="1" a="1"/>
  <c r="K955" i="1" a="1"/>
  <c r="K891" i="1" a="1"/>
  <c r="K827" i="1" a="1"/>
  <c r="K762" i="1" a="1"/>
  <c r="K555" i="1" a="1"/>
  <c r="K49" i="1" a="1"/>
  <c r="K468" i="1" a="1"/>
  <c r="K540" i="1" a="1"/>
  <c r="K250" i="1" a="1"/>
  <c r="K671" i="1" a="1"/>
  <c r="K607" i="1" a="1"/>
  <c r="K492" i="1" a="1"/>
  <c r="K557" i="1" a="1"/>
  <c r="K297" i="1" a="1"/>
  <c r="K41" i="1" a="1"/>
  <c r="K451" i="1" a="1"/>
  <c r="K387" i="1" a="1"/>
  <c r="K302" i="1" a="1"/>
  <c r="K174" i="1" a="1"/>
  <c r="K46" i="1" a="1"/>
  <c r="K482" i="1" a="1"/>
  <c r="K418" i="1" a="1"/>
  <c r="K354" i="1" a="1"/>
  <c r="K237" i="1" a="1"/>
  <c r="K53" i="1" a="1"/>
  <c r="K112" i="1" a="1"/>
  <c r="K199" i="1" a="1"/>
  <c r="K145" i="1" a="1"/>
  <c r="K527" i="1" a="1"/>
  <c r="K563" i="1" a="1"/>
  <c r="K298" i="1" a="1"/>
  <c r="K42" i="1" a="1"/>
  <c r="K619" i="1" a="1"/>
  <c r="K544" i="1" a="1"/>
  <c r="K352" i="1" a="1"/>
  <c r="K433" i="1" a="1"/>
  <c r="K89" i="1" a="1"/>
  <c r="K463" i="1" a="1"/>
  <c r="K399" i="1" a="1"/>
  <c r="K326" i="1" a="1"/>
  <c r="K198" i="1" a="1"/>
  <c r="K70" i="1" a="1"/>
  <c r="K494" i="1" a="1"/>
  <c r="K430" i="1" a="1"/>
  <c r="K366" i="1" a="1"/>
  <c r="K261" i="1" a="1"/>
  <c r="K125" i="1" a="1"/>
  <c r="K160" i="1" a="1"/>
  <c r="K247" i="1" a="1"/>
  <c r="K695" i="1" a="1"/>
  <c r="K496" i="1" a="1"/>
  <c r="K749" i="1" a="1"/>
  <c r="K641" i="1" a="1"/>
  <c r="K1027" i="1" a="1"/>
  <c r="K963" i="1" a="1"/>
  <c r="K899" i="1" a="1"/>
  <c r="K835" i="1" a="1"/>
  <c r="K771" i="1" a="1"/>
  <c r="K596" i="1" a="1"/>
  <c r="K113" i="1" a="1"/>
  <c r="K500" i="1" a="1"/>
  <c r="K554" i="1" a="1"/>
  <c r="K282" i="1" a="1"/>
  <c r="K26" i="1" a="1"/>
  <c r="K615" i="1" a="1"/>
  <c r="K535" i="1" a="1"/>
  <c r="K344" i="1" a="1"/>
  <c r="K329" i="1" a="1"/>
  <c r="K73" i="1" a="1"/>
  <c r="K459" i="1" a="1"/>
  <c r="K395" i="1" a="1"/>
  <c r="K318" i="1" a="1"/>
  <c r="K190" i="1" a="1"/>
  <c r="K62" i="1" a="1"/>
  <c r="K490" i="1" a="1"/>
  <c r="K426" i="1" a="1"/>
  <c r="K362" i="1" a="1"/>
  <c r="K253" i="1" a="1"/>
  <c r="K117" i="1" a="1"/>
  <c r="K144" i="1" a="1"/>
  <c r="K231" i="1" a="1"/>
  <c r="K423" i="1" a="1"/>
  <c r="K359" i="1" a="1"/>
  <c r="K246" i="1" a="1"/>
  <c r="K118" i="1" a="1"/>
  <c r="K518" i="1" a="1"/>
  <c r="K454" i="1" a="1"/>
  <c r="K390" i="1" a="1"/>
  <c r="K309" i="1" a="1"/>
  <c r="K181" i="1" a="1"/>
  <c r="K256" i="1" a="1"/>
  <c r="K343" i="1" a="1"/>
  <c r="K87" i="1" a="1"/>
  <c r="K109" i="1" a="1"/>
  <c r="K332" i="1" a="1"/>
  <c r="K268" i="1" a="1"/>
  <c r="K204" i="1" a="1"/>
  <c r="K140" i="1" a="1"/>
  <c r="K76" i="1" a="1"/>
  <c r="K12" i="1" a="1"/>
  <c r="K291" i="1" a="1"/>
  <c r="K227" i="1" a="1"/>
  <c r="K163" i="1" a="1"/>
  <c r="K99" i="1" a="1"/>
  <c r="K35" i="1" a="1"/>
  <c r="K101" i="1" a="1"/>
  <c r="K328" i="1" a="1"/>
  <c r="K264" i="1" a="1"/>
  <c r="K200" i="1" a="1"/>
  <c r="K136" i="1" a="1"/>
  <c r="K72" i="1" a="1"/>
  <c r="K8" i="1" a="1"/>
  <c r="K287" i="1" a="1"/>
  <c r="K223" i="1" a="1"/>
  <c r="K159" i="1" a="1"/>
  <c r="K95" i="1" a="1"/>
  <c r="K31" i="1" a="1"/>
  <c r="K308" i="1" a="1"/>
  <c r="K180" i="1" a="1"/>
  <c r="K52" i="1" a="1"/>
  <c r="K267" i="1" a="1"/>
  <c r="K139" i="1" a="1"/>
  <c r="K11" i="1" a="1"/>
  <c r="L507" i="1" a="1"/>
  <c r="L1604" i="1" a="1"/>
  <c r="L865" i="1" a="1"/>
  <c r="L1968" i="1" a="1"/>
  <c r="L2741" i="1" a="1"/>
  <c r="L1199" i="1" a="1"/>
  <c r="L1012" i="1" a="1"/>
  <c r="L1165" i="1" a="1"/>
  <c r="L856" i="1" a="1"/>
  <c r="L966" i="1" a="1"/>
  <c r="L688" i="1" a="1"/>
  <c r="L1436" i="1" a="1"/>
  <c r="L1368" i="1" a="1"/>
  <c r="L1890" i="1" a="1"/>
  <c r="L1524" i="1" a="1"/>
  <c r="L2924" i="1" a="1"/>
  <c r="L1541" i="1" a="1"/>
  <c r="L2746" i="1" a="1"/>
  <c r="L1885" i="1" a="1"/>
  <c r="L3374" i="1" a="1"/>
  <c r="L2088" i="1" a="1"/>
  <c r="L2893" i="1" a="1"/>
  <c r="L3149" i="1" a="1"/>
  <c r="L3432" i="1" a="1"/>
  <c r="L1845" i="1" a="1"/>
  <c r="L1809" i="1" a="1"/>
  <c r="L2320" i="1" a="1"/>
  <c r="L2869" i="1" a="1"/>
  <c r="L852" i="1" a="1"/>
  <c r="L960" i="1" a="1"/>
  <c r="L677" i="1" a="1"/>
  <c r="L722" i="1" a="1"/>
  <c r="L1168" i="1" a="1"/>
  <c r="L1085" i="1" a="1"/>
  <c r="L1685" i="1" a="1"/>
  <c r="L633" i="1" a="1"/>
  <c r="L3350" i="1" a="1"/>
  <c r="L3248" i="1" a="1"/>
  <c r="L530" i="1" a="1"/>
  <c r="L2253" i="1" a="1"/>
  <c r="L2980" i="1" a="1"/>
  <c r="L2452" i="1" a="1"/>
  <c r="L2955" i="1" a="1"/>
  <c r="L3233" i="1" a="1"/>
  <c r="L3336" i="1" a="1"/>
  <c r="L2929" i="1" a="1"/>
  <c r="L1492" i="1" a="1"/>
  <c r="L2169" i="1" a="1"/>
  <c r="L2485" i="1" a="1"/>
  <c r="L1756" i="1" a="1"/>
  <c r="L717" i="1" a="1"/>
  <c r="L1163" i="1" a="1"/>
  <c r="L1079" i="1" a="1"/>
  <c r="L845" i="1" a="1"/>
  <c r="L638" i="1" a="1"/>
  <c r="L1274" i="1" a="1"/>
  <c r="L849" i="1" a="1"/>
  <c r="L769" i="1" a="1"/>
  <c r="L1505" i="1" a="1"/>
  <c r="L2950" i="1" a="1"/>
  <c r="L3151" i="1" a="1"/>
  <c r="L2708" i="1" a="1"/>
  <c r="L2583" i="1" a="1"/>
  <c r="L2639" i="1" a="1"/>
  <c r="L3284" i="1" a="1"/>
  <c r="L1345" i="1" a="1"/>
  <c r="L202" i="1" a="1"/>
  <c r="L1915" i="1" a="1"/>
  <c r="L733" i="1" a="1"/>
  <c r="L2613" i="1" a="1"/>
  <c r="L837" i="1" a="1"/>
  <c r="L613" i="1" a="1"/>
  <c r="L1270" i="1" a="1"/>
  <c r="L1204" i="1" a="1"/>
  <c r="L1018" i="1" a="1"/>
  <c r="L1174" i="1" a="1"/>
  <c r="L1539" i="1" a="1"/>
  <c r="L1823" i="1" a="1"/>
  <c r="L2323" i="1" a="1"/>
  <c r="L2743" i="1" a="1"/>
  <c r="L1827" i="1" a="1"/>
  <c r="L2992" i="1" a="1"/>
  <c r="L3141" i="1" a="1"/>
  <c r="L3331" i="1" a="1"/>
  <c r="L1608" i="1" a="1"/>
  <c r="L3031" i="1" a="1"/>
  <c r="L3460" i="1" a="1"/>
  <c r="L874" i="1" a="1"/>
  <c r="L982" i="1" a="1"/>
  <c r="L2948" i="1" a="1"/>
  <c r="L3116" i="1" a="1"/>
  <c r="L1814" i="1" a="1"/>
  <c r="L2269" i="1" a="1"/>
  <c r="L2677" i="1" a="1"/>
  <c r="L788" i="1" a="1"/>
  <c r="L664" i="1" a="1"/>
  <c r="L1205" i="1" a="1"/>
  <c r="L1346" i="1" a="1"/>
  <c r="L951" i="1" a="1"/>
  <c r="L590" i="1" a="1"/>
  <c r="L1083" i="1" a="1"/>
  <c r="L968" i="1" a="1"/>
  <c r="L1570" i="1" a="1"/>
  <c r="L2660" i="1" a="1"/>
  <c r="L3412" i="1" a="1"/>
  <c r="L558" i="1" a="1"/>
  <c r="L783" i="1" a="1"/>
  <c r="L2087" i="1" a="1"/>
  <c r="L2895" i="1" a="1"/>
  <c r="L2241" i="1" a="1"/>
  <c r="L3438" i="1" a="1"/>
  <c r="L2792" i="1" a="1"/>
  <c r="L2543" i="1" a="1"/>
  <c r="L1344" i="1" a="1"/>
  <c r="L2909" i="1" a="1"/>
  <c r="L1557" i="1" a="1"/>
  <c r="L1453" i="1" a="1"/>
  <c r="L1954" i="1" a="1"/>
  <c r="L2404" i="1" a="1"/>
  <c r="L2560" i="1" a="1"/>
  <c r="L1979" i="1" a="1"/>
  <c r="L1743" i="1" a="1"/>
  <c r="L2805" i="1" a="1"/>
  <c r="L582" i="1" a="1"/>
  <c r="L1078" i="1" a="1"/>
  <c r="L949" i="1" a="1"/>
  <c r="L609" i="1" a="1"/>
  <c r="L637" i="1" a="1"/>
  <c r="L1269" i="1" a="1"/>
  <c r="L1178" i="1" a="1"/>
  <c r="L1749" i="1" a="1"/>
  <c r="L1264" i="1" a="1"/>
  <c r="L2391" i="1" a="1"/>
  <c r="L911" i="1" a="1"/>
  <c r="L2811" i="1" a="1"/>
  <c r="L3066" i="1" a="1"/>
  <c r="L2580" i="1" a="1"/>
  <c r="L2005" i="1" a="1"/>
  <c r="L2066" i="1" a="1"/>
  <c r="L2319" i="1" a="1"/>
  <c r="L3185" i="1" a="1"/>
  <c r="L1071" i="1" a="1"/>
  <c r="L3478" i="1" a="1"/>
  <c r="L1702" i="1" a="1"/>
  <c r="L1403" i="1" a="1"/>
  <c r="L1567" i="1" a="1"/>
  <c r="L2154" i="1" a="1"/>
  <c r="L1419" i="1" a="1"/>
  <c r="L612" i="1" a="1"/>
  <c r="L1265" i="1" a="1"/>
  <c r="L1169" i="1" a="1"/>
  <c r="L338" i="1" a="1"/>
  <c r="L1004" i="1" a="1"/>
  <c r="L854" i="1" a="1"/>
  <c r="L825" i="1" a="1"/>
  <c r="L1373" i="1" a="1"/>
  <c r="L1571" i="1" a="1"/>
  <c r="L2896" i="1" a="1"/>
  <c r="L2447" i="1" a="1"/>
  <c r="L1747" i="1" a="1"/>
  <c r="L471" i="1" a="1"/>
  <c r="L353" i="1" a="1"/>
  <c r="L388" i="1" a="1"/>
  <c r="L834" i="1" a="1"/>
  <c r="L3236" i="1" a="1"/>
  <c r="L2885" i="1" a="1"/>
  <c r="L2983" i="1" a="1"/>
  <c r="L3063" i="1" a="1"/>
  <c r="L2110" i="1" a="1"/>
  <c r="L2871" i="1" a="1"/>
  <c r="L1155" i="1" a="1"/>
  <c r="L1370" i="1" a="1"/>
  <c r="L2193" i="1" a="1"/>
  <c r="L3090" i="1" a="1"/>
  <c r="L1119" i="1" a="1"/>
  <c r="L2084" i="1" a="1"/>
  <c r="L2549" i="1" a="1"/>
  <c r="L985" i="1" a="1"/>
  <c r="L846" i="1" a="1"/>
  <c r="L809" i="1" a="1"/>
  <c r="L823" i="1" a="1"/>
  <c r="L792" i="1" a="1"/>
  <c r="L676" i="1" a="1"/>
  <c r="L1214" i="1" a="1"/>
  <c r="L1351" i="1" a="1"/>
  <c r="L1349" i="1" a="1"/>
  <c r="L3119" i="1" a="1"/>
  <c r="L3052" i="1" a="1"/>
  <c r="L2421" i="1" a="1"/>
  <c r="L18" i="1" a="1"/>
  <c r="L2179" i="1" a="1"/>
  <c r="L3222" i="1" a="1"/>
  <c r="L3310" i="1" a="1"/>
  <c r="L3459" i="1" a="1"/>
  <c r="L2424" i="1" a="1"/>
  <c r="L2184" i="1" a="1"/>
  <c r="L2736" i="1" a="1"/>
  <c r="L759" i="1" a="1"/>
  <c r="L1564" i="1" a="1"/>
  <c r="K1957" i="1" a="1"/>
  <c r="K2814" i="1" a="1"/>
  <c r="K3368" i="1" a="1"/>
  <c r="K2608" i="1" a="1"/>
  <c r="K3420" i="1" a="1"/>
  <c r="K2768" i="1" a="1"/>
  <c r="K3480" i="1" a="1"/>
  <c r="K3487" i="1" a="1"/>
  <c r="K2800" i="1" a="1"/>
  <c r="K3476" i="1" a="1"/>
  <c r="K3101" i="1" a="1"/>
  <c r="K1924" i="1" a="1"/>
  <c r="K2946" i="1" a="1"/>
  <c r="K1988" i="1" a="1"/>
  <c r="K3165" i="1" a="1"/>
  <c r="K2109" i="1" a="1"/>
  <c r="K3253" i="1" a="1"/>
  <c r="K2415" i="1" a="1"/>
  <c r="K2846" i="1" a="1"/>
  <c r="K2336" i="1" a="1"/>
  <c r="K1429" i="1" a="1"/>
  <c r="K3005" i="1" a="1"/>
  <c r="K2575" i="1" a="1"/>
  <c r="K1989" i="1" a="1"/>
  <c r="K3175" i="1" a="1"/>
  <c r="K2696" i="1" a="1"/>
  <c r="K1941" i="1" a="1"/>
  <c r="K3443" i="1" a="1"/>
  <c r="K3315" i="1" a="1"/>
  <c r="K2925" i="1" a="1"/>
  <c r="K2519" i="1" a="1"/>
  <c r="K1877" i="1" a="1"/>
  <c r="K3494" i="1" a="1"/>
  <c r="K3430" i="1" a="1"/>
  <c r="K3366" i="1" a="1"/>
  <c r="K3302" i="1" a="1"/>
  <c r="K3109" i="1" a="1"/>
  <c r="K2855" i="1" a="1"/>
  <c r="K2692" i="1" a="1"/>
  <c r="K2564" i="1" a="1"/>
  <c r="K2436" i="1" a="1"/>
  <c r="K2222" i="1" a="1"/>
  <c r="K1806" i="1" a="1"/>
  <c r="K3168" i="1" a="1"/>
  <c r="K2971" i="1" a="1"/>
  <c r="K3226" i="1" a="1"/>
  <c r="K3140" i="1" a="1"/>
  <c r="K3055" i="1" a="1"/>
  <c r="K2970" i="1" a="1"/>
  <c r="K2884" i="1" a="1"/>
  <c r="K2387" i="1" a="1"/>
  <c r="K2157" i="1" a="1"/>
  <c r="K1784" i="1" a="1"/>
  <c r="K3211" i="1" a="1"/>
  <c r="K2928" i="1" a="1"/>
  <c r="K2786" i="1" a="1"/>
  <c r="K2235" i="1" a="1"/>
  <c r="K2065" i="1" a="1"/>
  <c r="K1428" i="1" a="1"/>
  <c r="K3159" i="1" a="1"/>
  <c r="K1170" i="1" a="1"/>
  <c r="K2961" i="1" a="1"/>
  <c r="K997" i="1" a="1"/>
  <c r="K3042" i="1" a="1"/>
  <c r="K2078" i="1" a="1"/>
  <c r="K3281" i="1" a="1"/>
  <c r="K3153" i="1" a="1"/>
  <c r="K2077" i="1" a="1"/>
  <c r="K3289" i="1" a="1"/>
  <c r="K2559" i="1" a="1"/>
  <c r="K3170" i="1" a="1"/>
  <c r="K2373" i="1" a="1"/>
  <c r="K3372" i="1" a="1"/>
  <c r="K2712" i="1" a="1"/>
  <c r="K3424" i="1" a="1"/>
  <c r="K2819" i="1" a="1"/>
  <c r="K3009" i="1" a="1"/>
  <c r="K2552" i="1" a="1"/>
  <c r="K1876" i="1" a="1"/>
  <c r="K3148" i="1" a="1"/>
  <c r="K2760" i="1" a="1"/>
  <c r="K2255" i="1" a="1"/>
  <c r="K3303" i="1" a="1"/>
  <c r="K2919" i="1" a="1"/>
  <c r="K2374" i="1" a="1"/>
  <c r="K3491" i="1" a="1"/>
  <c r="K3363" i="1" a="1"/>
  <c r="K3068" i="1" a="1"/>
  <c r="K2711" i="1" a="1"/>
  <c r="K2216" i="1" a="1"/>
  <c r="K3131" i="1" a="1"/>
  <c r="K3454" i="1" a="1"/>
  <c r="K3390" i="1" a="1"/>
  <c r="K3326" i="1" a="1"/>
  <c r="K3205" i="1" a="1"/>
  <c r="K2949" i="1" a="1"/>
  <c r="K2752" i="1" a="1"/>
  <c r="K2612" i="1" a="1"/>
  <c r="K2484" i="1" a="1"/>
  <c r="K2305" i="1" a="1"/>
  <c r="K1949" i="1" a="1"/>
  <c r="K1045" i="1" a="1"/>
  <c r="K3024" i="1" a="1"/>
  <c r="K3265" i="1" a="1"/>
  <c r="K3172" i="1" a="1"/>
  <c r="K3087" i="1" a="1"/>
  <c r="K3002" i="1" a="1"/>
  <c r="K2916" i="1" a="1"/>
  <c r="K2796" i="1" a="1"/>
  <c r="K2221" i="1" a="1"/>
  <c r="K2051" i="1" a="1"/>
  <c r="K1323" i="1" a="1"/>
  <c r="K2998" i="1" a="1"/>
  <c r="K2850" i="1" a="1"/>
  <c r="K2317" i="1" a="1"/>
  <c r="K2129" i="1" a="1"/>
  <c r="K1671" i="1" a="1"/>
  <c r="K3481" i="1" a="1"/>
  <c r="K2099" i="1" a="1"/>
  <c r="K3137" i="1" a="1"/>
  <c r="K2021" i="1" a="1"/>
  <c r="K3223" i="1" a="1"/>
  <c r="K2346" i="1" a="1"/>
  <c r="K3359" i="1" a="1"/>
  <c r="K3290" i="1" a="1"/>
  <c r="K2345" i="1" a="1"/>
  <c r="K3364" i="1" a="1"/>
  <c r="K2576" i="1" a="1"/>
  <c r="K2300" i="1" a="1"/>
  <c r="K2520" i="1" a="1"/>
  <c r="K3376" i="1" a="1"/>
  <c r="K3407" i="1" a="1"/>
  <c r="K3384" i="1" a="1"/>
  <c r="K3464" i="1" a="1"/>
  <c r="K1243" i="1" a="1"/>
  <c r="K1892" i="1" a="1"/>
  <c r="K2206" i="1" a="1"/>
  <c r="K2892" i="1" a="1"/>
  <c r="K3351" i="1" a="1"/>
  <c r="K2568" i="1" a="1"/>
  <c r="K3411" i="1" a="1"/>
  <c r="K2851" i="1" a="1"/>
  <c r="K593" i="1" a="1"/>
  <c r="K3414" i="1" a="1"/>
  <c r="K3270" i="1" a="1"/>
  <c r="K2816" i="1" a="1"/>
  <c r="K2532" i="1" a="1"/>
  <c r="K2094" i="1" a="1"/>
  <c r="K3099" i="1" a="1"/>
  <c r="K3204" i="1" a="1"/>
  <c r="K3034" i="1" a="1"/>
  <c r="K2860" i="1" a="1"/>
  <c r="K2115" i="1" a="1"/>
  <c r="K3126" i="1" a="1"/>
  <c r="K2747" i="1" a="1"/>
  <c r="K1836" i="1" a="1"/>
  <c r="K2780" i="1" a="1"/>
  <c r="K3332" i="1" a="1"/>
  <c r="K2527" i="1" a="1"/>
  <c r="K3399" i="1" a="1"/>
  <c r="K2695" i="1" a="1"/>
  <c r="K3463" i="1" a="1"/>
  <c r="K3468" i="1" a="1"/>
  <c r="K2735" i="1" a="1"/>
  <c r="K3448" i="1" a="1"/>
  <c r="K3058" i="1" a="1"/>
  <c r="K1699" i="1" a="1"/>
  <c r="K2858" i="1" a="1"/>
  <c r="K1893" i="1" a="1"/>
  <c r="K3143" i="1" a="1"/>
  <c r="K1973" i="1" a="1"/>
  <c r="K3229" i="1" a="1"/>
  <c r="K2272" i="1" a="1"/>
  <c r="K2831" i="1" a="1"/>
  <c r="K2309" i="1" a="1"/>
  <c r="K1302" i="1" a="1"/>
  <c r="K2993" i="1" a="1"/>
  <c r="K2528" i="1" a="1"/>
  <c r="K1956" i="1" a="1"/>
  <c r="K3132" i="1" a="1"/>
  <c r="K2679" i="1" a="1"/>
  <c r="K1908" i="1" a="1"/>
  <c r="K3435" i="1" a="1"/>
  <c r="K3307" i="1" a="1"/>
  <c r="K2913" i="1" a="1"/>
  <c r="K2472" i="1" a="1"/>
  <c r="K1773" i="1" a="1"/>
  <c r="K3490" i="1" a="1"/>
  <c r="K3426" i="1" a="1"/>
  <c r="K3362" i="1" a="1"/>
  <c r="K3293" i="1" a="1"/>
  <c r="K3093" i="1" a="1"/>
  <c r="K2848" i="1" a="1"/>
  <c r="K2684" i="1" a="1"/>
  <c r="K2556" i="1" a="1"/>
  <c r="K2428" i="1" a="1"/>
  <c r="K2190" i="1" a="1"/>
  <c r="K1738" i="1" a="1"/>
  <c r="K3158" i="1" a="1"/>
  <c r="K2960" i="1" a="1"/>
  <c r="K3220" i="1" a="1"/>
  <c r="K3135" i="1" a="1"/>
  <c r="K3050" i="1" a="1"/>
  <c r="K2964" i="1" a="1"/>
  <c r="K2879" i="1" a="1"/>
  <c r="K2378" i="1" a="1"/>
  <c r="K2147" i="1" a="1"/>
  <c r="K1763" i="1" a="1"/>
  <c r="K3190" i="1" a="1"/>
  <c r="K2918" i="1" a="1"/>
  <c r="K2779" i="1" a="1"/>
  <c r="K2225" i="1" a="1"/>
  <c r="K2055" i="1" a="1"/>
  <c r="K1386" i="1" a="1"/>
  <c r="K3089" i="1" a="1"/>
  <c r="K1858" i="1" a="1"/>
  <c r="K3201" i="1" a="1"/>
  <c r="K2246" i="1" a="1"/>
  <c r="K3308" i="1" a="1"/>
  <c r="K3275" i="1" a="1"/>
  <c r="K2245" i="1" a="1"/>
  <c r="K3340" i="1" a="1"/>
  <c r="K2687" i="1" a="1"/>
  <c r="K3238" i="1" a="1"/>
  <c r="K2463" i="1" a="1"/>
  <c r="K3404" i="1" a="1"/>
  <c r="K2856" i="1" a="1"/>
  <c r="K3472" i="1" a="1"/>
  <c r="K2941" i="1" a="1"/>
  <c r="K1171" i="1" a="1"/>
  <c r="K2616" i="1" a="1"/>
  <c r="K2004" i="1" a="1"/>
  <c r="K3234" i="1" a="1"/>
  <c r="K2794" i="1" a="1"/>
  <c r="K2328" i="1" a="1"/>
  <c r="K3319" i="1" a="1"/>
  <c r="K2977" i="1" a="1"/>
  <c r="K2440" i="1" a="1"/>
  <c r="K770" i="1" a="1"/>
  <c r="K3379" i="1" a="1"/>
  <c r="K3154" i="1" a="1"/>
  <c r="K2748" i="1" a="1"/>
  <c r="K2291" i="1" a="1"/>
  <c r="K3179" i="1" a="1"/>
  <c r="K3462" i="1" a="1"/>
  <c r="K3398" i="1" a="1"/>
  <c r="K3334" i="1" a="1"/>
  <c r="K3237" i="1" a="1"/>
  <c r="K2981" i="1" a="1"/>
  <c r="K2766" i="1" a="1"/>
  <c r="K2628" i="1" a="1"/>
  <c r="K2500" i="1" a="1"/>
  <c r="K2351" i="1" a="1"/>
  <c r="K1981" i="1" a="1"/>
  <c r="K1208" i="1" a="1"/>
  <c r="K3051" i="1" a="1"/>
  <c r="K3283" i="1" a="1"/>
  <c r="K3183" i="1" a="1"/>
  <c r="K3098" i="1" a="1"/>
  <c r="K3012" i="1" a="1"/>
  <c r="K2927" i="1" a="1"/>
  <c r="K2810" i="1" a="1"/>
  <c r="K2259" i="1" a="1"/>
  <c r="K2072" i="1" a="1"/>
  <c r="K1408" i="1" a="1"/>
  <c r="K3030" i="1" a="1"/>
  <c r="K2875" i="1" a="1"/>
  <c r="K2363" i="1" a="1"/>
  <c r="K2151" i="1" a="1"/>
  <c r="K1748" i="1" a="1"/>
  <c r="K3489" i="1" a="1"/>
  <c r="K2448" i="1" a="1"/>
  <c r="K2254" i="1" a="1"/>
  <c r="K2439" i="1" a="1"/>
  <c r="K3316" i="1" a="1"/>
  <c r="K3396" i="1" a="1"/>
  <c r="K3352" i="1" a="1"/>
  <c r="K3447" i="1" a="1"/>
  <c r="K594" i="1" a="1"/>
  <c r="K1774" i="1" a="1"/>
  <c r="K2152" i="1" a="1"/>
  <c r="K2877" i="1" a="1"/>
  <c r="K3343" i="1" a="1"/>
  <c r="K2551" i="1" a="1"/>
  <c r="K3403" i="1" a="1"/>
  <c r="K2832" i="1" a="1"/>
  <c r="K3232" i="1" a="1"/>
  <c r="K3410" i="1" a="1"/>
  <c r="K3261" i="1" a="1"/>
  <c r="K2798" i="1" a="1"/>
  <c r="K2524" i="1" a="1"/>
  <c r="K2062" i="1" a="1"/>
  <c r="K3083" i="1" a="1"/>
  <c r="K3199" i="1" a="1"/>
  <c r="K3028" i="1" a="1"/>
  <c r="K2842" i="1" a="1"/>
  <c r="K2104" i="1" a="1"/>
  <c r="K3104" i="1" a="1"/>
  <c r="K2740" i="1" a="1"/>
  <c r="K1815" i="1" a="1"/>
  <c r="K2704" i="1" a="1"/>
  <c r="K3320" i="1" a="1"/>
  <c r="K2480" i="1" a="1"/>
  <c r="K3388" i="1" a="1"/>
  <c r="K2648" i="1" a="1"/>
  <c r="K3444" i="1" a="1"/>
  <c r="K3440" i="1" a="1"/>
  <c r="K2688" i="1" a="1"/>
  <c r="K3439" i="1" a="1"/>
  <c r="K3036" i="1" a="1"/>
  <c r="K3456" i="1" a="1"/>
  <c r="K2824" i="1" a="1"/>
  <c r="K1795" i="1" a="1"/>
  <c r="K3122" i="1" a="1"/>
  <c r="K1794" i="1" a="1"/>
  <c r="K3186" i="1" a="1"/>
  <c r="K2163" i="1" a="1"/>
  <c r="K2812" i="1" a="1"/>
  <c r="K2263" i="1" a="1"/>
  <c r="K1087" i="1" a="1"/>
  <c r="K2978" i="1" a="1"/>
  <c r="K2511" i="1" a="1"/>
  <c r="K1750" i="1" a="1"/>
  <c r="K3117" i="1" a="1"/>
  <c r="K2632" i="1" a="1"/>
  <c r="K1859" i="1" a="1"/>
  <c r="K3427" i="1" a="1"/>
  <c r="K3280" i="1" a="1"/>
  <c r="K2898" i="1" a="1"/>
  <c r="K2455" i="1" a="1"/>
  <c r="K1542" i="1" a="1"/>
  <c r="K3486" i="1" a="1"/>
  <c r="K3422" i="1" a="1"/>
  <c r="K3358" i="1" a="1"/>
  <c r="K3288" i="1" a="1"/>
  <c r="K3077" i="1" a="1"/>
  <c r="K2830" i="1" a="1"/>
  <c r="K2676" i="1" a="1"/>
  <c r="K2548" i="1" a="1"/>
  <c r="K2420" i="1" a="1"/>
  <c r="K2158" i="1" a="1"/>
  <c r="K1712" i="1" a="1"/>
  <c r="K3142" i="1" a="1"/>
  <c r="K2944" i="1" a="1"/>
  <c r="K3215" i="1" a="1"/>
  <c r="K3130" i="1" a="1"/>
  <c r="K3044" i="1" a="1"/>
  <c r="K2959" i="1" a="1"/>
  <c r="K2874" i="1" a="1"/>
  <c r="K2341" i="1" a="1"/>
  <c r="K2136" i="1" a="1"/>
  <c r="K1686" i="1" a="1"/>
  <c r="K3174" i="1" a="1"/>
  <c r="K3266" i="1" a="1"/>
  <c r="K1430" i="1" a="1"/>
  <c r="K2988" i="1" a="1"/>
  <c r="K1576" i="1" a="1"/>
  <c r="K3085" i="1" a="1"/>
  <c r="K2195" i="1" a="1"/>
  <c r="K3295" i="1" a="1"/>
  <c r="K3197" i="1" a="1"/>
  <c r="K2194" i="1" a="1"/>
  <c r="K3328" i="1" a="1"/>
  <c r="K2640" i="1" a="1"/>
  <c r="K3213" i="1" a="1"/>
  <c r="K2416" i="1" a="1"/>
  <c r="K3383" i="1" a="1"/>
  <c r="K2787" i="1" a="1"/>
  <c r="K3455" i="1" a="1"/>
  <c r="K2914" i="1" a="1"/>
  <c r="K3021" i="1" a="1"/>
  <c r="K2599" i="1" a="1"/>
  <c r="K1909" i="1" a="1"/>
  <c r="K3191" i="1" a="1"/>
  <c r="K2775" i="1" a="1"/>
  <c r="K2282" i="1" a="1"/>
  <c r="K3311" i="1" a="1"/>
  <c r="K2962" i="1" a="1"/>
  <c r="K2423" i="1" a="1"/>
  <c r="K3499" i="1" a="1"/>
  <c r="K3371" i="1" a="1"/>
  <c r="K3111" i="1" a="1"/>
  <c r="K2728" i="1" a="1"/>
  <c r="K2264" i="1" a="1"/>
  <c r="K3152" i="1" a="1"/>
  <c r="K3458" i="1" a="1"/>
  <c r="K3394" i="1" a="1"/>
  <c r="K3330" i="1" a="1"/>
  <c r="K3221" i="1" a="1"/>
  <c r="K2965" i="1" a="1"/>
  <c r="K2759" i="1" a="1"/>
  <c r="K2620" i="1" a="1"/>
  <c r="K2492" i="1" a="1"/>
  <c r="K2342" i="1" a="1"/>
  <c r="K1965" i="1" a="1"/>
  <c r="K1130" i="1" a="1"/>
  <c r="K3035" i="1" a="1"/>
  <c r="K3274" i="1" a="1"/>
  <c r="K3178" i="1" a="1"/>
  <c r="K3092" i="1" a="1"/>
  <c r="K3007" i="1" a="1"/>
  <c r="K2922" i="1" a="1"/>
  <c r="K2803" i="1" a="1"/>
  <c r="K2250" i="1" a="1"/>
  <c r="K2061" i="1" a="1"/>
  <c r="K1366" i="1" a="1"/>
  <c r="K3014" i="1" a="1"/>
  <c r="K2868" i="1" a="1"/>
  <c r="K2354" i="1" a="1"/>
  <c r="K2140" i="1" a="1"/>
  <c r="K1723" i="1" a="1"/>
  <c r="K3485" i="1" a="1"/>
  <c r="K3457" i="1" a="1"/>
  <c r="K3393" i="1" a="1"/>
  <c r="K3329" i="1" a="1"/>
  <c r="K3225" i="1" a="1"/>
  <c r="K2969" i="1" a="1"/>
  <c r="K2758" i="1" a="1"/>
  <c r="K2627" i="1" a="1"/>
  <c r="K2499" i="1" a="1"/>
  <c r="K2359" i="1" a="1"/>
  <c r="K1996" i="1" a="1"/>
  <c r="K1275" i="1" a="1"/>
  <c r="K994" i="1" a="1"/>
  <c r="K3198" i="1" a="1"/>
  <c r="K3112" i="1" a="1"/>
  <c r="K3027" i="1" a="1"/>
  <c r="K2942" i="1" a="1"/>
  <c r="K2834" i="1" a="1"/>
  <c r="K2276" i="1" a="1"/>
  <c r="K2081" i="1" a="1"/>
  <c r="K1486" i="1" a="1"/>
  <c r="K2706" i="1" a="1"/>
  <c r="K2642" i="1" a="1"/>
  <c r="K2578" i="1" a="1"/>
  <c r="K2450" i="1" a="1"/>
  <c r="K2257" i="1" a="1"/>
  <c r="K1905" i="1" a="1"/>
  <c r="K2339" i="1" a="1"/>
  <c r="K2133" i="1" a="1"/>
  <c r="K1692" i="1" a="1"/>
  <c r="K2857" i="1" a="1"/>
  <c r="K2729" i="1" a="1"/>
  <c r="K2601" i="1" a="1"/>
  <c r="K2473" i="1" a="1"/>
  <c r="K2297" i="1" a="1"/>
  <c r="K1944" i="1" a="1"/>
  <c r="K2370" i="1" a="1"/>
  <c r="K2153" i="1" a="1"/>
  <c r="K1777" i="1" a="1"/>
  <c r="K523" i="1" a="1"/>
  <c r="K1903" i="1" a="1"/>
  <c r="K1465" i="1" a="1"/>
  <c r="K1829" i="1" a="1"/>
  <c r="K1580" i="1" a="1"/>
  <c r="K3437" i="1" a="1"/>
  <c r="K3309" i="1" a="1"/>
  <c r="K2889" i="1" a="1"/>
  <c r="K2587" i="1" a="1"/>
  <c r="K2286" i="1" a="1"/>
  <c r="K3252" i="1" a="1"/>
  <c r="K3171" i="1" a="1"/>
  <c r="K3000" i="1" a="1"/>
  <c r="K2788" i="1" a="1"/>
  <c r="K2027" i="1" a="1"/>
  <c r="K2686" i="1" a="1"/>
  <c r="K2558" i="1" a="1"/>
  <c r="K2430" i="1" a="1"/>
  <c r="K2198" i="1" a="1"/>
  <c r="K1854" i="1" a="1"/>
  <c r="K2298" i="1" a="1"/>
  <c r="K2107" i="1" a="1"/>
  <c r="K2034" i="1" a="1"/>
  <c r="K3417" i="1" a="1"/>
  <c r="K3353" i="1" a="1"/>
  <c r="K3278" i="1" a="1"/>
  <c r="K3065" i="1" a="1"/>
  <c r="K2675" i="1" a="1"/>
  <c r="K2419" i="1" a="1"/>
  <c r="K1762" i="1" a="1"/>
  <c r="K3230" i="1" a="1"/>
  <c r="K3059" i="1" a="1"/>
  <c r="K2888" i="1" a="1"/>
  <c r="K2145" i="1" a="1"/>
  <c r="K2730" i="1" a="1"/>
  <c r="K2602" i="1" a="1"/>
  <c r="K2474" i="1" a="1"/>
  <c r="K2303" i="1" a="1"/>
  <c r="K1953" i="1" a="1"/>
  <c r="K2389" i="1" a="1"/>
  <c r="K2165" i="1" a="1"/>
  <c r="K1789" i="1" a="1"/>
  <c r="K524" i="1" a="1"/>
  <c r="K2753" i="1" a="1"/>
  <c r="K2625" i="1" a="1"/>
  <c r="K2497" i="1" a="1"/>
  <c r="K2343" i="1" a="1"/>
  <c r="K1992" i="1" a="1"/>
  <c r="K1065" i="1" a="1"/>
  <c r="K2185" i="1" a="1"/>
  <c r="K1841" i="1" a="1"/>
  <c r="K1064" i="1" a="1"/>
  <c r="K1927" i="1" a="1"/>
  <c r="K1547" i="1" a="1"/>
  <c r="K1861" i="1" a="1"/>
  <c r="K3461" i="1" a="1"/>
  <c r="K3397" i="1" a="1"/>
  <c r="K3333" i="1" a="1"/>
  <c r="K3241" i="1" a="1"/>
  <c r="K2985" i="1" a="1"/>
  <c r="K2776" i="1" a="1"/>
  <c r="K2507" i="1" a="1"/>
  <c r="K2012" i="1" a="1"/>
  <c r="K2934" i="1" a="1"/>
  <c r="K3118" i="1" a="1"/>
  <c r="K2947" i="1" a="1"/>
  <c r="K2285" i="1" a="1"/>
  <c r="K1559" i="1" a="1"/>
  <c r="K2646" i="1" a="1"/>
  <c r="K2518" i="1" a="1"/>
  <c r="K2390" i="1" a="1"/>
  <c r="K2038" i="1" a="1"/>
  <c r="K1441" i="1" a="1"/>
  <c r="K2224" i="1" a="1"/>
  <c r="K2053" i="1" a="1"/>
  <c r="K1718" i="1" a="1"/>
  <c r="K2861" i="1" a="1"/>
  <c r="K2733" i="1" a="1"/>
  <c r="K2605" i="1" a="1"/>
  <c r="K2477" i="1" a="1"/>
  <c r="K2302" i="1" a="1"/>
  <c r="K1952" i="1" a="1"/>
  <c r="K2379" i="1" a="1"/>
  <c r="K2159" i="1" a="1"/>
  <c r="K1788" i="1" a="1"/>
  <c r="K644" i="1" a="1"/>
  <c r="K1907" i="1" a="1"/>
  <c r="K1474" i="1" a="1"/>
  <c r="K1835" i="1" a="1"/>
  <c r="K1588" i="1" a="1"/>
  <c r="K670" i="1" a="1"/>
  <c r="K1918" i="1" a="1"/>
  <c r="K1500" i="1" a="1"/>
  <c r="K1860" i="1" a="1"/>
  <c r="K1627" i="1" a="1"/>
  <c r="K1197" i="1" a="1"/>
  <c r="K1353" i="1" a="1"/>
  <c r="K926" i="1" a="1"/>
  <c r="K1598" i="1" a="1"/>
  <c r="K1406" i="1" a="1"/>
  <c r="K1028" i="1" a="1"/>
  <c r="K1466" i="1" a="1"/>
  <c r="K1059" i="1" a="1"/>
  <c r="K1713" i="1" a="1"/>
  <c r="K1585" i="1" a="1"/>
  <c r="K1388" i="1" a="1"/>
  <c r="K146" i="1" a="1"/>
  <c r="K81" i="1" a="1"/>
  <c r="K10" i="1" a="1"/>
  <c r="K313" i="1" a="1"/>
  <c r="K1180" i="1" a="1"/>
  <c r="K1962" i="1" a="1"/>
  <c r="K1752" i="1" a="1"/>
  <c r="K210" i="1" a="1"/>
  <c r="K573" i="1" a="1"/>
  <c r="K935" i="1" a="1"/>
  <c r="K807" i="1" a="1"/>
  <c r="K519" i="1" a="1"/>
  <c r="K666" i="1" a="1"/>
  <c r="K971" i="1" a="1"/>
  <c r="K843" i="1" a="1"/>
  <c r="K621" i="1" a="1"/>
  <c r="K536" i="1" a="1"/>
  <c r="K314" i="1" a="1"/>
  <c r="K2912" i="1" a="1"/>
  <c r="K2772" i="1" a="1"/>
  <c r="K2215" i="1" a="1"/>
  <c r="K2044" i="1" a="1"/>
  <c r="K1343" i="1" a="1"/>
  <c r="K2882" i="1" a="1"/>
  <c r="K3400" i="1" a="1"/>
  <c r="K2655" i="1" a="1"/>
  <c r="K3431" i="1" a="1"/>
  <c r="K2806" i="1" a="1"/>
  <c r="K996" i="1" a="1"/>
  <c r="K3138" i="1" a="1"/>
  <c r="K2838" i="1" a="1"/>
  <c r="K3495" i="1" a="1"/>
  <c r="K3127" i="1" a="1"/>
  <c r="K2130" i="1" a="1"/>
  <c r="K2973" i="1" a="1"/>
  <c r="K2056" i="1" a="1"/>
  <c r="K3212" i="1" a="1"/>
  <c r="K2226" i="1" a="1"/>
  <c r="K3298" i="1" a="1"/>
  <c r="K2496" i="1" a="1"/>
  <c r="K2881" i="1" a="1"/>
  <c r="K2407" i="1" a="1"/>
  <c r="K1506" i="1" a="1"/>
  <c r="K3020" i="1" a="1"/>
  <c r="K2592" i="1" a="1"/>
  <c r="K2035" i="1" a="1"/>
  <c r="K3218" i="1" a="1"/>
  <c r="K2742" i="1" a="1"/>
  <c r="K2033" i="1" a="1"/>
  <c r="K3451" i="1" a="1"/>
  <c r="K3323" i="1" a="1"/>
  <c r="K2940" i="1" a="1"/>
  <c r="K2536" i="1" a="1"/>
  <c r="K1972" i="1" a="1"/>
  <c r="K3498" i="1" a="1"/>
  <c r="K3434" i="1" a="1"/>
  <c r="K3370" i="1" a="1"/>
  <c r="K3306" i="1" a="1"/>
  <c r="K3125" i="1" a="1"/>
  <c r="K2862" i="1" a="1"/>
  <c r="K2700" i="1" a="1"/>
  <c r="K2572" i="1" a="1"/>
  <c r="K2444" i="1" a="1"/>
  <c r="K2232" i="1" a="1"/>
  <c r="K1869" i="1" a="1"/>
  <c r="K3195" i="1" a="1"/>
  <c r="K2982" i="1" a="1"/>
  <c r="K3231" i="1" a="1"/>
  <c r="K3146" i="1" a="1"/>
  <c r="K3060" i="1" a="1"/>
  <c r="K2975" i="1" a="1"/>
  <c r="K2890" i="1" a="1"/>
  <c r="K2739" i="1" a="1"/>
  <c r="K2168" i="1" a="1"/>
  <c r="K1805" i="1" a="1"/>
  <c r="K425" i="1" a="1"/>
  <c r="K2939" i="1" a="1"/>
  <c r="K2804" i="1" a="1"/>
  <c r="K2244" i="1" a="1"/>
  <c r="K2076" i="1" a="1"/>
  <c r="K1504" i="1" a="1"/>
  <c r="K2531" i="1" a="1"/>
  <c r="K2114" i="1" a="1"/>
  <c r="K3088" i="1" a="1"/>
  <c r="K3134" i="1" a="1"/>
  <c r="K2963" i="1" a="1"/>
  <c r="K2340" i="1" a="1"/>
  <c r="K1655" i="1" a="1"/>
  <c r="K2658" i="1" a="1"/>
  <c r="K2530" i="1" a="1"/>
  <c r="K2402" i="1" a="1"/>
  <c r="K2086" i="1" a="1"/>
  <c r="K1515" i="1" a="1"/>
  <c r="K2243" i="1" a="1"/>
  <c r="K2069" i="1" a="1"/>
  <c r="K3453" i="1" a="1"/>
  <c r="K3389" i="1" a="1"/>
  <c r="K3325" i="1" a="1"/>
  <c r="K3209" i="1" a="1"/>
  <c r="K2953" i="1" a="1"/>
  <c r="K2619" i="1" a="1"/>
  <c r="K2350" i="1" a="1"/>
  <c r="K1129" i="1" a="1"/>
  <c r="K3192" i="1" a="1"/>
  <c r="K3022" i="1" a="1"/>
  <c r="K2827" i="1" a="1"/>
  <c r="K2071" i="1" a="1"/>
  <c r="K2702" i="1" a="1"/>
  <c r="K2574" i="1" a="1"/>
  <c r="K2446" i="1" a="1"/>
  <c r="K2248" i="1" a="1"/>
  <c r="K1897" i="1" a="1"/>
  <c r="K2330" i="1" a="1"/>
  <c r="K2128" i="1" a="1"/>
  <c r="K1334" i="1" a="1"/>
  <c r="K2789" i="1" a="1"/>
  <c r="K2661" i="1" a="1"/>
  <c r="K2533" i="1" a="1"/>
  <c r="K2405" i="1" a="1"/>
  <c r="K2090" i="1" a="1"/>
  <c r="K1532" i="1" a="1"/>
  <c r="K2237" i="1" a="1"/>
  <c r="K2063" i="1" a="1"/>
  <c r="K1439" i="1" a="1"/>
  <c r="K1963" i="1" a="1"/>
  <c r="K1760" i="1" a="1"/>
  <c r="K1034" i="1" a="1"/>
  <c r="K1708" i="1" a="1"/>
  <c r="K1584" i="1" a="1"/>
  <c r="K2833" i="1" a="1"/>
  <c r="K2705" i="1" a="1"/>
  <c r="K2577" i="1" a="1"/>
  <c r="K2449" i="1" a="1"/>
  <c r="K2247" i="1" a="1"/>
  <c r="K1896" i="1" a="1"/>
  <c r="K2324" i="1" a="1"/>
  <c r="K2121" i="1" a="1"/>
  <c r="K1678" i="1" a="1"/>
  <c r="K2007" i="1" a="1"/>
  <c r="K1879" i="1" a="1"/>
  <c r="K1284" i="1" a="1"/>
  <c r="K1797" i="1" a="1"/>
  <c r="K1501" i="1" a="1"/>
  <c r="K3349" i="1" a="1"/>
  <c r="K3049" i="1" a="1"/>
  <c r="K2667" i="1" a="1"/>
  <c r="K2411" i="1" a="1"/>
  <c r="K1736" i="1" a="1"/>
  <c r="K3224" i="1" a="1"/>
  <c r="K3054" i="1" a="1"/>
  <c r="K2883" i="1" a="1"/>
  <c r="K2135" i="1" a="1"/>
  <c r="K2726" i="1" a="1"/>
  <c r="K2598" i="1" a="1"/>
  <c r="K2470" i="1" a="1"/>
  <c r="K2294" i="1" a="1"/>
  <c r="K1945" i="1" a="1"/>
  <c r="K2380" i="1" a="1"/>
  <c r="K2160" i="1" a="1"/>
  <c r="K1478" i="1" a="1"/>
  <c r="K2813" i="1" a="1"/>
  <c r="K2685" i="1" a="1"/>
  <c r="K2557" i="1" a="1"/>
  <c r="K2429" i="1" a="1"/>
  <c r="K2186" i="1" a="1"/>
  <c r="K1810" i="1" a="1"/>
  <c r="K850" i="1" a="1"/>
  <c r="K1934" i="1" a="1"/>
  <c r="K723" i="1" a="1"/>
  <c r="K1143" i="1" a="1"/>
  <c r="K910" i="1" a="1"/>
  <c r="K1173" i="1" a="1"/>
  <c r="K814" i="1" a="1"/>
  <c r="K1249" i="1" a="1"/>
  <c r="K1057" i="1" a="1"/>
  <c r="K585" i="1" a="1"/>
  <c r="K946" i="1" a="1"/>
  <c r="K488" i="1" a="1"/>
  <c r="K484" i="1" a="1"/>
  <c r="K768" i="1" a="1"/>
  <c r="K1938" i="1" a="1"/>
  <c r="K452" i="1" a="1"/>
  <c r="K1549" i="1" a="1"/>
  <c r="K1347" i="1" a="1"/>
  <c r="K810" i="1" a="1"/>
  <c r="K1309" i="1" a="1"/>
  <c r="K724" i="1" a="1"/>
  <c r="K1669" i="1" a="1"/>
  <c r="K1525" i="1" a="1"/>
  <c r="K1330" i="1" a="1"/>
  <c r="K760" i="1" a="1"/>
  <c r="K1149" i="1" a="1"/>
  <c r="K917" i="1" a="1"/>
  <c r="K1182" i="1" a="1"/>
  <c r="K822" i="1" a="1"/>
  <c r="K1253" i="1" a="1"/>
  <c r="K1062" i="1" a="1"/>
  <c r="K600" i="1" a="1"/>
  <c r="K953" i="1" a="1"/>
  <c r="K512" i="1" a="1"/>
  <c r="K529" i="1" a="1"/>
  <c r="K776" i="1" a="1"/>
  <c r="K456" i="1" a="1"/>
  <c r="K401" i="1" a="1"/>
  <c r="K170" i="1" a="1"/>
  <c r="K587" i="1" a="1"/>
  <c r="K520" i="1" a="1"/>
  <c r="K495" i="1" a="1"/>
  <c r="K367" i="1" a="1"/>
  <c r="K134" i="1" a="1"/>
  <c r="K462" i="1" a="1"/>
  <c r="K325" i="1" a="1"/>
  <c r="K772" i="1" a="1"/>
  <c r="K178" i="1" a="1"/>
  <c r="K537" i="1" a="1"/>
  <c r="K931" i="1" a="1"/>
  <c r="K803" i="1" a="1"/>
  <c r="K417" i="1" a="1"/>
  <c r="K393" i="1" a="1"/>
  <c r="K154" i="1" a="1"/>
  <c r="K583" i="1" a="1"/>
  <c r="K515" i="1" a="1"/>
  <c r="K491" i="1" a="1"/>
  <c r="K363" i="1" a="1"/>
  <c r="K126" i="1" a="1"/>
  <c r="K458" i="1" a="1"/>
  <c r="K317" i="1" a="1"/>
  <c r="K455" i="1" a="1"/>
  <c r="K310" i="1" a="1"/>
  <c r="K54" i="1" a="1"/>
  <c r="K422" i="1" a="1"/>
  <c r="K245" i="1" a="1"/>
  <c r="K208" i="1" a="1"/>
  <c r="K295" i="1" a="1"/>
  <c r="K39" i="1" a="1"/>
  <c r="K2" i="1" a="1"/>
  <c r="K2799" i="1" a="1"/>
  <c r="K3254" i="1" a="1"/>
  <c r="K2544" i="1" a="1"/>
  <c r="K3415" i="1" a="1"/>
  <c r="K2887" i="1" a="1"/>
  <c r="K3500" i="1" a="1"/>
  <c r="K2999" i="1" a="1"/>
  <c r="K1468" i="1" a="1"/>
  <c r="K2663" i="1" a="1"/>
  <c r="K2067" i="1" a="1"/>
  <c r="K3245" i="1" a="1"/>
  <c r="K2844" i="1" a="1"/>
  <c r="K2355" i="1" a="1"/>
  <c r="K3327" i="1" a="1"/>
  <c r="K2989" i="1" a="1"/>
  <c r="K2487" i="1" a="1"/>
  <c r="K1086" i="1" a="1"/>
  <c r="K3387" i="1" a="1"/>
  <c r="K3169" i="1" a="1"/>
  <c r="K2767" i="1" a="1"/>
  <c r="K2318" i="1" a="1"/>
  <c r="K3200" i="1" a="1"/>
  <c r="K3466" i="1" a="1"/>
  <c r="K3402" i="1" a="1"/>
  <c r="K3338" i="1" a="1"/>
  <c r="K3247" i="1" a="1"/>
  <c r="K2997" i="1" a="1"/>
  <c r="K2784" i="1" a="1"/>
  <c r="K2636" i="1" a="1"/>
  <c r="K2508" i="1" a="1"/>
  <c r="K2360" i="1" a="1"/>
  <c r="K1997" i="1" a="1"/>
  <c r="K1276" i="1" a="1"/>
  <c r="K3056" i="1" a="1"/>
  <c r="K3292" i="1" a="1"/>
  <c r="K3188" i="1" a="1"/>
  <c r="K3103" i="1" a="1"/>
  <c r="K3018" i="1" a="1"/>
  <c r="K2932" i="1" a="1"/>
  <c r="K2828" i="1" a="1"/>
  <c r="K2268" i="1" a="1"/>
  <c r="K2083" i="1" a="1"/>
  <c r="K1487" i="1" a="1"/>
  <c r="K3046" i="1" a="1"/>
  <c r="K2880" i="1" a="1"/>
  <c r="K2372" i="1" a="1"/>
  <c r="K2161" i="1" a="1"/>
  <c r="K1772" i="1" a="1"/>
  <c r="K3493" i="1" a="1"/>
  <c r="K3441" i="1" a="1"/>
  <c r="K3313" i="1" a="1"/>
  <c r="K2905" i="1" a="1"/>
  <c r="K1616" i="1" a="1"/>
  <c r="K2841" i="1" a="1"/>
  <c r="K2713" i="1" a="1"/>
  <c r="K2585" i="1" a="1"/>
  <c r="K2457" i="1" a="1"/>
  <c r="K2265" i="1" a="1"/>
  <c r="K1912" i="1" a="1"/>
  <c r="K2338" i="1" a="1"/>
  <c r="K2132" i="1" a="1"/>
  <c r="K1716" i="1" a="1"/>
  <c r="K2015" i="1" a="1"/>
  <c r="K1887" i="1" a="1"/>
  <c r="K1329" i="1" a="1"/>
  <c r="K1808" i="1" a="1"/>
  <c r="K1519" i="1" a="1"/>
  <c r="K3421" i="1" a="1"/>
  <c r="K3357" i="1" a="1"/>
  <c r="K3287" i="1" a="1"/>
  <c r="K3081" i="1" a="1"/>
  <c r="K2840" i="1" a="1"/>
  <c r="K2555" i="1" a="1"/>
  <c r="K2210" i="1" a="1"/>
  <c r="K3163" i="1" a="1"/>
  <c r="K3150" i="1" a="1"/>
  <c r="K2979" i="1" a="1"/>
  <c r="K2738" i="1" a="1"/>
  <c r="K1783" i="1" a="1"/>
  <c r="K2670" i="1" a="1"/>
  <c r="K2542" i="1" a="1"/>
  <c r="K2414" i="1" a="1"/>
  <c r="K2134" i="1" a="1"/>
  <c r="K1719" i="1" a="1"/>
  <c r="K2266" i="1" a="1"/>
  <c r="K2085" i="1" a="1"/>
  <c r="K1800" i="1" a="1"/>
  <c r="K645" i="1" a="1"/>
  <c r="K2757" i="1" a="1"/>
  <c r="K2629" i="1" a="1"/>
  <c r="K2501" i="1" a="1"/>
  <c r="K2352" i="1" a="1"/>
  <c r="K2000" i="1" a="1"/>
  <c r="K1107" i="1" a="1"/>
  <c r="K2191" i="1" a="1"/>
  <c r="K1852" i="1" a="1"/>
  <c r="K1188" i="1" a="1"/>
  <c r="K1931" i="1" a="1"/>
  <c r="K1556" i="1" a="1"/>
  <c r="K365" i="1" a="1"/>
  <c r="K1636" i="1" a="1"/>
  <c r="K1398" i="1" a="1"/>
  <c r="K2801" i="1" a="1"/>
  <c r="K2673" i="1" a="1"/>
  <c r="K2545" i="1" a="1"/>
  <c r="K2417" i="1" a="1"/>
  <c r="K2138" i="1" a="1"/>
  <c r="K1730" i="1" a="1"/>
  <c r="K2260" i="1" a="1"/>
  <c r="K2079" i="1" a="1"/>
  <c r="K1550" i="1" a="1"/>
  <c r="K1975" i="1" a="1"/>
  <c r="K1798" i="1" a="1"/>
  <c r="K1098" i="1" a="1"/>
  <c r="K1740" i="1" a="1"/>
  <c r="K881" i="1" a="1"/>
  <c r="K2030" i="1" a="1"/>
  <c r="K1902" i="1" a="1"/>
  <c r="K1445" i="1" a="1"/>
  <c r="K1839" i="1" a="1"/>
  <c r="K1595" i="1" a="1"/>
  <c r="K956" i="1" a="1"/>
  <c r="K1288" i="1" a="1"/>
  <c r="K704" i="1" a="1"/>
  <c r="K1582" i="1" a="1"/>
  <c r="K1384" i="1" a="1"/>
  <c r="K938" i="1" a="1"/>
  <c r="K1421" i="1" a="1"/>
  <c r="K989" i="1" a="1"/>
  <c r="K1697" i="1" a="1"/>
  <c r="K1569" i="1" a="1"/>
  <c r="K1367" i="1" a="1"/>
  <c r="K1023" i="1" a="1"/>
  <c r="K895" i="1" a="1"/>
  <c r="K767" i="1" a="1"/>
  <c r="K1906" i="1" a="1"/>
  <c r="K1473" i="1" a="1"/>
  <c r="K1844" i="1" a="1"/>
  <c r="K1603" i="1" a="1"/>
  <c r="K1032" i="1" a="1"/>
  <c r="K1305" i="1" a="1"/>
  <c r="K725" i="1" a="1"/>
  <c r="K61" i="1" a="1"/>
  <c r="K244" i="1" a="1"/>
  <c r="K116" i="1" a="1"/>
  <c r="K331" i="1" a="1"/>
  <c r="K203" i="1" a="1"/>
  <c r="K75" i="1" a="1"/>
  <c r="K3069" i="1" a="1"/>
  <c r="K2903" i="1" a="1"/>
  <c r="K3015" i="1" a="1"/>
  <c r="K3249" i="1" a="1"/>
  <c r="K2020" i="1" a="1"/>
  <c r="K2512" i="1" a="1"/>
  <c r="K2327" i="1" a="1"/>
  <c r="K2631" i="1" a="1"/>
  <c r="K2750" i="1" a="1"/>
  <c r="K2535" i="1" a="1"/>
  <c r="K3133" i="1" a="1"/>
  <c r="K2205" i="1" a="1"/>
  <c r="K2876" i="1" a="1"/>
  <c r="K3483" i="1" a="1"/>
  <c r="K3053" i="1" a="1"/>
  <c r="K2162" i="1" a="1"/>
  <c r="K3450" i="1" a="1"/>
  <c r="K3322" i="1" a="1"/>
  <c r="K2933" i="1" a="1"/>
  <c r="K2604" i="1" a="1"/>
  <c r="K2296" i="1" a="1"/>
  <c r="K693" i="1" a="1"/>
  <c r="K3260" i="1" a="1"/>
  <c r="K3082" i="1" a="1"/>
  <c r="K2911" i="1" a="1"/>
  <c r="K2211" i="1" a="1"/>
  <c r="K1207" i="1" a="1"/>
  <c r="K2843" i="1" a="1"/>
  <c r="K2119" i="1" a="1"/>
  <c r="K3477" i="1" a="1"/>
  <c r="K3425" i="1" a="1"/>
  <c r="K3361" i="1" a="1"/>
  <c r="K3296" i="1" a="1"/>
  <c r="K3097" i="1" a="1"/>
  <c r="K2847" i="1" a="1"/>
  <c r="K2691" i="1" a="1"/>
  <c r="K2563" i="1" a="1"/>
  <c r="K2435" i="1" a="1"/>
  <c r="K2231" i="1" a="1"/>
  <c r="K1868" i="1" a="1"/>
  <c r="K3184" i="1" a="1"/>
  <c r="K3240" i="1" a="1"/>
  <c r="K3155" i="1" a="1"/>
  <c r="K3070" i="1" a="1"/>
  <c r="K2984" i="1" a="1"/>
  <c r="K2899" i="1" a="1"/>
  <c r="K2756" i="1" a="1"/>
  <c r="K2167" i="1" a="1"/>
  <c r="K2674" i="1" a="1"/>
  <c r="K2610" i="1" a="1"/>
  <c r="K2482" i="1" a="1"/>
  <c r="K2418" i="1" a="1"/>
  <c r="K2150" i="1" a="1"/>
  <c r="K1744" i="1" a="1"/>
  <c r="K2275" i="1" a="1"/>
  <c r="K2091" i="1" a="1"/>
  <c r="K1551" i="1" a="1"/>
  <c r="K2825" i="1" a="1"/>
  <c r="K2697" i="1" a="1"/>
  <c r="K2569" i="1" a="1"/>
  <c r="K2441" i="1" a="1"/>
  <c r="K2233" i="1" a="1"/>
  <c r="K1880" i="1" a="1"/>
  <c r="K2306" i="1" a="1"/>
  <c r="K2111" i="1" a="1"/>
  <c r="K1647" i="1" a="1"/>
  <c r="K1999" i="1" a="1"/>
  <c r="K1871" i="1" a="1"/>
  <c r="K1252" i="1" a="1"/>
  <c r="K1787" i="1" a="1"/>
  <c r="K1455" i="1" a="1"/>
  <c r="K3449" i="1" a="1"/>
  <c r="K3385" i="1" a="1"/>
  <c r="K3321" i="1" a="1"/>
  <c r="K3193" i="1" a="1"/>
  <c r="K2937" i="1" a="1"/>
  <c r="K2744" i="1" a="1"/>
  <c r="K2483" i="1" a="1"/>
  <c r="K1964" i="1" a="1"/>
  <c r="K3291" i="1" a="1"/>
  <c r="K3102" i="1" a="1"/>
  <c r="K2931" i="1" a="1"/>
  <c r="K2258" i="1" a="1"/>
  <c r="K1364" i="1" a="1"/>
  <c r="K2634" i="1" a="1"/>
  <c r="K2506" i="1" a="1"/>
  <c r="K2367" i="1" a="1"/>
  <c r="K2017" i="1" a="1"/>
  <c r="K1260" i="1" a="1"/>
  <c r="K2208" i="1" a="1"/>
  <c r="K2037" i="1" a="1"/>
  <c r="K3429" i="1" a="1"/>
  <c r="K3365" i="1" a="1"/>
  <c r="K3301" i="1" a="1"/>
  <c r="K3113" i="1" a="1"/>
  <c r="K2854" i="1" a="1"/>
  <c r="K2571" i="1" a="1"/>
  <c r="K2240" i="1" a="1"/>
  <c r="K3206" i="1" a="1"/>
  <c r="K3160" i="1" a="1"/>
  <c r="K2990" i="1" a="1"/>
  <c r="K2763" i="1" a="1"/>
  <c r="K1825" i="1" a="1"/>
  <c r="K2678" i="1" a="1"/>
  <c r="K2550" i="1" a="1"/>
  <c r="K2422" i="1" a="1"/>
  <c r="K2166" i="1" a="1"/>
  <c r="K1790" i="1" a="1"/>
  <c r="K2284" i="1" a="1"/>
  <c r="K2096" i="1" a="1"/>
  <c r="K1568" i="1" a="1"/>
  <c r="K2829" i="1" a="1"/>
  <c r="K2701" i="1" a="1"/>
  <c r="K2573" i="1" a="1"/>
  <c r="K2445" i="1" a="1"/>
  <c r="K2238" i="1" a="1"/>
  <c r="K1888" i="1" a="1"/>
  <c r="K2315" i="1" a="1"/>
  <c r="K2116" i="1" a="1"/>
  <c r="K1663" i="1" a="1"/>
  <c r="K2003" i="1" a="1"/>
  <c r="K1875" i="1" a="1"/>
  <c r="K1268" i="1" a="1"/>
  <c r="K1792" i="1" a="1"/>
  <c r="K1464" i="1" a="1"/>
  <c r="K549" i="1" a="1"/>
  <c r="K526" i="1" a="1"/>
  <c r="K1360" i="1" a="1"/>
  <c r="K1994" i="1" a="1"/>
  <c r="K1866" i="1" a="1"/>
  <c r="K1216" i="1" a="1"/>
  <c r="K1791" i="1" a="1"/>
  <c r="K1472" i="1" a="1"/>
  <c r="K1554" i="1" a="1"/>
  <c r="K1185" i="1" a="1"/>
  <c r="K1674" i="1" a="1"/>
  <c r="K1535" i="1" a="1"/>
  <c r="K1336" i="1" a="1"/>
  <c r="K778" i="1" a="1"/>
  <c r="K1287" i="1" a="1"/>
  <c r="K681" i="1" a="1"/>
  <c r="K1661" i="1" a="1"/>
  <c r="K1511" i="1" a="1"/>
  <c r="K1319" i="1" a="1"/>
  <c r="K630" i="1" a="1"/>
  <c r="K1138" i="1" a="1"/>
  <c r="K904" i="1" a="1"/>
  <c r="K1164" i="1" a="1"/>
  <c r="K806" i="1" a="1"/>
  <c r="K1245" i="1" a="1"/>
  <c r="K1051" i="1" a="1"/>
  <c r="K569" i="1" a="1"/>
  <c r="K940" i="1" a="1"/>
  <c r="K289" i="1" a="1"/>
  <c r="K445" i="1" a="1"/>
  <c r="K130" i="1" a="1"/>
  <c r="K1910" i="1" a="1"/>
  <c r="K1482" i="1" a="1"/>
  <c r="K1849" i="1" a="1"/>
  <c r="K1611" i="1" a="1"/>
  <c r="K1096" i="1" a="1"/>
  <c r="K1321" i="1" a="1"/>
  <c r="K888" i="1" a="1"/>
  <c r="K1590" i="1" a="1"/>
  <c r="K1395" i="1" a="1"/>
  <c r="K977" i="1" a="1"/>
  <c r="K1452" i="1" a="1"/>
  <c r="K1038" i="1" a="1"/>
  <c r="K1705" i="1" a="1"/>
  <c r="K1577" i="1" a="1"/>
  <c r="K1378" i="1" a="1"/>
  <c r="K924" i="1" a="1"/>
  <c r="K1219" i="1" a="1"/>
  <c r="K1013" i="1" a="1"/>
  <c r="K381" i="1" a="1"/>
  <c r="K897" i="1" a="1"/>
  <c r="K1289" i="1" a="1"/>
  <c r="K1110" i="1" a="1"/>
  <c r="K747" i="1" a="1"/>
  <c r="K1072" i="1" a="1"/>
  <c r="K737" i="1" a="1"/>
  <c r="K649" i="1" a="1"/>
  <c r="K812" i="1" a="1"/>
  <c r="K591" i="1" a="1"/>
  <c r="K525" i="1" a="1"/>
  <c r="K499" i="1" a="1"/>
  <c r="K371" i="1" a="1"/>
  <c r="K142" i="1" a="1"/>
  <c r="K466" i="1" a="1"/>
  <c r="K333" i="1" a="1"/>
  <c r="K336" i="1" a="1"/>
  <c r="K80" i="1" a="1"/>
  <c r="K167" i="1" a="1"/>
  <c r="K77" i="1" a="1"/>
  <c r="K252" i="1" a="1"/>
  <c r="K124" i="1" a="1"/>
  <c r="K339" i="1" a="1"/>
  <c r="K211" i="1" a="1"/>
  <c r="K83" i="1" a="1"/>
  <c r="K69" i="1" a="1"/>
  <c r="K248" i="1" a="1"/>
  <c r="K120" i="1" a="1"/>
  <c r="K335" i="1" a="1"/>
  <c r="K207" i="1" a="1"/>
  <c r="K79" i="1" a="1"/>
  <c r="K11" i="1" l="1"/>
  <c r="K139" i="1"/>
  <c r="K267" i="1"/>
  <c r="K52" i="1"/>
  <c r="K180" i="1"/>
  <c r="K308" i="1"/>
  <c r="K31" i="1"/>
  <c r="K95" i="1"/>
  <c r="K159" i="1"/>
  <c r="K223" i="1"/>
  <c r="K287" i="1"/>
  <c r="K8" i="1"/>
  <c r="K72" i="1"/>
  <c r="K136" i="1"/>
  <c r="K200" i="1"/>
  <c r="K264" i="1"/>
  <c r="K328" i="1"/>
  <c r="K101" i="1"/>
  <c r="K35" i="1"/>
  <c r="K99" i="1"/>
  <c r="K163" i="1"/>
  <c r="K227" i="1"/>
  <c r="K291" i="1"/>
  <c r="K12" i="1"/>
  <c r="K76" i="1"/>
  <c r="K140" i="1"/>
  <c r="K204" i="1"/>
  <c r="K268" i="1"/>
  <c r="K332" i="1"/>
  <c r="K109" i="1"/>
  <c r="K87" i="1"/>
  <c r="K343" i="1"/>
  <c r="K256" i="1"/>
  <c r="K181" i="1"/>
  <c r="K309" i="1"/>
  <c r="K390" i="1"/>
  <c r="K454" i="1"/>
  <c r="K518" i="1"/>
  <c r="K118" i="1"/>
  <c r="K246" i="1"/>
  <c r="K359" i="1"/>
  <c r="K423" i="1"/>
  <c r="K231" i="1"/>
  <c r="K144" i="1"/>
  <c r="K117" i="1"/>
  <c r="K253" i="1"/>
  <c r="K362" i="1"/>
  <c r="K426" i="1"/>
  <c r="K490" i="1"/>
  <c r="K62" i="1"/>
  <c r="K190" i="1"/>
  <c r="K318" i="1"/>
  <c r="K395" i="1"/>
  <c r="K459" i="1"/>
  <c r="K73" i="1"/>
  <c r="K329" i="1"/>
  <c r="K344" i="1"/>
  <c r="K535" i="1"/>
  <c r="K615" i="1"/>
  <c r="K26" i="1"/>
  <c r="K282" i="1"/>
  <c r="K554" i="1"/>
  <c r="K500" i="1"/>
  <c r="K113" i="1"/>
  <c r="K596" i="1"/>
  <c r="K771" i="1"/>
  <c r="K835" i="1"/>
  <c r="K899" i="1"/>
  <c r="K963" i="1"/>
  <c r="K1027" i="1"/>
  <c r="K641" i="1"/>
  <c r="K749" i="1"/>
  <c r="K496" i="1"/>
  <c r="K695" i="1"/>
  <c r="K247" i="1"/>
  <c r="K160" i="1"/>
  <c r="K125" i="1"/>
  <c r="K261" i="1"/>
  <c r="K366" i="1"/>
  <c r="K430" i="1"/>
  <c r="K494" i="1"/>
  <c r="K70" i="1"/>
  <c r="K198" i="1"/>
  <c r="K326" i="1"/>
  <c r="K399" i="1"/>
  <c r="K463" i="1"/>
  <c r="K89" i="1"/>
  <c r="K433" i="1"/>
  <c r="K352" i="1"/>
  <c r="K544" i="1"/>
  <c r="K619" i="1"/>
  <c r="K42" i="1"/>
  <c r="K298" i="1"/>
  <c r="K563" i="1"/>
  <c r="K527" i="1"/>
  <c r="K145" i="1"/>
  <c r="K199" i="1"/>
  <c r="K112" i="1"/>
  <c r="K53" i="1"/>
  <c r="K237" i="1"/>
  <c r="K354" i="1"/>
  <c r="K418" i="1"/>
  <c r="K482" i="1"/>
  <c r="K46" i="1"/>
  <c r="K174" i="1"/>
  <c r="K302" i="1"/>
  <c r="K387" i="1"/>
  <c r="K451" i="1"/>
  <c r="K41" i="1"/>
  <c r="K297" i="1"/>
  <c r="K557" i="1"/>
  <c r="K492" i="1"/>
  <c r="K607" i="1"/>
  <c r="K671" i="1"/>
  <c r="K250" i="1"/>
  <c r="K540" i="1"/>
  <c r="K468" i="1"/>
  <c r="K49" i="1"/>
  <c r="K555" i="1"/>
  <c r="K762" i="1"/>
  <c r="K827" i="1"/>
  <c r="K891" i="1"/>
  <c r="K955" i="1"/>
  <c r="K1019" i="1"/>
  <c r="K27" i="1"/>
  <c r="K91" i="1"/>
  <c r="K155" i="1"/>
  <c r="K219" i="1"/>
  <c r="K283" i="1"/>
  <c r="K4" i="1"/>
  <c r="K68" i="1"/>
  <c r="K132" i="1"/>
  <c r="K196" i="1"/>
  <c r="K260" i="1"/>
  <c r="K324" i="1"/>
  <c r="K93" i="1"/>
  <c r="K47" i="1"/>
  <c r="K111" i="1"/>
  <c r="K175" i="1"/>
  <c r="K239" i="1"/>
  <c r="K303" i="1"/>
  <c r="K24" i="1"/>
  <c r="K88" i="1"/>
  <c r="K152" i="1"/>
  <c r="K216" i="1"/>
  <c r="K280" i="1"/>
  <c r="K5" i="1"/>
  <c r="K133" i="1"/>
  <c r="K51" i="1"/>
  <c r="K115" i="1"/>
  <c r="K179" i="1"/>
  <c r="K243" i="1"/>
  <c r="K307" i="1"/>
  <c r="K28" i="1"/>
  <c r="K92" i="1"/>
  <c r="K156" i="1"/>
  <c r="K220" i="1"/>
  <c r="K284" i="1"/>
  <c r="K13" i="1"/>
  <c r="K151" i="1"/>
  <c r="K64" i="1"/>
  <c r="K320" i="1"/>
  <c r="K213" i="1"/>
  <c r="K341" i="1"/>
  <c r="K406" i="1"/>
  <c r="K470" i="1"/>
  <c r="K22" i="1"/>
  <c r="K150" i="1"/>
  <c r="K278" i="1"/>
  <c r="K375" i="1"/>
  <c r="K439" i="1"/>
  <c r="K157" i="1"/>
  <c r="K285" i="1"/>
  <c r="K378" i="1"/>
  <c r="K442" i="1"/>
  <c r="K506" i="1"/>
  <c r="K94" i="1"/>
  <c r="K222" i="1"/>
  <c r="K347" i="1"/>
  <c r="K411" i="1"/>
  <c r="K475" i="1"/>
  <c r="K137" i="1"/>
  <c r="K472" i="1"/>
  <c r="K376" i="1"/>
  <c r="K567" i="1"/>
  <c r="K631" i="1"/>
  <c r="K90" i="1"/>
  <c r="K416" i="1"/>
  <c r="K361" i="1"/>
  <c r="K550" i="1"/>
  <c r="K241" i="1"/>
  <c r="K646" i="1"/>
  <c r="K787" i="1"/>
  <c r="K851" i="1"/>
  <c r="K915" i="1"/>
  <c r="K979" i="1"/>
  <c r="K404" i="1"/>
  <c r="K678" i="1"/>
  <c r="K50" i="1"/>
  <c r="K547" i="1"/>
  <c r="K745" i="1"/>
  <c r="K55" i="1"/>
  <c r="K311" i="1"/>
  <c r="K224" i="1"/>
  <c r="K165" i="1"/>
  <c r="K293" i="1"/>
  <c r="K382" i="1"/>
  <c r="K446" i="1"/>
  <c r="K510" i="1"/>
  <c r="K102" i="1"/>
  <c r="K230" i="1"/>
  <c r="K351" i="1"/>
  <c r="K415" i="1"/>
  <c r="K479" i="1"/>
  <c r="K153" i="1"/>
  <c r="K497" i="1"/>
  <c r="K384" i="1"/>
  <c r="K571" i="1"/>
  <c r="K635" i="1"/>
  <c r="K106" i="1"/>
  <c r="K441" i="1"/>
  <c r="K369" i="1"/>
  <c r="K559" i="1"/>
  <c r="K273" i="1"/>
  <c r="K7" i="1"/>
  <c r="K263" i="1"/>
  <c r="K176" i="1"/>
  <c r="K141" i="1"/>
  <c r="K269" i="1"/>
  <c r="K370" i="1"/>
  <c r="K434" i="1"/>
  <c r="K498" i="1"/>
  <c r="K78" i="1"/>
  <c r="K206" i="1"/>
  <c r="K334" i="1"/>
  <c r="K403" i="1"/>
  <c r="K467" i="1"/>
  <c r="K105" i="1"/>
  <c r="K440" i="1"/>
  <c r="K360" i="1"/>
  <c r="K553" i="1"/>
  <c r="K623" i="1"/>
  <c r="K58" i="1"/>
  <c r="K345" i="1"/>
  <c r="K177" i="1"/>
  <c r="K779" i="1"/>
  <c r="K907" i="1"/>
  <c r="K372" i="1"/>
  <c r="K43" i="1"/>
  <c r="K107" i="1"/>
  <c r="K171" i="1"/>
  <c r="K235" i="1"/>
  <c r="K299" i="1"/>
  <c r="K20" i="1"/>
  <c r="K84" i="1"/>
  <c r="K148" i="1"/>
  <c r="K212" i="1"/>
  <c r="K276" i="1"/>
  <c r="K340" i="1"/>
  <c r="K3484" i="1"/>
  <c r="K63" i="1"/>
  <c r="K127" i="1"/>
  <c r="K191" i="1"/>
  <c r="K255" i="1"/>
  <c r="K319" i="1"/>
  <c r="K40" i="1"/>
  <c r="K104" i="1"/>
  <c r="K168" i="1"/>
  <c r="K232" i="1"/>
  <c r="K296" i="1"/>
  <c r="K37" i="1"/>
  <c r="K3" i="1"/>
  <c r="K67" i="1"/>
  <c r="K131" i="1"/>
  <c r="K195" i="1"/>
  <c r="K259" i="1"/>
  <c r="K323" i="1"/>
  <c r="K44" i="1"/>
  <c r="K108" i="1"/>
  <c r="K172" i="1"/>
  <c r="K236" i="1"/>
  <c r="K300" i="1"/>
  <c r="K45" i="1"/>
  <c r="K215" i="1"/>
  <c r="K128" i="1"/>
  <c r="K85" i="1"/>
  <c r="K358" i="1"/>
  <c r="K486" i="1"/>
  <c r="K182" i="1"/>
  <c r="K391" i="1"/>
  <c r="K103" i="1"/>
  <c r="K16" i="1"/>
  <c r="K272" i="1"/>
  <c r="K189" i="1"/>
  <c r="K394" i="1"/>
  <c r="K522" i="1"/>
  <c r="K254" i="1"/>
  <c r="K427" i="1"/>
  <c r="K201" i="1"/>
  <c r="K408" i="1"/>
  <c r="K647" i="1"/>
  <c r="K480" i="1"/>
  <c r="K576" i="1"/>
  <c r="K699" i="1"/>
  <c r="K867" i="1"/>
  <c r="K995" i="1"/>
  <c r="K700" i="1"/>
  <c r="K604" i="1"/>
  <c r="K119" i="1"/>
  <c r="K32" i="1"/>
  <c r="K288" i="1"/>
  <c r="K197" i="1"/>
  <c r="K398" i="1"/>
  <c r="K6" i="1"/>
  <c r="K262" i="1"/>
  <c r="K431" i="1"/>
  <c r="K217" i="1"/>
  <c r="K421" i="1"/>
  <c r="K651" i="1"/>
  <c r="K505" i="1"/>
  <c r="K580" i="1"/>
  <c r="K71" i="1"/>
  <c r="K327" i="1"/>
  <c r="K240" i="1"/>
  <c r="K173" i="1"/>
  <c r="K301" i="1"/>
  <c r="K59" i="1"/>
  <c r="K123" i="1"/>
  <c r="K187" i="1"/>
  <c r="K251" i="1"/>
  <c r="K315" i="1"/>
  <c r="K36" i="1"/>
  <c r="K100" i="1"/>
  <c r="K164" i="1"/>
  <c r="K228" i="1"/>
  <c r="K292" i="1"/>
  <c r="K29" i="1"/>
  <c r="K15" i="1"/>
  <c r="K143" i="1"/>
  <c r="K271" i="1"/>
  <c r="K56" i="1"/>
  <c r="K184" i="1"/>
  <c r="K312" i="1"/>
  <c r="K19" i="1"/>
  <c r="K147" i="1"/>
  <c r="K275" i="1"/>
  <c r="K60" i="1"/>
  <c r="K188" i="1"/>
  <c r="K316" i="1"/>
  <c r="K23" i="1"/>
  <c r="K279" i="1"/>
  <c r="K192" i="1"/>
  <c r="K149" i="1"/>
  <c r="K277" i="1"/>
  <c r="K374" i="1"/>
  <c r="K438" i="1"/>
  <c r="K502" i="1"/>
  <c r="K86" i="1"/>
  <c r="K214" i="1"/>
  <c r="K342" i="1"/>
  <c r="K407" i="1"/>
  <c r="K221" i="1"/>
  <c r="K346" i="1"/>
  <c r="K410" i="1"/>
  <c r="K474" i="1"/>
  <c r="K30" i="1"/>
  <c r="K158" i="1"/>
  <c r="K286" i="1"/>
  <c r="K379" i="1"/>
  <c r="K443" i="1"/>
  <c r="L9" i="1"/>
  <c r="K265" i="1"/>
  <c r="K539" i="1"/>
  <c r="K460" i="1"/>
  <c r="K599" i="1"/>
  <c r="K663" i="1"/>
  <c r="K218" i="1"/>
  <c r="K521" i="1"/>
  <c r="K436" i="1"/>
  <c r="K592" i="1"/>
  <c r="K517" i="1"/>
  <c r="K744" i="1"/>
  <c r="K819" i="1"/>
  <c r="K883" i="1"/>
  <c r="K947" i="1"/>
  <c r="K1011" i="1"/>
  <c r="K602" i="1"/>
  <c r="K721" i="1"/>
  <c r="K306" i="1"/>
  <c r="K654" i="1"/>
  <c r="K183" i="1"/>
  <c r="K96" i="1"/>
  <c r="K21" i="1"/>
  <c r="K229" i="1"/>
  <c r="K350" i="1"/>
  <c r="K414" i="1"/>
  <c r="K478" i="1"/>
  <c r="K38" i="1"/>
  <c r="K166" i="1"/>
  <c r="K294" i="1"/>
  <c r="K383" i="1"/>
  <c r="K447" i="1"/>
  <c r="K25" i="1"/>
  <c r="K281" i="1"/>
  <c r="K548" i="1"/>
  <c r="K485" i="1"/>
  <c r="K603" i="1"/>
  <c r="K667" i="1"/>
  <c r="K234" i="1"/>
  <c r="K531" i="1"/>
  <c r="K461" i="1"/>
  <c r="K17" i="1"/>
  <c r="K546" i="1"/>
  <c r="K135" i="1"/>
  <c r="K48" i="1"/>
  <c r="K304" i="1"/>
  <c r="K205" i="1"/>
  <c r="K402" i="1"/>
  <c r="K14" i="1"/>
  <c r="K270" i="1"/>
  <c r="K435" i="1"/>
  <c r="K233" i="1"/>
  <c r="K428" i="1"/>
  <c r="K655" i="1"/>
  <c r="K186" i="1"/>
  <c r="K511" i="1"/>
  <c r="K409" i="1"/>
  <c r="K584" i="1"/>
  <c r="K481" i="1"/>
  <c r="K730" i="1"/>
  <c r="K811" i="1"/>
  <c r="K875" i="1"/>
  <c r="K939" i="1"/>
  <c r="K1003" i="1"/>
  <c r="K616" i="1"/>
  <c r="K731" i="1"/>
  <c r="K432" i="1"/>
  <c r="K121" i="1"/>
  <c r="K627" i="1"/>
  <c r="K545" i="1"/>
  <c r="K775" i="1"/>
  <c r="K903" i="1"/>
  <c r="K356" i="1"/>
  <c r="K758" i="1"/>
  <c r="K668" i="1"/>
  <c r="K808" i="1"/>
  <c r="K872" i="1"/>
  <c r="K642" i="1"/>
  <c r="K755" i="1"/>
  <c r="K728" i="1"/>
  <c r="K876" i="1"/>
  <c r="K1056" i="1"/>
  <c r="K1236" i="1"/>
  <c r="K718" i="1"/>
  <c r="K1005" i="1"/>
  <c r="K1105" i="1"/>
  <c r="K1200" i="1"/>
  <c r="K1285" i="1"/>
  <c r="K729" i="1"/>
  <c r="K890" i="1"/>
  <c r="K1068" i="1"/>
  <c r="K349" i="1"/>
  <c r="K739" i="1"/>
  <c r="K1006" i="1"/>
  <c r="K1106" i="1"/>
  <c r="K1210" i="1"/>
  <c r="K65" i="1"/>
  <c r="K898" i="1"/>
  <c r="K1238" i="1"/>
  <c r="K1372" i="1"/>
  <c r="K1461" i="1"/>
  <c r="K1573" i="1"/>
  <c r="K1637" i="1"/>
  <c r="K1701" i="1"/>
  <c r="K396" i="1"/>
  <c r="K1014" i="1"/>
  <c r="K1211" i="1"/>
  <c r="K1437" i="1"/>
  <c r="K194" i="1"/>
  <c r="K964" i="1"/>
  <c r="K1304" i="1"/>
  <c r="K1390" i="1"/>
  <c r="K1485" i="1"/>
  <c r="K1586" i="1"/>
  <c r="K1650" i="1"/>
  <c r="K1114" i="1"/>
  <c r="K1508" i="1"/>
  <c r="K1412" i="1"/>
  <c r="K1758" i="1"/>
  <c r="K1075" i="1"/>
  <c r="K1770" i="1"/>
  <c r="K1970" i="1"/>
  <c r="K509" i="1"/>
  <c r="K138" i="1"/>
  <c r="K337" i="1"/>
  <c r="K815" i="1"/>
  <c r="K943" i="1"/>
  <c r="K589" i="1"/>
  <c r="K274" i="1"/>
  <c r="K754" i="1"/>
  <c r="K828" i="1"/>
  <c r="K420" i="1"/>
  <c r="K685" i="1"/>
  <c r="K225" i="1"/>
  <c r="K789" i="1"/>
  <c r="K921" i="1"/>
  <c r="K1136" i="1"/>
  <c r="K551" i="1"/>
  <c r="K896" i="1"/>
  <c r="K1046" i="1"/>
  <c r="K1131" i="1"/>
  <c r="K1241" i="1"/>
  <c r="K226" i="1"/>
  <c r="K798" i="1"/>
  <c r="K948" i="1"/>
  <c r="K1148" i="1"/>
  <c r="K570" i="1"/>
  <c r="K885" i="1"/>
  <c r="K1047" i="1"/>
  <c r="K1133" i="1"/>
  <c r="K1246" i="1"/>
  <c r="K605" i="1"/>
  <c r="K1001" i="1"/>
  <c r="K1314" i="1"/>
  <c r="K1399" i="1"/>
  <c r="K1502" i="1"/>
  <c r="K1593" i="1"/>
  <c r="K1657" i="1"/>
  <c r="K1721" i="1"/>
  <c r="K657" i="1"/>
  <c r="K1081" i="1"/>
  <c r="K1279" i="1"/>
  <c r="K1484" i="1"/>
  <c r="K761" i="1"/>
  <c r="K1092" i="1"/>
  <c r="K1331" i="1"/>
  <c r="K1416" i="1"/>
  <c r="K1526" i="1"/>
  <c r="K1606" i="1"/>
  <c r="K1670" i="1"/>
  <c r="K965" i="1"/>
  <c r="K1176" i="1"/>
  <c r="K1385" i="1"/>
  <c r="K1545" i="1"/>
  <c r="K1295" i="1"/>
  <c r="K1463" i="1"/>
  <c r="K1643" i="1"/>
  <c r="K1785" i="1"/>
  <c r="K364" i="1"/>
  <c r="K1179" i="1"/>
  <c r="K1546" i="1"/>
  <c r="K1850" i="1"/>
  <c r="K1926" i="1"/>
  <c r="K1990" i="1"/>
  <c r="K786" i="1"/>
  <c r="K1350" i="1"/>
  <c r="K453" i="1"/>
  <c r="K516" i="1"/>
  <c r="K653" i="1"/>
  <c r="K855" i="1"/>
  <c r="K983" i="1"/>
  <c r="K684" i="1"/>
  <c r="K556" i="1"/>
  <c r="K784" i="1"/>
  <c r="K848" i="1"/>
  <c r="K574" i="1"/>
  <c r="K712" i="1"/>
  <c r="K598" i="1"/>
  <c r="K829" i="1"/>
  <c r="K978" i="1"/>
  <c r="K1190" i="1"/>
  <c r="K650" i="1"/>
  <c r="K941" i="1"/>
  <c r="K1073" i="1"/>
  <c r="K1158" i="1"/>
  <c r="K1261" i="1"/>
  <c r="K533" i="1"/>
  <c r="K838" i="1"/>
  <c r="K993" i="1"/>
  <c r="K1196" i="1"/>
  <c r="K665" i="1"/>
  <c r="K942" i="1"/>
  <c r="K1074" i="1"/>
  <c r="K1159" i="1"/>
  <c r="K1266" i="1"/>
  <c r="K793" i="1"/>
  <c r="K1144" i="1"/>
  <c r="K1340" i="1"/>
  <c r="K1426" i="1"/>
  <c r="K1543" i="1"/>
  <c r="K1613" i="1"/>
  <c r="K1677" i="1"/>
  <c r="K1741" i="1"/>
  <c r="K886" i="1"/>
  <c r="K1134" i="1"/>
  <c r="K1341" i="1"/>
  <c r="K1521" i="1"/>
  <c r="K842" i="1"/>
  <c r="K1212" i="1"/>
  <c r="K1358" i="1"/>
  <c r="K1443" i="1"/>
  <c r="K1562" i="1"/>
  <c r="K1626" i="1"/>
  <c r="K578" i="1"/>
  <c r="K1050" i="1"/>
  <c r="K1248" i="1"/>
  <c r="K1458" i="1"/>
  <c r="K785" i="1"/>
  <c r="K1348" i="1"/>
  <c r="K1536" i="1"/>
  <c r="K1694" i="1"/>
  <c r="K1812" i="1"/>
  <c r="K880" i="1"/>
  <c r="K1283" i="1"/>
  <c r="K1714" i="1"/>
  <c r="K1882" i="1"/>
  <c r="K1946" i="1"/>
  <c r="K2010" i="1"/>
  <c r="K932" i="1"/>
  <c r="K57" i="1"/>
  <c r="K611" i="1"/>
  <c r="K493" i="1"/>
  <c r="K740" i="1"/>
  <c r="K661" i="1"/>
  <c r="K804" i="1"/>
  <c r="K868" i="1"/>
  <c r="K624" i="1"/>
  <c r="K750" i="1"/>
  <c r="K707" i="1"/>
  <c r="K869" i="1"/>
  <c r="K1040" i="1"/>
  <c r="K1231" i="1"/>
  <c r="K708" i="1"/>
  <c r="K998" i="1"/>
  <c r="K1099" i="1"/>
  <c r="K1195" i="1"/>
  <c r="K1281" i="1"/>
  <c r="K719" i="1"/>
  <c r="K884" i="1"/>
  <c r="K1052" i="1"/>
  <c r="K1237" i="1"/>
  <c r="K720" i="1"/>
  <c r="K1000" i="1"/>
  <c r="K1101" i="1"/>
  <c r="K1201" i="1"/>
  <c r="K1286" i="1"/>
  <c r="K873" i="1"/>
  <c r="K1229" i="1"/>
  <c r="K1456" i="1"/>
  <c r="K1633" i="1"/>
  <c r="K1761" i="1"/>
  <c r="K1202" i="1"/>
  <c r="K66" i="1"/>
  <c r="K1299" i="1"/>
  <c r="K1480" i="1"/>
  <c r="K1646" i="1"/>
  <c r="K1103" i="1"/>
  <c r="K1499" i="1"/>
  <c r="K1402" i="1"/>
  <c r="K1739" i="1"/>
  <c r="K1054" i="1"/>
  <c r="K1759" i="1"/>
  <c r="K1966" i="1"/>
  <c r="K1198" i="1"/>
  <c r="K1528" i="1"/>
  <c r="K1683" i="1"/>
  <c r="K1813" i="1"/>
  <c r="K958" i="1"/>
  <c r="K1361" i="1"/>
  <c r="K1735" i="1"/>
  <c r="K1891" i="1"/>
  <c r="K1955" i="1"/>
  <c r="K2019" i="1"/>
  <c r="K1396" i="1"/>
  <c r="K1742" i="1"/>
  <c r="K2052" i="1"/>
  <c r="K2137" i="1"/>
  <c r="K2223" i="1"/>
  <c r="K2347" i="1"/>
  <c r="K1459" i="1"/>
  <c r="K1920" i="1"/>
  <c r="K2058" i="1"/>
  <c r="K2270" i="1"/>
  <c r="K2397" i="1"/>
  <c r="K2461" i="1"/>
  <c r="K2525" i="1"/>
  <c r="K2589" i="1"/>
  <c r="K2653" i="1"/>
  <c r="K2717" i="1"/>
  <c r="K2781" i="1"/>
  <c r="K2845" i="1"/>
  <c r="K1291" i="1"/>
  <c r="K1632" i="1"/>
  <c r="K1864" i="1"/>
  <c r="K2117" i="1"/>
  <c r="K2203" i="1"/>
  <c r="K2316" i="1"/>
  <c r="K1226" i="1"/>
  <c r="K1881" i="1"/>
  <c r="K2009" i="1"/>
  <c r="K2230" i="1"/>
  <c r="K2358" i="1"/>
  <c r="K2438" i="1"/>
  <c r="K2502" i="1"/>
  <c r="K2566" i="1"/>
  <c r="K2630" i="1"/>
  <c r="K2694" i="1"/>
  <c r="K1322" i="1"/>
  <c r="K2049" i="1"/>
  <c r="K2220" i="1"/>
  <c r="K2802" i="1"/>
  <c r="K2926" i="1"/>
  <c r="K3011" i="1"/>
  <c r="K3096" i="1"/>
  <c r="K3182" i="1"/>
  <c r="K3282" i="1"/>
  <c r="K944" i="1"/>
  <c r="K1948" i="1"/>
  <c r="K2304" i="1"/>
  <c r="K2475" i="1"/>
  <c r="K2603" i="1"/>
  <c r="K2731" i="1"/>
  <c r="K2921" i="1"/>
  <c r="K3177" i="1"/>
  <c r="K3317" i="1"/>
  <c r="K3381" i="1"/>
  <c r="K3445" i="1"/>
  <c r="K1392" i="1"/>
  <c r="K1596" i="1"/>
  <c r="K1840" i="1"/>
  <c r="K1483" i="1"/>
  <c r="K1911" i="1"/>
  <c r="K801" i="1"/>
  <c r="K1799" i="1"/>
  <c r="K2164" i="1"/>
  <c r="K2388" i="1"/>
  <c r="K1960" i="1"/>
  <c r="K2311" i="1"/>
  <c r="K2481" i="1"/>
  <c r="K2609" i="1"/>
  <c r="K2737" i="1"/>
  <c r="K2865" i="1"/>
  <c r="K1731" i="1"/>
  <c r="K2059" i="1"/>
  <c r="K2144" i="1"/>
  <c r="K2229" i="1"/>
  <c r="K2357" i="1"/>
  <c r="K1460" i="1"/>
  <c r="K1921" i="1"/>
  <c r="K2054" i="1"/>
  <c r="K2271" i="1"/>
  <c r="K2394" i="1"/>
  <c r="K2458" i="1"/>
  <c r="K2522" i="1"/>
  <c r="K2586" i="1"/>
  <c r="K2650" i="1"/>
  <c r="K2714" i="1"/>
  <c r="K1591" i="1"/>
  <c r="K2103" i="1"/>
  <c r="K2322" i="1"/>
  <c r="K2859" i="1"/>
  <c r="K2952" i="1"/>
  <c r="K3038" i="1"/>
  <c r="K3123" i="1"/>
  <c r="K3208" i="1"/>
  <c r="K3040" i="1"/>
  <c r="K1450" i="1"/>
  <c r="K2050" i="1"/>
  <c r="K2377" i="1"/>
  <c r="K2515" i="1"/>
  <c r="K2643" i="1"/>
  <c r="K2783" i="1"/>
  <c r="K3001" i="1"/>
  <c r="K3246" i="1"/>
  <c r="K3337" i="1"/>
  <c r="K3401" i="1"/>
  <c r="K3465" i="1"/>
  <c r="K1446" i="1"/>
  <c r="K1781" i="1"/>
  <c r="K1235" i="1"/>
  <c r="K1867" i="1"/>
  <c r="K1995" i="1"/>
  <c r="K1631" i="1"/>
  <c r="K2105" i="1"/>
  <c r="K2301" i="1"/>
  <c r="K1872" i="1"/>
  <c r="K2218" i="1"/>
  <c r="K2437" i="1"/>
  <c r="K2565" i="1"/>
  <c r="K2693" i="1"/>
  <c r="K2821" i="1"/>
  <c r="K1533" i="1"/>
  <c r="K2171" i="1"/>
  <c r="K734" i="1"/>
  <c r="K1961" i="1"/>
  <c r="K2312" i="1"/>
  <c r="K2478" i="1"/>
  <c r="K2606" i="1"/>
  <c r="K2734" i="1"/>
  <c r="K2156" i="1"/>
  <c r="K2894" i="1"/>
  <c r="K3064" i="1"/>
  <c r="K3235" i="1"/>
  <c r="K1826" i="1"/>
  <c r="K2427" i="1"/>
  <c r="K2683" i="1"/>
  <c r="K752" i="1"/>
  <c r="K1676" i="1"/>
  <c r="K933" i="1"/>
  <c r="K1728" i="1"/>
  <c r="K1951" i="1"/>
  <c r="K1375" i="1"/>
  <c r="K2047" i="1"/>
  <c r="K2217" i="1"/>
  <c r="K1397" i="1"/>
  <c r="K2042" i="1"/>
  <c r="K2393" i="1"/>
  <c r="K2521" i="1"/>
  <c r="K2649" i="1"/>
  <c r="K2777" i="1"/>
  <c r="K1189" i="1"/>
  <c r="K1853" i="1"/>
  <c r="K2112" i="1"/>
  <c r="K2197" i="1"/>
  <c r="K2307" i="1"/>
  <c r="K1151" i="1"/>
  <c r="K1873" i="1"/>
  <c r="K2001" i="1"/>
  <c r="K2214" i="1"/>
  <c r="K2353" i="1"/>
  <c r="K2434" i="1"/>
  <c r="K2498" i="1"/>
  <c r="K2562" i="1"/>
  <c r="K2626" i="1"/>
  <c r="K2690" i="1"/>
  <c r="K1206" i="1"/>
  <c r="K2039" i="1"/>
  <c r="K2209" i="1"/>
  <c r="K2795" i="1"/>
  <c r="K2920" i="1"/>
  <c r="K3006" i="1"/>
  <c r="K3091" i="1"/>
  <c r="K3176" i="1"/>
  <c r="K3273" i="1"/>
  <c r="K692" i="1"/>
  <c r="K1932" i="1"/>
  <c r="K2295" i="1"/>
  <c r="K2467" i="1"/>
  <c r="K2595" i="1"/>
  <c r="K2723" i="1"/>
  <c r="K3161" i="1"/>
  <c r="K3377" i="1"/>
  <c r="K1575" i="1"/>
  <c r="K2097" i="1"/>
  <c r="K2290" i="1"/>
  <c r="K2818" i="1"/>
  <c r="K2966" i="1"/>
  <c r="K945" i="1"/>
  <c r="K1848" i="1"/>
  <c r="K2189" i="1"/>
  <c r="K2764" i="1"/>
  <c r="K2900" i="1"/>
  <c r="K2986" i="1"/>
  <c r="K3071" i="1"/>
  <c r="K3156" i="1"/>
  <c r="K3242" i="1"/>
  <c r="K3003" i="1"/>
  <c r="K3243" i="1"/>
  <c r="K1901" i="1"/>
  <c r="K2278" i="1"/>
  <c r="K2460" i="1"/>
  <c r="K2588" i="1"/>
  <c r="K2716" i="1"/>
  <c r="K2901" i="1"/>
  <c r="K3157" i="1"/>
  <c r="K3314" i="1"/>
  <c r="K3378" i="1"/>
  <c r="K3442" i="1"/>
  <c r="K3062" i="1"/>
  <c r="K2045" i="1"/>
  <c r="K2600" i="1"/>
  <c r="K3026" i="1"/>
  <c r="K3339" i="1"/>
  <c r="K3467" i="1"/>
  <c r="K2142" i="1"/>
  <c r="K2807" i="1"/>
  <c r="K3244" i="1"/>
  <c r="K2120" i="1"/>
  <c r="K2656" i="1"/>
  <c r="K3106" i="1"/>
  <c r="K1698" i="1"/>
  <c r="K2471" i="1"/>
  <c r="K2908" i="1"/>
  <c r="K2624" i="1"/>
  <c r="K3348" i="1"/>
  <c r="K2456" i="1"/>
  <c r="K3299" i="1"/>
  <c r="K2227" i="1"/>
  <c r="K3057" i="1"/>
  <c r="K2383" i="1"/>
  <c r="K3217" i="1"/>
  <c r="K1837" i="1"/>
  <c r="K2956" i="1"/>
  <c r="K3207" i="1"/>
  <c r="K1724" i="1"/>
  <c r="K2930" i="1"/>
  <c r="K3479" i="1"/>
  <c r="K2774" i="1"/>
  <c r="K3452" i="1"/>
  <c r="K2967" i="1"/>
  <c r="K763" i="1"/>
  <c r="K465" i="1"/>
  <c r="K74" i="1"/>
  <c r="K209" i="1"/>
  <c r="K736" i="1"/>
  <c r="K824" i="1"/>
  <c r="K405" i="1"/>
  <c r="K680" i="1"/>
  <c r="K161" i="1"/>
  <c r="K781" i="1"/>
  <c r="K914" i="1"/>
  <c r="K1120" i="1"/>
  <c r="K437" i="1"/>
  <c r="K877" i="1"/>
  <c r="K1041" i="1"/>
  <c r="K1126" i="1"/>
  <c r="K1232" i="1"/>
  <c r="K162" i="1"/>
  <c r="K790" i="1"/>
  <c r="K929" i="1"/>
  <c r="K1132" i="1"/>
  <c r="K552" i="1"/>
  <c r="K878" i="1"/>
  <c r="K1042" i="1"/>
  <c r="K1127" i="1"/>
  <c r="K1242" i="1"/>
  <c r="K541" i="1"/>
  <c r="K988" i="1"/>
  <c r="K1308" i="1"/>
  <c r="K1394" i="1"/>
  <c r="K1493" i="1"/>
  <c r="K1589" i="1"/>
  <c r="K1653" i="1"/>
  <c r="K1717" i="1"/>
  <c r="K632" i="1"/>
  <c r="K1070" i="1"/>
  <c r="K1271" i="1"/>
  <c r="K1475" i="1"/>
  <c r="K743" i="1"/>
  <c r="K1060" i="1"/>
  <c r="K1326" i="1"/>
  <c r="K1411" i="1"/>
  <c r="K1517" i="1"/>
  <c r="K1602" i="1"/>
  <c r="K1666" i="1"/>
  <c r="K952" i="1"/>
  <c r="K1157" i="1"/>
  <c r="K1369" i="1"/>
  <c r="K1540" i="1"/>
  <c r="K1215" i="1"/>
  <c r="K1454" i="1"/>
  <c r="K1635" i="1"/>
  <c r="K1780" i="1"/>
  <c r="K1865" i="1"/>
  <c r="K1161" i="1"/>
  <c r="K1537" i="1"/>
  <c r="K1834" i="1"/>
  <c r="K1922" i="1"/>
  <c r="K1986" i="1"/>
  <c r="K400" i="1"/>
  <c r="K473" i="1"/>
  <c r="K628" i="1"/>
  <c r="K847" i="1"/>
  <c r="K975" i="1"/>
  <c r="K673" i="1"/>
  <c r="K538" i="1"/>
  <c r="K780" i="1"/>
  <c r="K844" i="1"/>
  <c r="K566" i="1"/>
  <c r="K706" i="1"/>
  <c r="K532" i="1"/>
  <c r="K821" i="1"/>
  <c r="K972" i="1"/>
  <c r="K1181" i="1"/>
  <c r="K625" i="1"/>
  <c r="K934" i="1"/>
  <c r="K1067" i="1"/>
  <c r="K1153" i="1"/>
  <c r="K1257" i="1"/>
  <c r="K513" i="1"/>
  <c r="K830" i="1"/>
  <c r="K986" i="1"/>
  <c r="K1191" i="1"/>
  <c r="K640" i="1"/>
  <c r="K936" i="1"/>
  <c r="K1069" i="1"/>
  <c r="K1154" i="1"/>
  <c r="K1262" i="1"/>
  <c r="K777" i="1"/>
  <c r="K1112" i="1"/>
  <c r="K1335" i="1"/>
  <c r="K1420" i="1"/>
  <c r="K1534" i="1"/>
  <c r="K1609" i="1"/>
  <c r="K1673" i="1"/>
  <c r="K1737" i="1"/>
  <c r="K742" i="1"/>
  <c r="K1123" i="1"/>
  <c r="K1325" i="1"/>
  <c r="K1516" i="1"/>
  <c r="K826" i="1"/>
  <c r="K1175" i="1"/>
  <c r="K1352" i="1"/>
  <c r="K1438" i="1"/>
  <c r="K1558" i="1"/>
  <c r="K1622" i="1"/>
  <c r="K543" i="1"/>
  <c r="K1039" i="1"/>
  <c r="K1240" i="1"/>
  <c r="K1449" i="1"/>
  <c r="K751" i="1"/>
  <c r="K1338" i="1"/>
  <c r="K1527" i="1"/>
  <c r="K1675" i="1"/>
  <c r="K1807" i="1"/>
  <c r="K713" i="1"/>
  <c r="K1267" i="1"/>
  <c r="K1695" i="1"/>
  <c r="K1878" i="1"/>
  <c r="K1942" i="1"/>
  <c r="K2006" i="1"/>
  <c r="K906" i="1"/>
  <c r="K503" i="1"/>
  <c r="K595" i="1"/>
  <c r="K429" i="1"/>
  <c r="K753" i="1"/>
  <c r="K887" i="1"/>
  <c r="K1015" i="1"/>
  <c r="K726" i="1"/>
  <c r="K636" i="1"/>
  <c r="K800" i="1"/>
  <c r="K864" i="1"/>
  <c r="K617" i="1"/>
  <c r="K741" i="1"/>
  <c r="K675" i="1"/>
  <c r="K861" i="1"/>
  <c r="K1017" i="1"/>
  <c r="K1222" i="1"/>
  <c r="K697" i="1"/>
  <c r="K992" i="1"/>
  <c r="K1094" i="1"/>
  <c r="K1186" i="1"/>
  <c r="K1277" i="1"/>
  <c r="K687" i="1"/>
  <c r="K870" i="1"/>
  <c r="K1036" i="1"/>
  <c r="K1228" i="1"/>
  <c r="K709" i="1"/>
  <c r="K981" i="1"/>
  <c r="K1095" i="1"/>
  <c r="K1192" i="1"/>
  <c r="K1282" i="1"/>
  <c r="K857" i="1"/>
  <c r="K1220" i="1"/>
  <c r="K1362" i="1"/>
  <c r="K1447" i="1"/>
  <c r="K1565" i="1"/>
  <c r="K1629" i="1"/>
  <c r="K1693" i="1"/>
  <c r="K1757" i="1"/>
  <c r="K976" i="1"/>
  <c r="K1193" i="1"/>
  <c r="K1405" i="1"/>
  <c r="K1553" i="1"/>
  <c r="K913" i="1"/>
  <c r="K1294" i="1"/>
  <c r="K1379" i="1"/>
  <c r="K1471" i="1"/>
  <c r="K1578" i="1"/>
  <c r="K1642" i="1"/>
  <c r="K682" i="1"/>
  <c r="K1093" i="1"/>
  <c r="K1280" i="1"/>
  <c r="K1490" i="1"/>
  <c r="K930" i="1"/>
  <c r="K1391" i="1"/>
  <c r="K1587" i="1"/>
  <c r="K1732" i="1"/>
  <c r="K1833" i="1"/>
  <c r="K1033" i="1"/>
  <c r="K1413" i="1"/>
  <c r="K1898" i="1"/>
  <c r="K2026" i="1"/>
  <c r="K799" i="1"/>
  <c r="K927" i="1"/>
  <c r="K528" i="1"/>
  <c r="K727" i="1"/>
  <c r="K820" i="1"/>
  <c r="K389" i="1"/>
  <c r="K674" i="1"/>
  <c r="K97" i="1"/>
  <c r="K773" i="1"/>
  <c r="K908" i="1"/>
  <c r="K1104" i="1"/>
  <c r="K412" i="1"/>
  <c r="K765" i="1"/>
  <c r="K1035" i="1"/>
  <c r="K1121" i="1"/>
  <c r="K1227" i="1"/>
  <c r="K98" i="1"/>
  <c r="K782" i="1"/>
  <c r="K922" i="1"/>
  <c r="K1116" i="1"/>
  <c r="K534" i="1"/>
  <c r="K766" i="1"/>
  <c r="K1037" i="1"/>
  <c r="K1122" i="1"/>
  <c r="K1233" i="1"/>
  <c r="K449" i="1"/>
  <c r="K962" i="1"/>
  <c r="K1303" i="1"/>
  <c r="K1488" i="1"/>
  <c r="K1649" i="1"/>
  <c r="K577" i="1"/>
  <c r="K1263" i="1"/>
  <c r="K703" i="1"/>
  <c r="K1320" i="1"/>
  <c r="K1512" i="1"/>
  <c r="K1662" i="1"/>
  <c r="K1146" i="1"/>
  <c r="K1531" i="1"/>
  <c r="K1444" i="1"/>
  <c r="K1775" i="1"/>
  <c r="K1139" i="1"/>
  <c r="K1818" i="1"/>
  <c r="K1982" i="1"/>
  <c r="K1328" i="1"/>
  <c r="K1382" i="1"/>
  <c r="K1734" i="1"/>
  <c r="K1077" i="1"/>
  <c r="K1782" i="1"/>
  <c r="K1971" i="1"/>
  <c r="K1495" i="1"/>
  <c r="K2073" i="1"/>
  <c r="K2251" i="1"/>
  <c r="K1704" i="1"/>
  <c r="K2122" i="1"/>
  <c r="K2413" i="1"/>
  <c r="K2541" i="1"/>
  <c r="K2669" i="1"/>
  <c r="K2797" i="1"/>
  <c r="K1376" i="1"/>
  <c r="K2139" i="1"/>
  <c r="K2348" i="1"/>
  <c r="K1913" i="1"/>
  <c r="K2262" i="1"/>
  <c r="K2454" i="1"/>
  <c r="K2582" i="1"/>
  <c r="K2710" i="1"/>
  <c r="K2092" i="1"/>
  <c r="K2852" i="1"/>
  <c r="K3032" i="1"/>
  <c r="K3203" i="1"/>
  <c r="K1365" i="1"/>
  <c r="K2368" i="1"/>
  <c r="K2635" i="1"/>
  <c r="K1435" i="1"/>
  <c r="K1628" i="1"/>
  <c r="K1776" i="1"/>
  <c r="K1217" i="1"/>
  <c r="K1862" i="1"/>
  <c r="K1991" i="1"/>
  <c r="K1615" i="1"/>
  <c r="K2100" i="1"/>
  <c r="K2292" i="1"/>
  <c r="K1842" i="1"/>
  <c r="K2202" i="1"/>
  <c r="K2433" i="1"/>
  <c r="K2561" i="1"/>
  <c r="K2689" i="1"/>
  <c r="K2817" i="1"/>
  <c r="K1496" i="1"/>
  <c r="K2080" i="1"/>
  <c r="K2261" i="1"/>
  <c r="K1706" i="1"/>
  <c r="K2118" i="1"/>
  <c r="K2410" i="1"/>
  <c r="K2538" i="1"/>
  <c r="K2666" i="1"/>
  <c r="K1710" i="1"/>
  <c r="K2386" i="1"/>
  <c r="K2974" i="1"/>
  <c r="K3144" i="1"/>
  <c r="K3136" i="1"/>
  <c r="K2178" i="1"/>
  <c r="K2547" i="1"/>
  <c r="K2822" i="1"/>
  <c r="K1510" i="1"/>
  <c r="K1668" i="1"/>
  <c r="K1803" i="1"/>
  <c r="K714" i="1"/>
  <c r="K1297" i="1"/>
  <c r="K1722" i="1"/>
  <c r="K1883" i="1"/>
  <c r="K1947" i="1"/>
  <c r="K2011" i="1"/>
  <c r="K1354" i="1"/>
  <c r="K1691" i="1"/>
  <c r="K2041" i="1"/>
  <c r="K2127" i="1"/>
  <c r="K2212" i="1"/>
  <c r="K2333" i="1"/>
  <c r="K1333" i="1"/>
  <c r="K1904" i="1"/>
  <c r="K2031" i="1"/>
  <c r="K2256" i="1"/>
  <c r="K2384" i="1"/>
  <c r="K2453" i="1"/>
  <c r="K2517" i="1"/>
  <c r="K2581" i="1"/>
  <c r="K2645" i="1"/>
  <c r="K2709" i="1"/>
  <c r="K2773" i="1"/>
  <c r="K2837" i="1"/>
  <c r="K1108" i="1"/>
  <c r="K1600" i="1"/>
  <c r="K1843" i="1"/>
  <c r="K2192" i="1"/>
  <c r="K1109" i="1"/>
  <c r="K1993" i="1"/>
  <c r="K2344" i="1"/>
  <c r="K2494" i="1"/>
  <c r="K2622" i="1"/>
  <c r="K1128" i="1"/>
  <c r="K2199" i="1"/>
  <c r="K2915" i="1"/>
  <c r="K3086" i="1"/>
  <c r="K3268" i="1"/>
  <c r="K1916" i="1"/>
  <c r="K2459" i="1"/>
  <c r="K2715" i="1"/>
  <c r="K3145" i="1"/>
  <c r="K3373" i="1"/>
  <c r="K1339" i="1"/>
  <c r="K1715" i="1"/>
  <c r="K1055" i="1"/>
  <c r="K1766" i="1"/>
  <c r="K1967" i="1"/>
  <c r="K1477" i="1"/>
  <c r="K2068" i="1"/>
  <c r="K2242" i="1"/>
  <c r="K1679" i="1"/>
  <c r="K2106" i="1"/>
  <c r="K2409" i="1"/>
  <c r="K2537" i="1"/>
  <c r="K2665" i="1"/>
  <c r="K2793" i="1"/>
  <c r="K1355" i="1"/>
  <c r="K2048" i="1"/>
  <c r="K2219" i="1"/>
  <c r="K1377" i="1"/>
  <c r="K2032" i="1"/>
  <c r="K2385" i="1"/>
  <c r="K2514" i="1"/>
  <c r="K1300" i="1"/>
  <c r="K1857" i="1"/>
  <c r="K2204" i="1"/>
  <c r="K2754" i="1"/>
  <c r="K2907" i="1"/>
  <c r="K3147" i="1"/>
  <c r="K1656" i="1"/>
  <c r="K2125" i="1"/>
  <c r="K2332" i="1"/>
  <c r="K2867" i="1"/>
  <c r="K2954" i="1"/>
  <c r="K3039" i="1"/>
  <c r="K3124" i="1"/>
  <c r="K3210" i="1"/>
  <c r="K2923" i="1"/>
  <c r="K3120" i="1"/>
  <c r="K1687" i="1"/>
  <c r="K2126" i="1"/>
  <c r="K2412" i="1"/>
  <c r="K2540" i="1"/>
  <c r="K2668" i="1"/>
  <c r="K2823" i="1"/>
  <c r="K3061" i="1"/>
  <c r="K3279" i="1"/>
  <c r="K3354" i="1"/>
  <c r="K3418" i="1"/>
  <c r="K3482" i="1"/>
  <c r="K894" i="1"/>
  <c r="K2408" i="1"/>
  <c r="K2870" i="1"/>
  <c r="K3271" i="1"/>
  <c r="K3419" i="1"/>
  <c r="K1672" i="1"/>
  <c r="K2615" i="1"/>
  <c r="K3105" i="1"/>
  <c r="K1301" i="1"/>
  <c r="K2464" i="1"/>
  <c r="K2935" i="1"/>
  <c r="K893" i="1"/>
  <c r="K2236" i="1"/>
  <c r="K2762" i="1"/>
  <c r="K2046" i="1"/>
  <c r="K3164" i="1"/>
  <c r="K1469" i="1"/>
  <c r="K3074" i="1"/>
  <c r="K3492" i="1"/>
  <c r="K2755" i="1"/>
  <c r="K3416" i="1"/>
  <c r="K3010" i="1"/>
  <c r="K3428" i="1"/>
  <c r="K2607" i="1"/>
  <c r="K3408" i="1"/>
  <c r="K3423" i="1"/>
  <c r="K2567" i="1"/>
  <c r="K3367" i="1"/>
  <c r="K2399" i="1"/>
  <c r="K3263" i="1"/>
  <c r="K2623" i="1"/>
  <c r="K3497" i="1"/>
  <c r="K1793" i="1"/>
  <c r="K2172" i="1"/>
  <c r="K2381" i="1"/>
  <c r="K2886" i="1"/>
  <c r="K3078" i="1"/>
  <c r="K1560" i="1"/>
  <c r="K2093" i="1"/>
  <c r="K2277" i="1"/>
  <c r="K2835" i="1"/>
  <c r="K2938" i="1"/>
  <c r="K3023" i="1"/>
  <c r="K3108" i="1"/>
  <c r="K3194" i="1"/>
  <c r="K3297" i="1"/>
  <c r="K3067" i="1"/>
  <c r="K1409" i="1"/>
  <c r="K2013" i="1"/>
  <c r="K2369" i="1"/>
  <c r="K2516" i="1"/>
  <c r="K2644" i="1"/>
  <c r="K2791" i="1"/>
  <c r="K3013" i="1"/>
  <c r="K3256" i="1"/>
  <c r="K3342" i="1"/>
  <c r="K3406" i="1"/>
  <c r="K3470" i="1"/>
  <c r="K3216" i="1"/>
  <c r="K2337" i="1"/>
  <c r="K2782" i="1"/>
  <c r="K3181" i="1"/>
  <c r="K3395" i="1"/>
  <c r="K1244" i="1"/>
  <c r="K2504" i="1"/>
  <c r="K3004" i="1"/>
  <c r="K3335" i="1"/>
  <c r="K2382" i="1"/>
  <c r="K2863" i="1"/>
  <c r="K3258" i="1"/>
  <c r="K2098" i="1"/>
  <c r="K2680" i="1"/>
  <c r="K1640" i="1"/>
  <c r="K3073" i="1"/>
  <c r="K2503" i="1"/>
  <c r="K2945" i="1"/>
  <c r="K3436" i="1"/>
  <c r="K2591" i="1"/>
  <c r="K3286" i="1"/>
  <c r="K2864" i="1"/>
  <c r="K3375" i="1"/>
  <c r="K2432" i="1"/>
  <c r="K3304" i="1"/>
  <c r="K3380" i="1"/>
  <c r="K2392" i="1"/>
  <c r="K3277" i="1"/>
  <c r="K2141" i="1"/>
  <c r="K3180" i="1"/>
  <c r="K2310" i="1"/>
  <c r="K1607" i="1"/>
  <c r="K2108" i="1"/>
  <c r="K2299" i="1"/>
  <c r="K2836" i="1"/>
  <c r="K2976" i="1"/>
  <c r="K1044" i="1"/>
  <c r="K2028" i="1"/>
  <c r="K2200" i="1"/>
  <c r="K2771" i="1"/>
  <c r="K2906" i="1"/>
  <c r="K2991" i="1"/>
  <c r="K3076" i="1"/>
  <c r="K3162" i="1"/>
  <c r="K3251" i="1"/>
  <c r="K3008" i="1"/>
  <c r="K3257" i="1"/>
  <c r="K1917" i="1"/>
  <c r="K2287" i="1"/>
  <c r="K2468" i="1"/>
  <c r="K2596" i="1"/>
  <c r="K2724" i="1"/>
  <c r="K2917" i="1"/>
  <c r="K3173" i="1"/>
  <c r="K3318" i="1"/>
  <c r="K3382" i="1"/>
  <c r="K3446" i="1"/>
  <c r="K3094" i="1"/>
  <c r="K2131" i="1"/>
  <c r="K2647" i="1"/>
  <c r="K3041" i="1"/>
  <c r="K3347" i="1"/>
  <c r="K3475" i="1"/>
  <c r="K2173" i="1"/>
  <c r="K2826" i="1"/>
  <c r="K3285" i="1"/>
  <c r="K2174" i="1"/>
  <c r="K2703" i="1"/>
  <c r="K3121" i="1"/>
  <c r="K1751" i="1"/>
  <c r="K2488" i="1"/>
  <c r="K2951" i="1"/>
  <c r="K386" i="1"/>
  <c r="K450" i="1"/>
  <c r="K514" i="1"/>
  <c r="K110" i="1"/>
  <c r="K238" i="1"/>
  <c r="K355" i="1"/>
  <c r="K419" i="1"/>
  <c r="K483" i="1"/>
  <c r="K169" i="1"/>
  <c r="K504" i="1"/>
  <c r="K392" i="1"/>
  <c r="K575" i="1"/>
  <c r="K639" i="1"/>
  <c r="K122" i="1"/>
  <c r="K448" i="1"/>
  <c r="K377" i="1"/>
  <c r="K568" i="1"/>
  <c r="K305" i="1"/>
  <c r="K660" i="1"/>
  <c r="K795" i="1"/>
  <c r="K859" i="1"/>
  <c r="K923" i="1"/>
  <c r="K987" i="1"/>
  <c r="K469" i="1"/>
  <c r="K689" i="1"/>
  <c r="K114" i="1"/>
  <c r="K565" i="1"/>
  <c r="K368" i="1"/>
  <c r="K330" i="1"/>
  <c r="K614" i="1"/>
  <c r="K839" i="1"/>
  <c r="K967" i="1"/>
  <c r="K648" i="1"/>
  <c r="K508" i="1"/>
  <c r="K840" i="1"/>
  <c r="K701" i="1"/>
  <c r="K813" i="1"/>
  <c r="K1172" i="1"/>
  <c r="K928" i="1"/>
  <c r="K1147" i="1"/>
  <c r="K489" i="1"/>
  <c r="K980" i="1"/>
  <c r="K626" i="1"/>
  <c r="K1063" i="1"/>
  <c r="K1258" i="1"/>
  <c r="K1080" i="1"/>
  <c r="K1415" i="1"/>
  <c r="K1605" i="1"/>
  <c r="K1733" i="1"/>
  <c r="K1113" i="1"/>
  <c r="K1507" i="1"/>
  <c r="K1166" i="1"/>
  <c r="K1432" i="1"/>
  <c r="K1618" i="1"/>
  <c r="K1029" i="1"/>
  <c r="K1203" i="1"/>
  <c r="K1433" i="1"/>
  <c r="K669" i="1"/>
  <c r="K1327" i="1"/>
  <c r="K1518" i="1"/>
  <c r="K1667" i="1"/>
  <c r="K1801" i="1"/>
  <c r="K618" i="1"/>
  <c r="K1251" i="1"/>
  <c r="K1688" i="1"/>
  <c r="K1874" i="1"/>
  <c r="K487" i="1"/>
  <c r="K579" i="1"/>
  <c r="K385" i="1"/>
  <c r="K735" i="1"/>
  <c r="K879" i="1"/>
  <c r="K1007" i="1"/>
  <c r="K716" i="1"/>
  <c r="K629" i="1"/>
  <c r="K796" i="1"/>
  <c r="K860" i="1"/>
  <c r="K610" i="1"/>
  <c r="K732" i="1"/>
  <c r="K662" i="1"/>
  <c r="K853" i="1"/>
  <c r="K1010" i="1"/>
  <c r="K1213" i="1"/>
  <c r="K686" i="1"/>
  <c r="K973" i="1"/>
  <c r="K1089" i="1"/>
  <c r="K1177" i="1"/>
  <c r="K1273" i="1"/>
  <c r="K652" i="1"/>
  <c r="K862" i="1"/>
  <c r="K1025" i="1"/>
  <c r="K1223" i="1"/>
  <c r="K698" i="1"/>
  <c r="K974" i="1"/>
  <c r="K1090" i="1"/>
  <c r="K1187" i="1"/>
  <c r="K1278" i="1"/>
  <c r="K841" i="1"/>
  <c r="K1183" i="1"/>
  <c r="K1356" i="1"/>
  <c r="K1442" i="1"/>
  <c r="K1561" i="1"/>
  <c r="K1625" i="1"/>
  <c r="K1689" i="1"/>
  <c r="K1753" i="1"/>
  <c r="K950" i="1"/>
  <c r="K1184" i="1"/>
  <c r="K1389" i="1"/>
  <c r="K1548" i="1"/>
  <c r="K900" i="1"/>
  <c r="K1239" i="1"/>
  <c r="K1374" i="1"/>
  <c r="K1462" i="1"/>
  <c r="K1574" i="1"/>
  <c r="K1638" i="1"/>
  <c r="K658" i="1"/>
  <c r="K1082" i="1"/>
  <c r="K1272" i="1"/>
  <c r="K1481" i="1"/>
  <c r="K905" i="1"/>
  <c r="K1380" i="1"/>
  <c r="K1579" i="1"/>
  <c r="K1726" i="1"/>
  <c r="K1828" i="1"/>
  <c r="K1008" i="1"/>
  <c r="K1381" i="1"/>
  <c r="K1746" i="1"/>
  <c r="K1894" i="1"/>
  <c r="K1958" i="1"/>
  <c r="K2022" i="1"/>
  <c r="K1140" i="1"/>
  <c r="K249" i="1"/>
  <c r="K659" i="1"/>
  <c r="K588" i="1"/>
  <c r="K791" i="1"/>
  <c r="K919" i="1"/>
  <c r="K444" i="1"/>
  <c r="K82" i="1"/>
  <c r="K711" i="1"/>
  <c r="K816" i="1"/>
  <c r="K373" i="1"/>
  <c r="K656" i="1"/>
  <c r="K33" i="1"/>
  <c r="K746" i="1"/>
  <c r="K889" i="1"/>
  <c r="K1088" i="1"/>
  <c r="K380" i="1"/>
  <c r="K756" i="1"/>
  <c r="K1030" i="1"/>
  <c r="K1115" i="1"/>
  <c r="K1218" i="1"/>
  <c r="K34" i="1"/>
  <c r="K774" i="1"/>
  <c r="K916" i="1"/>
  <c r="K1100" i="1"/>
  <c r="K413" i="1"/>
  <c r="K757" i="1"/>
  <c r="K1031" i="1"/>
  <c r="K1117" i="1"/>
  <c r="K1224" i="1"/>
  <c r="K321" i="1"/>
  <c r="K937" i="1"/>
  <c r="K1298" i="1"/>
  <c r="K1383" i="1"/>
  <c r="K1479" i="1"/>
  <c r="K1581" i="1"/>
  <c r="K1645" i="1"/>
  <c r="K1709" i="1"/>
  <c r="K542" i="1"/>
  <c r="K1049" i="1"/>
  <c r="K1255" i="1"/>
  <c r="K1457" i="1"/>
  <c r="K606" i="1"/>
  <c r="K1002" i="1"/>
  <c r="K1315" i="1"/>
  <c r="K1400" i="1"/>
  <c r="K1503" i="1"/>
  <c r="K1594" i="1"/>
  <c r="K1658" i="1"/>
  <c r="K901" i="1"/>
  <c r="K1135" i="1"/>
  <c r="K1337" i="1"/>
  <c r="K1522" i="1"/>
  <c r="K1160" i="1"/>
  <c r="K1434" i="1"/>
  <c r="K1619" i="1"/>
  <c r="K1769" i="1"/>
  <c r="K1855" i="1"/>
  <c r="K1118" i="1"/>
  <c r="K1491" i="1"/>
  <c r="K1802" i="1"/>
  <c r="K1914" i="1"/>
  <c r="K1978" i="1"/>
  <c r="K620" i="1"/>
  <c r="K1318" i="1"/>
  <c r="K562" i="1"/>
  <c r="K266" i="1"/>
  <c r="K564" i="1"/>
  <c r="K831" i="1"/>
  <c r="K959" i="1"/>
  <c r="K634" i="1"/>
  <c r="K457" i="1"/>
  <c r="K836" i="1"/>
  <c r="K696" i="1"/>
  <c r="K805" i="1"/>
  <c r="K1167" i="1"/>
  <c r="K909" i="1"/>
  <c r="K1142" i="1"/>
  <c r="K464" i="1"/>
  <c r="K961" i="1"/>
  <c r="K601" i="1"/>
  <c r="K1058" i="1"/>
  <c r="K1254" i="1"/>
  <c r="K1048" i="1"/>
  <c r="K1324" i="1"/>
  <c r="K1410" i="1"/>
  <c r="K1520" i="1"/>
  <c r="K1601" i="1"/>
  <c r="K1665" i="1"/>
  <c r="K1729" i="1"/>
  <c r="K702" i="1"/>
  <c r="K1102" i="1"/>
  <c r="K1293" i="1"/>
  <c r="K1498" i="1"/>
  <c r="K794" i="1"/>
  <c r="K1156" i="1"/>
  <c r="K1342" i="1"/>
  <c r="K1427" i="1"/>
  <c r="K1544" i="1"/>
  <c r="K1614" i="1"/>
  <c r="K397" i="1"/>
  <c r="K1016" i="1"/>
  <c r="K1194" i="1"/>
  <c r="K1417" i="1"/>
  <c r="K129" i="1"/>
  <c r="K1316" i="1"/>
  <c r="K1509" i="1"/>
  <c r="K1659" i="1"/>
  <c r="K1796" i="1"/>
  <c r="K560" i="1"/>
  <c r="K1234" i="1"/>
  <c r="K1682" i="1"/>
  <c r="K1870" i="1"/>
  <c r="K1998" i="1"/>
  <c r="K1371" i="1"/>
  <c r="K1424" i="1"/>
  <c r="K1620" i="1"/>
  <c r="K1771" i="1"/>
  <c r="K1856" i="1"/>
  <c r="K1162" i="1"/>
  <c r="K1538" i="1"/>
  <c r="K1846" i="1"/>
  <c r="K1923" i="1"/>
  <c r="K1987" i="1"/>
  <c r="K1020" i="1"/>
  <c r="K1599" i="1"/>
  <c r="K1831" i="1"/>
  <c r="K2095" i="1"/>
  <c r="K2180" i="1"/>
  <c r="K2283" i="1"/>
  <c r="K1021" i="1"/>
  <c r="K1984" i="1"/>
  <c r="K2334" i="1"/>
  <c r="K2493" i="1"/>
  <c r="K2621" i="1"/>
  <c r="K2749" i="1"/>
  <c r="K258" i="1"/>
  <c r="K1779" i="1"/>
  <c r="K2075" i="1"/>
  <c r="K2252" i="1"/>
  <c r="K1680" i="1"/>
  <c r="K2102" i="1"/>
  <c r="K2406" i="1"/>
  <c r="K2534" i="1"/>
  <c r="K2662" i="1"/>
  <c r="K1684" i="1"/>
  <c r="K2349" i="1"/>
  <c r="K2968" i="1"/>
  <c r="K3139" i="1"/>
  <c r="K3115" i="1"/>
  <c r="K2146" i="1"/>
  <c r="K2539" i="1"/>
  <c r="K2815" i="1"/>
  <c r="K3269" i="1"/>
  <c r="K3413" i="1"/>
  <c r="K2018" i="1"/>
  <c r="K1660" i="1"/>
  <c r="K672" i="1"/>
  <c r="K1703" i="1"/>
  <c r="K1943" i="1"/>
  <c r="K1332" i="1"/>
  <c r="K2036" i="1"/>
  <c r="K2207" i="1"/>
  <c r="K1259" i="1"/>
  <c r="K2024" i="1"/>
  <c r="K2375" i="1"/>
  <c r="K2513" i="1"/>
  <c r="K2641" i="1"/>
  <c r="K2769" i="1"/>
  <c r="K970" i="1"/>
  <c r="K1832" i="1"/>
  <c r="K2101" i="1"/>
  <c r="K2187" i="1"/>
  <c r="K2293" i="1"/>
  <c r="K1066" i="1"/>
  <c r="K1822" i="1"/>
  <c r="K1985" i="1"/>
  <c r="K2182" i="1"/>
  <c r="K2335" i="1"/>
  <c r="K2426" i="1"/>
  <c r="K2490" i="1"/>
  <c r="K2554" i="1"/>
  <c r="K2618" i="1"/>
  <c r="K2682" i="1"/>
  <c r="K833" i="1"/>
  <c r="K1847" i="1"/>
  <c r="K2188" i="1"/>
  <c r="K2770" i="1"/>
  <c r="K2910" i="1"/>
  <c r="K2995" i="1"/>
  <c r="K3080" i="1"/>
  <c r="K3166" i="1"/>
  <c r="K3259" i="1"/>
  <c r="K3227" i="1"/>
  <c r="K1900" i="1"/>
  <c r="K2249" i="1"/>
  <c r="K2451" i="1"/>
  <c r="K2579" i="1"/>
  <c r="K2707" i="1"/>
  <c r="K2872" i="1"/>
  <c r="K3129" i="1"/>
  <c r="K3305" i="1"/>
  <c r="K3369" i="1"/>
  <c r="K3433" i="1"/>
  <c r="K1296" i="1"/>
  <c r="K1572" i="1"/>
  <c r="K1824" i="1"/>
  <c r="K1425" i="1"/>
  <c r="K1899" i="1"/>
  <c r="K257" i="1"/>
  <c r="K1767" i="1"/>
  <c r="K2148" i="1"/>
  <c r="K2365" i="1"/>
  <c r="K1936" i="1"/>
  <c r="K2288" i="1"/>
  <c r="K2469" i="1"/>
  <c r="K2597" i="1"/>
  <c r="K2725" i="1"/>
  <c r="K2853" i="1"/>
  <c r="K1664" i="1"/>
  <c r="K2043" i="1"/>
  <c r="K2213" i="1"/>
  <c r="K1313" i="1"/>
  <c r="K2025" i="1"/>
  <c r="K2376" i="1"/>
  <c r="K2510" i="1"/>
  <c r="K2638" i="1"/>
  <c r="K1407" i="1"/>
  <c r="K2267" i="1"/>
  <c r="K2936" i="1"/>
  <c r="K3107" i="1"/>
  <c r="K3300" i="1"/>
  <c r="K1980" i="1"/>
  <c r="K2491" i="1"/>
  <c r="K2751" i="1"/>
  <c r="K1414" i="1"/>
  <c r="K1612" i="1"/>
  <c r="K1765" i="1"/>
  <c r="K1851" i="1"/>
  <c r="K1141" i="1"/>
  <c r="K1529" i="1"/>
  <c r="K1830" i="1"/>
  <c r="K1919" i="1"/>
  <c r="K1983" i="1"/>
  <c r="K969" i="1"/>
  <c r="K1583" i="1"/>
  <c r="K1820" i="1"/>
  <c r="K2089" i="1"/>
  <c r="K2175" i="1"/>
  <c r="K2274" i="1"/>
  <c r="K918" i="1"/>
  <c r="K1778" i="1"/>
  <c r="K1976" i="1"/>
  <c r="K2170" i="1"/>
  <c r="K2329" i="1"/>
  <c r="K2425" i="1"/>
  <c r="K2489" i="1"/>
  <c r="K2553" i="1"/>
  <c r="K2617" i="1"/>
  <c r="K2681" i="1"/>
  <c r="K2745" i="1"/>
  <c r="K2809" i="1"/>
  <c r="K2873" i="1"/>
  <c r="K1440" i="1"/>
  <c r="K1768" i="1"/>
  <c r="K2155" i="1"/>
  <c r="K2371" i="1"/>
  <c r="K1937" i="1"/>
  <c r="K2289" i="1"/>
  <c r="K2466" i="1"/>
  <c r="K2594" i="1"/>
  <c r="K2722" i="1"/>
  <c r="K2124" i="1"/>
  <c r="K2878" i="1"/>
  <c r="K3048" i="1"/>
  <c r="K3219" i="1"/>
  <c r="K1711" i="1"/>
  <c r="K2403" i="1"/>
  <c r="K2659" i="1"/>
  <c r="K2808" i="1"/>
  <c r="K3033" i="1"/>
  <c r="K3264" i="1"/>
  <c r="K3345" i="1"/>
  <c r="K3409" i="1"/>
  <c r="K3473" i="1"/>
  <c r="K3501" i="1"/>
  <c r="K2183" i="1"/>
  <c r="K2891" i="1"/>
  <c r="K1592" i="1"/>
  <c r="K2314" i="1"/>
  <c r="K2943" i="1"/>
  <c r="K3114" i="1"/>
  <c r="K892" i="1"/>
  <c r="K1451" i="1"/>
  <c r="K2396" i="1"/>
  <c r="K2652" i="1"/>
  <c r="K3029" i="1"/>
  <c r="K3346" i="1"/>
  <c r="K3474" i="1"/>
  <c r="K2364" i="1"/>
  <c r="K3196" i="1"/>
  <c r="K1387" i="1"/>
  <c r="K3047" i="1"/>
  <c r="K2400" i="1"/>
  <c r="K3267" i="1"/>
  <c r="K2727" i="1"/>
  <c r="K3095" i="1"/>
  <c r="K2972" i="1"/>
  <c r="K2672" i="1"/>
  <c r="K2897" i="1"/>
  <c r="K2479" i="1"/>
  <c r="K3391" i="1"/>
  <c r="K3344" i="1"/>
  <c r="K3202" i="1"/>
  <c r="K581" i="1"/>
  <c r="K710" i="1"/>
  <c r="K242" i="1"/>
  <c r="K471" i="1"/>
  <c r="K558" i="1"/>
  <c r="K353" i="1"/>
  <c r="K715" i="1"/>
  <c r="K871" i="1"/>
  <c r="K999" i="1"/>
  <c r="K705" i="1"/>
  <c r="K622" i="1"/>
  <c r="K792" i="1"/>
  <c r="K856" i="1"/>
  <c r="K590" i="1"/>
  <c r="K722" i="1"/>
  <c r="K637" i="1"/>
  <c r="K845" i="1"/>
  <c r="K1004" i="1"/>
  <c r="K1204" i="1"/>
  <c r="K676" i="1"/>
  <c r="K966" i="1"/>
  <c r="K1083" i="1"/>
  <c r="K1168" i="1"/>
  <c r="K1269" i="1"/>
  <c r="K638" i="1"/>
  <c r="K854" i="1"/>
  <c r="K1018" i="1"/>
  <c r="K1214" i="1"/>
  <c r="K688" i="1"/>
  <c r="K968" i="1"/>
  <c r="K1085" i="1"/>
  <c r="K1178" i="1"/>
  <c r="K1274" i="1"/>
  <c r="K825" i="1"/>
  <c r="K1174" i="1"/>
  <c r="K1351" i="1"/>
  <c r="K1436" i="1"/>
  <c r="K1557" i="1"/>
  <c r="K1621" i="1"/>
  <c r="K1685" i="1"/>
  <c r="K1749" i="1"/>
  <c r="K925" i="1"/>
  <c r="K1155" i="1"/>
  <c r="K1373" i="1"/>
  <c r="K1539" i="1"/>
  <c r="K874" i="1"/>
  <c r="K1230" i="1"/>
  <c r="K1368" i="1"/>
  <c r="K1453" i="1"/>
  <c r="K1570" i="1"/>
  <c r="K1634" i="1"/>
  <c r="K633" i="1"/>
  <c r="K1071" i="1"/>
  <c r="K1264" i="1"/>
  <c r="K1476" i="1"/>
  <c r="K849" i="1"/>
  <c r="K1370" i="1"/>
  <c r="K1571" i="1"/>
  <c r="K1707" i="1"/>
  <c r="K1823" i="1"/>
  <c r="K982" i="1"/>
  <c r="K1349" i="1"/>
  <c r="K1727" i="1"/>
  <c r="K1890" i="1"/>
  <c r="K1954" i="1"/>
  <c r="K185" i="1"/>
  <c r="K643" i="1"/>
  <c r="K572" i="1"/>
  <c r="K783" i="1"/>
  <c r="K911" i="1"/>
  <c r="K388" i="1"/>
  <c r="K18" i="1"/>
  <c r="K679" i="1"/>
  <c r="K357" i="1"/>
  <c r="K764" i="1"/>
  <c r="K882" i="1"/>
  <c r="K348" i="1"/>
  <c r="K1024" i="1"/>
  <c r="K1209" i="1"/>
  <c r="K738" i="1"/>
  <c r="K1084" i="1"/>
  <c r="K748" i="1"/>
  <c r="K1111" i="1"/>
  <c r="K193" i="1"/>
  <c r="K1292" i="1"/>
  <c r="K1470" i="1"/>
  <c r="K1641" i="1"/>
  <c r="K501" i="1"/>
  <c r="K1247" i="1"/>
  <c r="K322" i="1"/>
  <c r="K1310" i="1"/>
  <c r="K1494" i="1"/>
  <c r="K1654" i="1"/>
  <c r="K1125" i="1"/>
  <c r="K1513" i="1"/>
  <c r="K1423" i="1"/>
  <c r="K1764" i="1"/>
  <c r="K1097" i="1"/>
  <c r="K1786" i="1"/>
  <c r="K1974" i="1"/>
  <c r="K1307" i="1"/>
  <c r="K530" i="1"/>
  <c r="K202" i="1"/>
  <c r="K507" i="1"/>
  <c r="K823" i="1"/>
  <c r="K951" i="1"/>
  <c r="K609" i="1"/>
  <c r="K338" i="1"/>
  <c r="K759" i="1"/>
  <c r="K832" i="1"/>
  <c r="K690" i="1"/>
  <c r="K797" i="1"/>
  <c r="K1152" i="1"/>
  <c r="K902" i="1"/>
  <c r="K1137" i="1"/>
  <c r="K290" i="1"/>
  <c r="K954" i="1"/>
  <c r="K586" i="1"/>
  <c r="K1053" i="1"/>
  <c r="K1250" i="1"/>
  <c r="K1026" i="1"/>
  <c r="K1404" i="1"/>
  <c r="K1597" i="1"/>
  <c r="K1725" i="1"/>
  <c r="K1091" i="1"/>
  <c r="K1489" i="1"/>
  <c r="K1124" i="1"/>
  <c r="K1422" i="1"/>
  <c r="K1610" i="1"/>
  <c r="K990" i="1"/>
  <c r="K1401" i="1"/>
  <c r="K1306" i="1"/>
  <c r="K1651" i="1"/>
  <c r="K476" i="1"/>
  <c r="K1555" i="1"/>
  <c r="K1930" i="1"/>
  <c r="K818" i="1"/>
  <c r="K683" i="1"/>
  <c r="K863" i="1"/>
  <c r="K991" i="1"/>
  <c r="K694" i="1"/>
  <c r="K597" i="1"/>
  <c r="K788" i="1"/>
  <c r="K852" i="1"/>
  <c r="K582" i="1"/>
  <c r="K717" i="1"/>
  <c r="K612" i="1"/>
  <c r="K837" i="1"/>
  <c r="K985" i="1"/>
  <c r="K1199" i="1"/>
  <c r="K664" i="1"/>
  <c r="K960" i="1"/>
  <c r="K1078" i="1"/>
  <c r="K1163" i="1"/>
  <c r="K1265" i="1"/>
  <c r="K613" i="1"/>
  <c r="K846" i="1"/>
  <c r="K1012" i="1"/>
  <c r="K1205" i="1"/>
  <c r="K677" i="1"/>
  <c r="K949" i="1"/>
  <c r="K1079" i="1"/>
  <c r="K1169" i="1"/>
  <c r="K1270" i="1"/>
  <c r="K809" i="1"/>
  <c r="K1165" i="1"/>
  <c r="K1346" i="1"/>
  <c r="K1431" i="1"/>
  <c r="K1552" i="1"/>
  <c r="K1617" i="1"/>
  <c r="K1681" i="1"/>
  <c r="K1745" i="1"/>
  <c r="K912" i="1"/>
  <c r="K1145" i="1"/>
  <c r="K1357" i="1"/>
  <c r="K1530" i="1"/>
  <c r="K858" i="1"/>
  <c r="K1221" i="1"/>
  <c r="K1363" i="1"/>
  <c r="K1448" i="1"/>
  <c r="K1566" i="1"/>
  <c r="K1630" i="1"/>
  <c r="K608" i="1"/>
  <c r="K1061" i="1"/>
  <c r="K1256" i="1"/>
  <c r="K1467" i="1"/>
  <c r="K817" i="1"/>
  <c r="K1359" i="1"/>
  <c r="K1563" i="1"/>
  <c r="K1700" i="1"/>
  <c r="K1817" i="1"/>
  <c r="K957" i="1"/>
  <c r="K1317" i="1"/>
  <c r="K1720" i="1"/>
  <c r="K1886" i="1"/>
  <c r="K1950" i="1"/>
  <c r="K2014" i="1"/>
  <c r="K1009" i="1"/>
  <c r="K2002" i="1"/>
  <c r="K1652" i="1"/>
  <c r="K561" i="1"/>
  <c r="K1696" i="1"/>
  <c r="K1939" i="1"/>
  <c r="K1311" i="1"/>
  <c r="K2029" i="1"/>
  <c r="K2201" i="1"/>
  <c r="K1225" i="1"/>
  <c r="K2016" i="1"/>
  <c r="K2366" i="1"/>
  <c r="K2509" i="1"/>
  <c r="K2637" i="1"/>
  <c r="K2765" i="1"/>
  <c r="K866" i="1"/>
  <c r="K1821" i="1"/>
  <c r="K2181" i="1"/>
  <c r="K1022" i="1"/>
  <c r="K1977" i="1"/>
  <c r="K2326" i="1"/>
  <c r="K2486" i="1"/>
  <c r="K2614" i="1"/>
  <c r="K691" i="1"/>
  <c r="K2177" i="1"/>
  <c r="K2904" i="1"/>
  <c r="K3075" i="1"/>
  <c r="K3250" i="1"/>
  <c r="K1884" i="1"/>
  <c r="K2443" i="1"/>
  <c r="K2699" i="1"/>
  <c r="K1076" i="1"/>
  <c r="K1564" i="1"/>
  <c r="K1702" i="1"/>
  <c r="K1819" i="1"/>
  <c r="K984" i="1"/>
  <c r="K1393" i="1"/>
  <c r="K1754" i="1"/>
  <c r="K1895" i="1"/>
  <c r="K1959" i="1"/>
  <c r="K2023" i="1"/>
  <c r="K1418" i="1"/>
  <c r="K1755" i="1"/>
  <c r="K2057" i="1"/>
  <c r="K2143" i="1"/>
  <c r="K2228" i="1"/>
  <c r="K2356" i="1"/>
  <c r="K1514" i="1"/>
  <c r="K1928" i="1"/>
  <c r="K2074" i="1"/>
  <c r="K2279" i="1"/>
  <c r="K2401" i="1"/>
  <c r="K2465" i="1"/>
  <c r="K2529" i="1"/>
  <c r="K2593" i="1"/>
  <c r="K2657" i="1"/>
  <c r="K2721" i="1"/>
  <c r="K2785" i="1"/>
  <c r="K2849" i="1"/>
  <c r="K1312" i="1"/>
  <c r="K1648" i="1"/>
  <c r="K2123" i="1"/>
  <c r="K2325" i="1"/>
  <c r="K1889" i="1"/>
  <c r="K2239" i="1"/>
  <c r="K2442" i="1"/>
  <c r="K2570" i="1"/>
  <c r="K2698" i="1"/>
  <c r="K2060" i="1"/>
  <c r="K2820" i="1"/>
  <c r="K3016" i="1"/>
  <c r="K3187" i="1"/>
  <c r="K1043" i="1"/>
  <c r="K2313" i="1"/>
  <c r="K2611" i="1"/>
  <c r="K1403" i="1"/>
  <c r="K1604" i="1"/>
  <c r="K1747" i="1"/>
  <c r="K1845" i="1"/>
  <c r="K1119" i="1"/>
  <c r="K1492" i="1"/>
  <c r="K1814" i="1"/>
  <c r="K1915" i="1"/>
  <c r="K1979" i="1"/>
  <c r="K865" i="1"/>
  <c r="K1567" i="1"/>
  <c r="K1809" i="1"/>
  <c r="K2084" i="1"/>
  <c r="K2169" i="1"/>
  <c r="K2269" i="1"/>
  <c r="K733" i="1"/>
  <c r="K1743" i="1"/>
  <c r="K1968" i="1"/>
  <c r="K2154" i="1"/>
  <c r="K2320" i="1"/>
  <c r="K2421" i="1"/>
  <c r="K2485" i="1"/>
  <c r="K2549" i="1"/>
  <c r="K2613" i="1"/>
  <c r="K2677" i="1"/>
  <c r="K2741" i="1"/>
  <c r="K2805" i="1"/>
  <c r="K2869" i="1"/>
  <c r="K1419" i="1"/>
  <c r="K1756" i="1"/>
  <c r="K2064" i="1"/>
  <c r="K2149" i="1"/>
  <c r="K2234" i="1"/>
  <c r="K2362" i="1"/>
  <c r="K1497" i="1"/>
  <c r="K1929" i="1"/>
  <c r="K2070" i="1"/>
  <c r="K2280" i="1"/>
  <c r="K2398" i="1"/>
  <c r="K2462" i="1"/>
  <c r="K2526" i="1"/>
  <c r="K2590" i="1"/>
  <c r="K2654" i="1"/>
  <c r="K2718" i="1"/>
  <c r="K1623" i="1"/>
  <c r="K2113" i="1"/>
  <c r="K2331" i="1"/>
  <c r="K2866" i="1"/>
  <c r="K2958" i="1"/>
  <c r="K3043" i="1"/>
  <c r="K3128" i="1"/>
  <c r="K3214" i="1"/>
  <c r="K3072" i="1"/>
  <c r="K1523" i="1"/>
  <c r="K2082" i="1"/>
  <c r="K2395" i="1"/>
  <c r="K2523" i="1"/>
  <c r="K2651" i="1"/>
  <c r="K2790" i="1"/>
  <c r="K3017" i="1"/>
  <c r="K3255" i="1"/>
  <c r="K3341" i="1"/>
  <c r="K3405" i="1"/>
  <c r="K3469" i="1"/>
  <c r="K1644" i="1"/>
  <c r="K477" i="1"/>
  <c r="K1690" i="1"/>
  <c r="K1935" i="1"/>
  <c r="K1290" i="1"/>
  <c r="K1863" i="1"/>
  <c r="K2196" i="1"/>
  <c r="K1150" i="1"/>
  <c r="K2008" i="1"/>
  <c r="K2361" i="1"/>
  <c r="K2505" i="1"/>
  <c r="K2633" i="1"/>
  <c r="K2761" i="1"/>
  <c r="K802" i="1"/>
  <c r="K1811" i="1"/>
  <c r="K2176" i="1"/>
  <c r="K920" i="1"/>
  <c r="K1969" i="1"/>
  <c r="K2321" i="1"/>
  <c r="K2546" i="1"/>
  <c r="K424" i="1"/>
  <c r="K1804" i="1"/>
  <c r="K1639" i="1"/>
  <c r="K2308" i="1"/>
  <c r="K2987" i="1"/>
  <c r="K2040" i="1"/>
  <c r="K2778" i="1"/>
  <c r="K2996" i="1"/>
  <c r="K3167" i="1"/>
  <c r="K3019" i="1"/>
  <c r="K1933" i="1"/>
  <c r="K2476" i="1"/>
  <c r="K2732" i="1"/>
  <c r="K3189" i="1"/>
  <c r="K3386" i="1"/>
  <c r="K3110" i="1"/>
  <c r="K2664" i="1"/>
  <c r="K3355" i="1"/>
  <c r="K2281" i="1"/>
  <c r="K3294" i="1"/>
  <c r="K2720" i="1"/>
  <c r="K1816" i="1"/>
  <c r="K2994" i="1"/>
  <c r="K3392" i="1"/>
  <c r="K3324" i="1"/>
  <c r="K3100" i="1"/>
  <c r="K3272" i="1"/>
  <c r="K3084" i="1"/>
  <c r="K1940" i="1"/>
  <c r="K2495" i="1"/>
  <c r="K3488" i="1"/>
  <c r="K1541" i="1"/>
  <c r="K2087" i="1"/>
  <c r="K2253" i="1"/>
  <c r="K2811" i="1"/>
  <c r="K2950" i="1"/>
  <c r="K834" i="1"/>
  <c r="K1827" i="1"/>
  <c r="K2179" i="1"/>
  <c r="K2746" i="1"/>
  <c r="K2895" i="1"/>
  <c r="K2980" i="1"/>
  <c r="K3066" i="1"/>
  <c r="K3151" i="1"/>
  <c r="K3236" i="1"/>
  <c r="K2992" i="1"/>
  <c r="K3222" i="1"/>
  <c r="K1885" i="1"/>
  <c r="K2241" i="1"/>
  <c r="K2452" i="1"/>
  <c r="K2580" i="1"/>
  <c r="K2708" i="1"/>
  <c r="K2885" i="1"/>
  <c r="K3141" i="1"/>
  <c r="K3310" i="1"/>
  <c r="K3374" i="1"/>
  <c r="K3438" i="1"/>
  <c r="K2955" i="1"/>
  <c r="K2005" i="1"/>
  <c r="K2583" i="1"/>
  <c r="K2983" i="1"/>
  <c r="K3331" i="1"/>
  <c r="K3459" i="1"/>
  <c r="K2088" i="1"/>
  <c r="K2792" i="1"/>
  <c r="K3233" i="1"/>
  <c r="K2066" i="1"/>
  <c r="K2639" i="1"/>
  <c r="K3063" i="1"/>
  <c r="K1608" i="1"/>
  <c r="K2424" i="1"/>
  <c r="K2893" i="1"/>
  <c r="K2543" i="1"/>
  <c r="K3336" i="1"/>
  <c r="K2319" i="1"/>
  <c r="K3284" i="1"/>
  <c r="K2110" i="1"/>
  <c r="K3031" i="1"/>
  <c r="K2184" i="1"/>
  <c r="K3149" i="1"/>
  <c r="K1344" i="1"/>
  <c r="K2929" i="1"/>
  <c r="K3185" i="1"/>
  <c r="K1345" i="1"/>
  <c r="K2871" i="1"/>
  <c r="K3460" i="1"/>
  <c r="K2736" i="1"/>
  <c r="K3432" i="1"/>
  <c r="K2909" i="1"/>
  <c r="K769" i="1"/>
  <c r="K2193" i="1"/>
  <c r="K2896" i="1"/>
  <c r="K1624" i="1"/>
  <c r="K2323" i="1"/>
  <c r="K2948" i="1"/>
  <c r="K3119" i="1"/>
  <c r="K2902" i="1"/>
  <c r="K1524" i="1"/>
  <c r="K2404" i="1"/>
  <c r="K2660" i="1"/>
  <c r="K3045" i="1"/>
  <c r="K3350" i="1"/>
  <c r="K3478" i="1"/>
  <c r="K2391" i="1"/>
  <c r="K3262" i="1"/>
  <c r="K1505" i="1"/>
  <c r="K3090" i="1"/>
  <c r="K2447" i="1"/>
  <c r="K3276" i="1"/>
  <c r="K2671" i="1"/>
  <c r="K3360" i="1"/>
  <c r="K2584" i="1"/>
  <c r="K3312" i="1"/>
  <c r="K2273" i="1"/>
  <c r="K3079" i="1"/>
  <c r="K2431" i="1"/>
  <c r="K3239" i="1"/>
  <c r="K1925" i="1"/>
  <c r="K3037" i="1"/>
  <c r="K3228" i="1"/>
  <c r="K1838" i="1"/>
  <c r="K2957" i="1"/>
  <c r="K3496" i="1"/>
  <c r="K2839" i="1"/>
  <c r="K3471" i="1"/>
  <c r="K3025" i="1"/>
  <c r="K2743" i="1"/>
  <c r="K3116" i="1"/>
  <c r="K3052" i="1"/>
  <c r="K2719" i="1"/>
  <c r="K2924" i="1"/>
  <c r="K2560" i="1"/>
  <c r="K3412" i="1"/>
  <c r="K3356" i="1"/>
  <c r="K3248" i="1"/>
  <c r="C159" i="3"/>
  <c r="C43" i="3"/>
  <c r="C116" i="3"/>
  <c r="C90" i="3"/>
  <c r="C201" i="3"/>
  <c r="C165" i="3"/>
  <c r="C104" i="3"/>
  <c r="C123" i="3"/>
  <c r="C190" i="3"/>
  <c r="C154" i="3"/>
  <c r="C92" i="3"/>
  <c r="C76" i="3"/>
  <c r="C15" i="3"/>
  <c r="C30" i="3"/>
  <c r="C196" i="3"/>
  <c r="C44" i="3"/>
  <c r="C146" i="3"/>
  <c r="C96" i="3"/>
  <c r="C238" i="3"/>
  <c r="C21" i="3"/>
  <c r="C232" i="3"/>
  <c r="C33" i="3"/>
  <c r="C226" i="3"/>
  <c r="C124" i="3"/>
  <c r="C82" i="3"/>
  <c r="C35" i="3"/>
  <c r="C84" i="3"/>
  <c r="C237" i="3"/>
  <c r="C79" i="3"/>
  <c r="C187" i="3"/>
  <c r="C151" i="3"/>
  <c r="C87" i="3"/>
  <c r="C105" i="3"/>
  <c r="C176" i="3"/>
  <c r="C140" i="3"/>
  <c r="C14" i="3"/>
  <c r="C36" i="3"/>
  <c r="C55" i="3"/>
  <c r="C150" i="3"/>
  <c r="C106" i="3"/>
  <c r="C224" i="3"/>
  <c r="C13" i="3"/>
  <c r="C188" i="3"/>
  <c r="C138" i="3"/>
  <c r="C161" i="3"/>
  <c r="C42" i="3"/>
  <c r="C249" i="3"/>
  <c r="C213" i="3"/>
  <c r="C199" i="3"/>
  <c r="C157" i="3"/>
  <c r="C40" i="3"/>
  <c r="C26" i="3"/>
  <c r="C29" i="3"/>
  <c r="C16" i="3"/>
  <c r="C60" i="3"/>
  <c r="C66" i="3"/>
  <c r="C77" i="3"/>
  <c r="C94" i="3"/>
  <c r="C99" i="3"/>
  <c r="C103" i="3"/>
  <c r="C186" i="3"/>
  <c r="C231" i="3"/>
  <c r="C102" i="3"/>
  <c r="C177" i="3"/>
  <c r="C239" i="3"/>
  <c r="C236" i="3"/>
  <c r="C59" i="3"/>
  <c r="C32" i="3"/>
  <c r="C65" i="3"/>
  <c r="C171" i="3"/>
  <c r="C68" i="3"/>
  <c r="C228" i="3"/>
  <c r="C74" i="3"/>
  <c r="C178" i="3"/>
  <c r="C142" i="3"/>
  <c r="C78" i="3"/>
  <c r="C88" i="3"/>
  <c r="C168" i="3"/>
  <c r="C125" i="3"/>
  <c r="C51" i="3"/>
  <c r="C141" i="3"/>
  <c r="C101" i="3"/>
  <c r="C219" i="3"/>
  <c r="C6" i="3"/>
  <c r="C183" i="3"/>
  <c r="C130" i="3"/>
  <c r="C153" i="3"/>
  <c r="C22" i="3"/>
  <c r="C241" i="3"/>
  <c r="C170" i="3"/>
  <c r="C185" i="3"/>
  <c r="C126" i="3"/>
  <c r="C7" i="3"/>
  <c r="C5" i="3"/>
  <c r="C182" i="3"/>
  <c r="C18" i="3"/>
  <c r="C127" i="3"/>
  <c r="C64" i="3"/>
  <c r="C220" i="3"/>
  <c r="C20" i="3"/>
  <c r="C203" i="3"/>
  <c r="C212" i="3"/>
  <c r="C98" i="3"/>
  <c r="C54" i="3"/>
  <c r="C243" i="3"/>
  <c r="C230" i="3"/>
  <c r="C129" i="3"/>
  <c r="C144" i="3"/>
  <c r="C193" i="3"/>
  <c r="C166" i="3"/>
  <c r="C143" i="3"/>
  <c r="C158" i="3"/>
  <c r="C250" i="3"/>
  <c r="C172" i="3"/>
  <c r="C217" i="3"/>
  <c r="C46" i="3"/>
  <c r="C28" i="3"/>
  <c r="C180" i="3"/>
  <c r="C49" i="3"/>
  <c r="C149" i="3"/>
  <c r="C83" i="3"/>
  <c r="C86" i="3"/>
  <c r="C233" i="3"/>
  <c r="C167" i="3"/>
  <c r="C221" i="3"/>
  <c r="C31" i="3"/>
  <c r="C24" i="3"/>
  <c r="C137" i="3"/>
  <c r="C229" i="3"/>
  <c r="C211" i="3"/>
  <c r="C9" i="3"/>
  <c r="C218" i="3"/>
  <c r="C107" i="3"/>
  <c r="C73" i="3"/>
  <c r="C47" i="3"/>
  <c r="C132" i="3"/>
  <c r="C95" i="3"/>
  <c r="C210" i="3"/>
  <c r="C174" i="3"/>
  <c r="C121" i="3"/>
  <c r="C145" i="3"/>
  <c r="C198" i="3"/>
  <c r="C162" i="3"/>
  <c r="C109" i="3"/>
  <c r="C93" i="3"/>
  <c r="C3" i="3"/>
  <c r="C4" i="3"/>
  <c r="C173" i="3"/>
  <c r="C12" i="3"/>
  <c r="C122" i="3"/>
  <c r="C45" i="3"/>
  <c r="C215" i="3"/>
  <c r="C195" i="3"/>
  <c r="C204" i="3"/>
  <c r="C89" i="3"/>
  <c r="C34" i="3"/>
  <c r="C235" i="3"/>
  <c r="C216" i="3"/>
  <c r="C23" i="3"/>
  <c r="C56" i="3"/>
  <c r="C214" i="3"/>
  <c r="C57" i="3"/>
  <c r="C160" i="3"/>
  <c r="C128" i="3"/>
  <c r="C52" i="3"/>
  <c r="C248" i="3"/>
  <c r="C71" i="3"/>
  <c r="C139" i="3"/>
  <c r="C108" i="3"/>
  <c r="C202" i="3"/>
  <c r="C163" i="3"/>
  <c r="C207" i="3"/>
  <c r="C245" i="3"/>
  <c r="C222" i="3"/>
  <c r="C17" i="3"/>
  <c r="C119" i="3"/>
  <c r="C208" i="3"/>
  <c r="C152" i="3"/>
  <c r="C179" i="3"/>
  <c r="C209" i="3"/>
  <c r="C118" i="3"/>
  <c r="C225" i="3"/>
  <c r="C48" i="3"/>
  <c r="C120" i="3"/>
  <c r="C111" i="3"/>
  <c r="C197" i="3"/>
  <c r="C181" i="3"/>
  <c r="C244" i="3"/>
  <c r="C11" i="3"/>
  <c r="C191" i="3"/>
  <c r="C25" i="3"/>
  <c r="C80" i="3"/>
  <c r="C8" i="3"/>
  <c r="C27" i="3"/>
  <c r="C62" i="3"/>
  <c r="C223" i="3"/>
  <c r="C69" i="3"/>
  <c r="C169" i="3"/>
  <c r="C133" i="3"/>
  <c r="C61" i="3"/>
  <c r="C81" i="3"/>
  <c r="C147" i="3"/>
  <c r="C115" i="3"/>
  <c r="C63" i="3"/>
  <c r="C164" i="3"/>
  <c r="C117" i="3"/>
  <c r="C242" i="3"/>
  <c r="C38" i="3"/>
  <c r="C206" i="3"/>
  <c r="C189" i="3"/>
  <c r="C175" i="3"/>
  <c r="C72" i="3"/>
  <c r="C10" i="3"/>
  <c r="C227" i="3"/>
  <c r="C200" i="3"/>
  <c r="C19" i="3"/>
  <c r="C37" i="3"/>
  <c r="C205" i="3"/>
  <c r="C50" i="3"/>
  <c r="C155" i="3"/>
  <c r="C112" i="3"/>
  <c r="C247" i="3"/>
  <c r="C41" i="3"/>
  <c r="C240" i="3"/>
  <c r="C53" i="3"/>
  <c r="C234" i="3"/>
  <c r="C131" i="3"/>
  <c r="C91" i="3"/>
  <c r="C39" i="3"/>
  <c r="C100" i="3"/>
  <c r="C246" i="3"/>
  <c r="C85" i="3"/>
  <c r="C192" i="3"/>
  <c r="C156" i="3"/>
  <c r="C97" i="3"/>
  <c r="C114" i="3"/>
  <c r="C184" i="3"/>
  <c r="C148" i="3"/>
  <c r="C75" i="3"/>
  <c r="C58" i="3"/>
  <c r="C67" i="3"/>
  <c r="C135" i="3"/>
  <c r="C194" i="3"/>
  <c r="C110" i="3"/>
  <c r="C113" i="3"/>
  <c r="C134" i="3"/>
  <c r="C136" i="3"/>
  <c r="C70" i="3"/>
  <c r="B22" i="4" s="1" a="1"/>
  <c r="B22" i="4" s="1"/>
  <c r="C22" i="4" s="1"/>
  <c r="C2" i="3"/>
  <c r="B11" i="4" s="1" a="1"/>
  <c r="B11" i="4" s="1"/>
  <c r="C11" i="4" s="1"/>
  <c r="K79" i="1"/>
  <c r="K207" i="1"/>
  <c r="K335" i="1"/>
  <c r="K120" i="1"/>
  <c r="K248" i="1"/>
  <c r="K69" i="1"/>
  <c r="K83" i="1"/>
  <c r="K211" i="1"/>
  <c r="K339" i="1"/>
  <c r="K124" i="1"/>
  <c r="K252" i="1"/>
  <c r="K77" i="1"/>
  <c r="K167" i="1"/>
  <c r="K80" i="1"/>
  <c r="K336" i="1"/>
  <c r="K333" i="1"/>
  <c r="K466" i="1"/>
  <c r="K142" i="1"/>
  <c r="K371" i="1"/>
  <c r="K499" i="1"/>
  <c r="K525" i="1"/>
  <c r="K591" i="1"/>
  <c r="K812" i="1"/>
  <c r="K649" i="1"/>
  <c r="K737" i="1"/>
  <c r="K1072" i="1"/>
  <c r="K747" i="1"/>
  <c r="K1110" i="1"/>
  <c r="K1289" i="1"/>
  <c r="K897" i="1"/>
  <c r="K381" i="1"/>
  <c r="K1013" i="1"/>
  <c r="K1219" i="1"/>
  <c r="K924" i="1"/>
  <c r="K1378" i="1"/>
  <c r="K1577" i="1"/>
  <c r="K1705" i="1"/>
  <c r="K1038" i="1"/>
  <c r="K1452" i="1"/>
  <c r="K977" i="1"/>
  <c r="K1395" i="1"/>
  <c r="K1590" i="1"/>
  <c r="K888" i="1"/>
  <c r="K1321" i="1"/>
  <c r="K1096" i="1"/>
  <c r="K1611" i="1"/>
  <c r="K1849" i="1"/>
  <c r="K1482" i="1"/>
  <c r="K1910" i="1"/>
  <c r="K130" i="1"/>
  <c r="G14" i="4" s="1"/>
  <c r="K445" i="1"/>
  <c r="K289" i="1"/>
  <c r="K940" i="1"/>
  <c r="K569" i="1"/>
  <c r="K1051" i="1"/>
  <c r="K1245" i="1"/>
  <c r="K806" i="1"/>
  <c r="K1164" i="1"/>
  <c r="K904" i="1"/>
  <c r="K1138" i="1"/>
  <c r="K630" i="1"/>
  <c r="K1319" i="1"/>
  <c r="K1511" i="1"/>
  <c r="K1661" i="1"/>
  <c r="K681" i="1"/>
  <c r="K1287" i="1"/>
  <c r="K778" i="1"/>
  <c r="K1336" i="1"/>
  <c r="K1535" i="1"/>
  <c r="K1674" i="1"/>
  <c r="K1185" i="1"/>
  <c r="K1554" i="1"/>
  <c r="K1472" i="1"/>
  <c r="K1791" i="1"/>
  <c r="K1216" i="1"/>
  <c r="K1866" i="1"/>
  <c r="K1994" i="1"/>
  <c r="K1360" i="1"/>
  <c r="K526" i="1"/>
  <c r="K549" i="1"/>
  <c r="K1464" i="1"/>
  <c r="K1792" i="1"/>
  <c r="K1268" i="1"/>
  <c r="K1875" i="1"/>
  <c r="K2003" i="1"/>
  <c r="K1663" i="1"/>
  <c r="K2116" i="1"/>
  <c r="K2315" i="1"/>
  <c r="K1888" i="1"/>
  <c r="K2238" i="1"/>
  <c r="K2445" i="1"/>
  <c r="K2573" i="1"/>
  <c r="K2701" i="1"/>
  <c r="K2829" i="1"/>
  <c r="K1568" i="1"/>
  <c r="K2096" i="1"/>
  <c r="K2284" i="1"/>
  <c r="K1790" i="1"/>
  <c r="K2166" i="1"/>
  <c r="K2422" i="1"/>
  <c r="K2550" i="1"/>
  <c r="K2678" i="1"/>
  <c r="K1825" i="1"/>
  <c r="K2763" i="1"/>
  <c r="K2990" i="1"/>
  <c r="K3160" i="1"/>
  <c r="K3206" i="1"/>
  <c r="K2240" i="1"/>
  <c r="K2571" i="1"/>
  <c r="K2854" i="1"/>
  <c r="K3113" i="1"/>
  <c r="K3301" i="1"/>
  <c r="K3365" i="1"/>
  <c r="K3429" i="1"/>
  <c r="K2037" i="1"/>
  <c r="K2208" i="1"/>
  <c r="K1260" i="1"/>
  <c r="K2017" i="1"/>
  <c r="K2367" i="1"/>
  <c r="K2506" i="1"/>
  <c r="K2634" i="1"/>
  <c r="K1364" i="1"/>
  <c r="K2258" i="1"/>
  <c r="K2931" i="1"/>
  <c r="K3102" i="1"/>
  <c r="K3291" i="1"/>
  <c r="K1964" i="1"/>
  <c r="K2483" i="1"/>
  <c r="K2744" i="1"/>
  <c r="K2937" i="1"/>
  <c r="K3193" i="1"/>
  <c r="K3321" i="1"/>
  <c r="K3385" i="1"/>
  <c r="K3449" i="1"/>
  <c r="K1455" i="1"/>
  <c r="K1787" i="1"/>
  <c r="K1252" i="1"/>
  <c r="K1871" i="1"/>
  <c r="K1999" i="1"/>
  <c r="K1647" i="1"/>
  <c r="K2111" i="1"/>
  <c r="K2306" i="1"/>
  <c r="K1880" i="1"/>
  <c r="K2233" i="1"/>
  <c r="K2441" i="1"/>
  <c r="K2569" i="1"/>
  <c r="K2697" i="1"/>
  <c r="K2825" i="1"/>
  <c r="K1551" i="1"/>
  <c r="K2091" i="1"/>
  <c r="K2275" i="1"/>
  <c r="K1744" i="1"/>
  <c r="K2150" i="1"/>
  <c r="K2418" i="1"/>
  <c r="K2482" i="1"/>
  <c r="K2610" i="1"/>
  <c r="K2674" i="1"/>
  <c r="K2167" i="1"/>
  <c r="K2756" i="1"/>
  <c r="K2899" i="1"/>
  <c r="K2984" i="1"/>
  <c r="K3070" i="1"/>
  <c r="K3155" i="1"/>
  <c r="K3240" i="1"/>
  <c r="K3184" i="1"/>
  <c r="K1868" i="1"/>
  <c r="K2231" i="1"/>
  <c r="K2435" i="1"/>
  <c r="K2563" i="1"/>
  <c r="K2691" i="1"/>
  <c r="K2847" i="1"/>
  <c r="K3097" i="1"/>
  <c r="K3296" i="1"/>
  <c r="K3361" i="1"/>
  <c r="K3425" i="1"/>
  <c r="K3477" i="1"/>
  <c r="K2119" i="1"/>
  <c r="K2843" i="1"/>
  <c r="K1207" i="1"/>
  <c r="K2211" i="1"/>
  <c r="K2911" i="1"/>
  <c r="K3082" i="1"/>
  <c r="K3260" i="1"/>
  <c r="K693" i="1"/>
  <c r="K2296" i="1"/>
  <c r="K2604" i="1"/>
  <c r="K2933" i="1"/>
  <c r="K3322" i="1"/>
  <c r="K3450" i="1"/>
  <c r="K2162" i="1"/>
  <c r="K3053" i="1"/>
  <c r="K3483" i="1"/>
  <c r="K2876" i="1"/>
  <c r="K2205" i="1"/>
  <c r="K3133" i="1"/>
  <c r="K2535" i="1"/>
  <c r="K2750" i="1"/>
  <c r="K2631" i="1"/>
  <c r="K2327" i="1"/>
  <c r="K2512" i="1"/>
  <c r="K2020" i="1"/>
  <c r="K3249" i="1"/>
  <c r="K3015" i="1"/>
  <c r="K2903" i="1"/>
  <c r="K3069" i="1"/>
  <c r="K75" i="1"/>
  <c r="K203" i="1"/>
  <c r="K331" i="1"/>
  <c r="K116" i="1"/>
  <c r="K244" i="1"/>
  <c r="K61" i="1"/>
  <c r="K725" i="1"/>
  <c r="K1305" i="1"/>
  <c r="K1032" i="1"/>
  <c r="K1603" i="1"/>
  <c r="K1844" i="1"/>
  <c r="K1473" i="1"/>
  <c r="K1906" i="1"/>
  <c r="K767" i="1"/>
  <c r="K895" i="1"/>
  <c r="K1023" i="1"/>
  <c r="K1367" i="1"/>
  <c r="K1569" i="1"/>
  <c r="K1697" i="1"/>
  <c r="K989" i="1"/>
  <c r="K1421" i="1"/>
  <c r="K938" i="1"/>
  <c r="K1384" i="1"/>
  <c r="K1582" i="1"/>
  <c r="K704" i="1"/>
  <c r="K1288" i="1"/>
  <c r="K956" i="1"/>
  <c r="K1595" i="1"/>
  <c r="K1839" i="1"/>
  <c r="K1445" i="1"/>
  <c r="K1902" i="1"/>
  <c r="K2030" i="1"/>
  <c r="K881" i="1"/>
  <c r="K1740" i="1"/>
  <c r="K1098" i="1"/>
  <c r="K1798" i="1"/>
  <c r="K1975" i="1"/>
  <c r="K1550" i="1"/>
  <c r="K2079" i="1"/>
  <c r="K2260" i="1"/>
  <c r="K1730" i="1"/>
  <c r="K2138" i="1"/>
  <c r="K2417" i="1"/>
  <c r="K2545" i="1"/>
  <c r="K2673" i="1"/>
  <c r="K2801" i="1"/>
  <c r="K1398" i="1"/>
  <c r="K1636" i="1"/>
  <c r="K365" i="1"/>
  <c r="K1556" i="1"/>
  <c r="K1931" i="1"/>
  <c r="K1188" i="1"/>
  <c r="K1852" i="1"/>
  <c r="K2191" i="1"/>
  <c r="K1107" i="1"/>
  <c r="K2000" i="1"/>
  <c r="K2352" i="1"/>
  <c r="K2501" i="1"/>
  <c r="K2629" i="1"/>
  <c r="K2757" i="1"/>
  <c r="K645" i="1"/>
  <c r="K1800" i="1"/>
  <c r="K2085" i="1"/>
  <c r="K2266" i="1"/>
  <c r="K1719" i="1"/>
  <c r="K2134" i="1"/>
  <c r="K2414" i="1"/>
  <c r="K2542" i="1"/>
  <c r="K2670" i="1"/>
  <c r="K1783" i="1"/>
  <c r="K2738" i="1"/>
  <c r="K2979" i="1"/>
  <c r="K3150" i="1"/>
  <c r="K3163" i="1"/>
  <c r="K2210" i="1"/>
  <c r="K2555" i="1"/>
  <c r="K2840" i="1"/>
  <c r="K3081" i="1"/>
  <c r="K3287" i="1"/>
  <c r="K3357" i="1"/>
  <c r="K3421" i="1"/>
  <c r="K1519" i="1"/>
  <c r="K1808" i="1"/>
  <c r="K1329" i="1"/>
  <c r="K1887" i="1"/>
  <c r="K2015" i="1"/>
  <c r="K1716" i="1"/>
  <c r="K2132" i="1"/>
  <c r="K2338" i="1"/>
  <c r="K1912" i="1"/>
  <c r="K2265" i="1"/>
  <c r="K2457" i="1"/>
  <c r="K2585" i="1"/>
  <c r="K2713" i="1"/>
  <c r="K2841" i="1"/>
  <c r="K1616" i="1"/>
  <c r="K2905" i="1"/>
  <c r="K3313" i="1"/>
  <c r="K3441" i="1"/>
  <c r="K3493" i="1"/>
  <c r="K1772" i="1"/>
  <c r="K2161" i="1"/>
  <c r="K2372" i="1"/>
  <c r="K2880" i="1"/>
  <c r="K3046" i="1"/>
  <c r="K1487" i="1"/>
  <c r="K2083" i="1"/>
  <c r="K2268" i="1"/>
  <c r="K2828" i="1"/>
  <c r="K2932" i="1"/>
  <c r="K3018" i="1"/>
  <c r="K3103" i="1"/>
  <c r="K3188" i="1"/>
  <c r="K3292" i="1"/>
  <c r="K3056" i="1"/>
  <c r="K1276" i="1"/>
  <c r="K1997" i="1"/>
  <c r="K2360" i="1"/>
  <c r="K2508" i="1"/>
  <c r="K2636" i="1"/>
  <c r="K2784" i="1"/>
  <c r="K2997" i="1"/>
  <c r="K3247" i="1"/>
  <c r="K3338" i="1"/>
  <c r="K3402" i="1"/>
  <c r="K3466" i="1"/>
  <c r="K3200" i="1"/>
  <c r="K2318" i="1"/>
  <c r="K2767" i="1"/>
  <c r="K3169" i="1"/>
  <c r="K3387" i="1"/>
  <c r="K1086" i="1"/>
  <c r="K2487" i="1"/>
  <c r="K2989" i="1"/>
  <c r="K3327" i="1"/>
  <c r="K2355" i="1"/>
  <c r="K2844" i="1"/>
  <c r="K3245" i="1"/>
  <c r="K2067" i="1"/>
  <c r="K2663" i="1"/>
  <c r="K1468" i="1"/>
  <c r="K2999" i="1"/>
  <c r="K3500" i="1"/>
  <c r="K2887" i="1"/>
  <c r="K3415" i="1"/>
  <c r="K2544" i="1"/>
  <c r="K3254" i="1"/>
  <c r="K2799" i="1"/>
  <c r="K2" i="1"/>
  <c r="K39" i="1"/>
  <c r="K295" i="1"/>
  <c r="K208" i="1"/>
  <c r="K245" i="1"/>
  <c r="K422" i="1"/>
  <c r="K54" i="1"/>
  <c r="K310" i="1"/>
  <c r="K455" i="1"/>
  <c r="K317" i="1"/>
  <c r="K458" i="1"/>
  <c r="K126" i="1"/>
  <c r="K363" i="1"/>
  <c r="K491" i="1"/>
  <c r="K515" i="1"/>
  <c r="K583" i="1"/>
  <c r="K154" i="1"/>
  <c r="K393" i="1"/>
  <c r="K417" i="1"/>
  <c r="K803" i="1"/>
  <c r="K931" i="1"/>
  <c r="K537" i="1"/>
  <c r="K178" i="1"/>
  <c r="K772" i="1"/>
  <c r="K325" i="1"/>
  <c r="K462" i="1"/>
  <c r="K134" i="1"/>
  <c r="K367" i="1"/>
  <c r="K495" i="1"/>
  <c r="K520" i="1"/>
  <c r="K587" i="1"/>
  <c r="K170" i="1"/>
  <c r="K401" i="1"/>
  <c r="K456" i="1"/>
  <c r="K776" i="1"/>
  <c r="K529" i="1"/>
  <c r="K512" i="1"/>
  <c r="K953" i="1"/>
  <c r="K600" i="1"/>
  <c r="K1062" i="1"/>
  <c r="K1253" i="1"/>
  <c r="K822" i="1"/>
  <c r="K1182" i="1"/>
  <c r="K917" i="1"/>
  <c r="K1149" i="1"/>
  <c r="K760" i="1"/>
  <c r="K1330" i="1"/>
  <c r="K1525" i="1"/>
  <c r="K1669" i="1"/>
  <c r="K724" i="1"/>
  <c r="K1309" i="1"/>
  <c r="K810" i="1"/>
  <c r="K1347" i="1"/>
  <c r="K1549" i="1"/>
  <c r="K452" i="1"/>
  <c r="K1938" i="1"/>
  <c r="K768" i="1"/>
  <c r="K484" i="1"/>
  <c r="K488" i="1"/>
  <c r="K946" i="1"/>
  <c r="K585" i="1"/>
  <c r="K1057" i="1"/>
  <c r="K1249" i="1"/>
  <c r="K814" i="1"/>
  <c r="K1173" i="1"/>
  <c r="K910" i="1"/>
  <c r="K1143" i="1"/>
  <c r="K723" i="1"/>
  <c r="K1934" i="1"/>
  <c r="K850" i="1"/>
  <c r="K1810" i="1"/>
  <c r="K2186" i="1"/>
  <c r="K2429" i="1"/>
  <c r="K2557" i="1"/>
  <c r="K2685" i="1"/>
  <c r="K2813" i="1"/>
  <c r="K1478" i="1"/>
  <c r="K2160" i="1"/>
  <c r="K2380" i="1"/>
  <c r="K1945" i="1"/>
  <c r="K2294" i="1"/>
  <c r="K2470" i="1"/>
  <c r="K2598" i="1"/>
  <c r="K2726" i="1"/>
  <c r="K2135" i="1"/>
  <c r="K2883" i="1"/>
  <c r="K3054" i="1"/>
  <c r="K3224" i="1"/>
  <c r="K1736" i="1"/>
  <c r="K2411" i="1"/>
  <c r="K2667" i="1"/>
  <c r="K3049" i="1"/>
  <c r="K3349" i="1"/>
  <c r="K1501" i="1"/>
  <c r="K1797" i="1"/>
  <c r="K1284" i="1"/>
  <c r="K1879" i="1"/>
  <c r="K2007" i="1"/>
  <c r="K1678" i="1"/>
  <c r="K2121" i="1"/>
  <c r="K2324" i="1"/>
  <c r="K1896" i="1"/>
  <c r="K2247" i="1"/>
  <c r="K2449" i="1"/>
  <c r="K2577" i="1"/>
  <c r="K2705" i="1"/>
  <c r="K2833" i="1"/>
  <c r="K1584" i="1"/>
  <c r="K1708" i="1"/>
  <c r="K1034" i="1"/>
  <c r="K1760" i="1"/>
  <c r="K1963" i="1"/>
  <c r="K1439" i="1"/>
  <c r="K2063" i="1"/>
  <c r="K2237" i="1"/>
  <c r="K1532" i="1"/>
  <c r="K2090" i="1"/>
  <c r="K2405" i="1"/>
  <c r="K2533" i="1"/>
  <c r="K2661" i="1"/>
  <c r="K2789" i="1"/>
  <c r="K1334" i="1"/>
  <c r="K2128" i="1"/>
  <c r="K2330" i="1"/>
  <c r="K1897" i="1"/>
  <c r="K2248" i="1"/>
  <c r="K2446" i="1"/>
  <c r="K2574" i="1"/>
  <c r="K2702" i="1"/>
  <c r="K2071" i="1"/>
  <c r="K2827" i="1"/>
  <c r="K3022" i="1"/>
  <c r="K3192" i="1"/>
  <c r="K1129" i="1"/>
  <c r="K2350" i="1"/>
  <c r="K2619" i="1"/>
  <c r="K2953" i="1"/>
  <c r="K3209" i="1"/>
  <c r="K3325" i="1"/>
  <c r="K3389" i="1"/>
  <c r="K3453" i="1"/>
  <c r="K2069" i="1"/>
  <c r="K2243" i="1"/>
  <c r="K1515" i="1"/>
  <c r="K2086" i="1"/>
  <c r="K2402" i="1"/>
  <c r="K2530" i="1"/>
  <c r="K2658" i="1"/>
  <c r="K1655" i="1"/>
  <c r="K2340" i="1"/>
  <c r="K2963" i="1"/>
  <c r="K3134" i="1"/>
  <c r="K3088" i="1"/>
  <c r="K2114" i="1"/>
  <c r="K2531" i="1"/>
  <c r="K1504" i="1"/>
  <c r="K2076" i="1"/>
  <c r="K2244" i="1"/>
  <c r="K2804" i="1"/>
  <c r="K2939" i="1"/>
  <c r="K425" i="1"/>
  <c r="K1805" i="1"/>
  <c r="K2168" i="1"/>
  <c r="K2739" i="1"/>
  <c r="K2890" i="1"/>
  <c r="K2975" i="1"/>
  <c r="K3060" i="1"/>
  <c r="K3146" i="1"/>
  <c r="K3231" i="1"/>
  <c r="K2982" i="1"/>
  <c r="K3195" i="1"/>
  <c r="K1869" i="1"/>
  <c r="K2232" i="1"/>
  <c r="K2444" i="1"/>
  <c r="K2572" i="1"/>
  <c r="K2700" i="1"/>
  <c r="K2862" i="1"/>
  <c r="K3125" i="1"/>
  <c r="K3306" i="1"/>
  <c r="K3370" i="1"/>
  <c r="K3434" i="1"/>
  <c r="K3498" i="1"/>
  <c r="K1972" i="1"/>
  <c r="K2536" i="1"/>
  <c r="K2940" i="1"/>
  <c r="K3323" i="1"/>
  <c r="K3451" i="1"/>
  <c r="K2033" i="1"/>
  <c r="K2742" i="1"/>
  <c r="K3218" i="1"/>
  <c r="K2035" i="1"/>
  <c r="K2592" i="1"/>
  <c r="K3020" i="1"/>
  <c r="K1506" i="1"/>
  <c r="K2407" i="1"/>
  <c r="K2881" i="1"/>
  <c r="K2496" i="1"/>
  <c r="K3298" i="1"/>
  <c r="K2226" i="1"/>
  <c r="K3212" i="1"/>
  <c r="K2056" i="1"/>
  <c r="K2973" i="1"/>
  <c r="K2130" i="1"/>
  <c r="K3127" i="1"/>
  <c r="K3495" i="1"/>
  <c r="K2838" i="1"/>
  <c r="K3138" i="1"/>
  <c r="K996" i="1"/>
  <c r="K2806" i="1"/>
  <c r="K3431" i="1"/>
  <c r="K2655" i="1"/>
  <c r="K3400" i="1"/>
  <c r="K2882" i="1"/>
  <c r="K1343" i="1"/>
  <c r="K2044" i="1"/>
  <c r="K2215" i="1"/>
  <c r="K2772" i="1"/>
  <c r="K2912" i="1"/>
  <c r="K314" i="1"/>
  <c r="K536" i="1"/>
  <c r="K621" i="1"/>
  <c r="K843" i="1"/>
  <c r="K971" i="1"/>
  <c r="K666" i="1"/>
  <c r="K519" i="1"/>
  <c r="K807" i="1"/>
  <c r="K935" i="1"/>
  <c r="K573" i="1"/>
  <c r="K210" i="1"/>
  <c r="K1752" i="1"/>
  <c r="K1962" i="1"/>
  <c r="K1180" i="1"/>
  <c r="K313" i="1"/>
  <c r="K10" i="1"/>
  <c r="K81" i="1"/>
  <c r="K146" i="1"/>
  <c r="K1388" i="1"/>
  <c r="K1585" i="1"/>
  <c r="K1713" i="1"/>
  <c r="K1059" i="1"/>
  <c r="K1466" i="1"/>
  <c r="K1028" i="1"/>
  <c r="K1406" i="1"/>
  <c r="K1598" i="1"/>
  <c r="K926" i="1"/>
  <c r="K1353" i="1"/>
  <c r="K1197" i="1"/>
  <c r="K1627" i="1"/>
  <c r="K1860" i="1"/>
  <c r="K1500" i="1"/>
  <c r="K1918" i="1"/>
  <c r="K670" i="1"/>
  <c r="K1588" i="1"/>
  <c r="K1835" i="1"/>
  <c r="K1474" i="1"/>
  <c r="K1907" i="1"/>
  <c r="K644" i="1"/>
  <c r="K1788" i="1"/>
  <c r="K2159" i="1"/>
  <c r="K2379" i="1"/>
  <c r="K1952" i="1"/>
  <c r="K2302" i="1"/>
  <c r="K2477" i="1"/>
  <c r="K2605" i="1"/>
  <c r="K2733" i="1"/>
  <c r="K2861" i="1"/>
  <c r="K1718" i="1"/>
  <c r="K2053" i="1"/>
  <c r="K2224" i="1"/>
  <c r="K1441" i="1"/>
  <c r="K2038" i="1"/>
  <c r="K2390" i="1"/>
  <c r="K2518" i="1"/>
  <c r="K2646" i="1"/>
  <c r="K1559" i="1"/>
  <c r="K2285" i="1"/>
  <c r="K2947" i="1"/>
  <c r="K3118" i="1"/>
  <c r="K2934" i="1"/>
  <c r="K2012" i="1"/>
  <c r="K2507" i="1"/>
  <c r="K2776" i="1"/>
  <c r="K2985" i="1"/>
  <c r="K3241" i="1"/>
  <c r="K3333" i="1"/>
  <c r="K3397" i="1"/>
  <c r="K3461" i="1"/>
  <c r="K1861" i="1"/>
  <c r="K1547" i="1"/>
  <c r="K1927" i="1"/>
  <c r="K1064" i="1"/>
  <c r="K1841" i="1"/>
  <c r="K2185" i="1"/>
  <c r="K1065" i="1"/>
  <c r="K1992" i="1"/>
  <c r="K2343" i="1"/>
  <c r="K2497" i="1"/>
  <c r="K2625" i="1"/>
  <c r="K2753" i="1"/>
  <c r="K524" i="1"/>
  <c r="K1789" i="1"/>
  <c r="K2165" i="1"/>
  <c r="K2389" i="1"/>
  <c r="K1953" i="1"/>
  <c r="K2303" i="1"/>
  <c r="K2474" i="1"/>
  <c r="K2602" i="1"/>
  <c r="K2730" i="1"/>
  <c r="K2145" i="1"/>
  <c r="K2888" i="1"/>
  <c r="K3059" i="1"/>
  <c r="K3230" i="1"/>
  <c r="K1762" i="1"/>
  <c r="K2419" i="1"/>
  <c r="K2675" i="1"/>
  <c r="K3065" i="1"/>
  <c r="K3278" i="1"/>
  <c r="K3353" i="1"/>
  <c r="K3417" i="1"/>
  <c r="K2034" i="1"/>
  <c r="K2107" i="1"/>
  <c r="K2298" i="1"/>
  <c r="K1854" i="1"/>
  <c r="K2198" i="1"/>
  <c r="K2430" i="1"/>
  <c r="K2558" i="1"/>
  <c r="K2686" i="1"/>
  <c r="K2027" i="1"/>
  <c r="K2788" i="1"/>
  <c r="K3000" i="1"/>
  <c r="K3171" i="1"/>
  <c r="K3252" i="1"/>
  <c r="K2286" i="1"/>
  <c r="K2587" i="1"/>
  <c r="K2889" i="1"/>
  <c r="K3309" i="1"/>
  <c r="K3437" i="1"/>
  <c r="K1580" i="1"/>
  <c r="K1829" i="1"/>
  <c r="K1465" i="1"/>
  <c r="K1903" i="1"/>
  <c r="K523" i="1"/>
  <c r="K1777" i="1"/>
  <c r="K2153" i="1"/>
  <c r="K2370" i="1"/>
  <c r="K1944" i="1"/>
  <c r="K2297" i="1"/>
  <c r="K2473" i="1"/>
  <c r="K2601" i="1"/>
  <c r="K2729" i="1"/>
  <c r="K2857" i="1"/>
  <c r="K1692" i="1"/>
  <c r="K2133" i="1"/>
  <c r="K2339" i="1"/>
  <c r="K1905" i="1"/>
  <c r="K2257" i="1"/>
  <c r="K2450" i="1"/>
  <c r="K2578" i="1"/>
  <c r="K2642" i="1"/>
  <c r="K2706" i="1"/>
  <c r="K1486" i="1"/>
  <c r="K2081" i="1"/>
  <c r="K2276" i="1"/>
  <c r="K2834" i="1"/>
  <c r="K2942" i="1"/>
  <c r="K3027" i="1"/>
  <c r="K3112" i="1"/>
  <c r="K3198" i="1"/>
  <c r="K994" i="1"/>
  <c r="K1275" i="1"/>
  <c r="K1996" i="1"/>
  <c r="K2359" i="1"/>
  <c r="K2499" i="1"/>
  <c r="K2627" i="1"/>
  <c r="K2758" i="1"/>
  <c r="K2969" i="1"/>
  <c r="K3225" i="1"/>
  <c r="K3329" i="1"/>
  <c r="K3393" i="1"/>
  <c r="K3457" i="1"/>
  <c r="K3485" i="1"/>
  <c r="K1723" i="1"/>
  <c r="K2140" i="1"/>
  <c r="K2354" i="1"/>
  <c r="K2868" i="1"/>
  <c r="K3014" i="1"/>
  <c r="K1366" i="1"/>
  <c r="K2061" i="1"/>
  <c r="K2250" i="1"/>
  <c r="K2803" i="1"/>
  <c r="K2922" i="1"/>
  <c r="K3007" i="1"/>
  <c r="K3092" i="1"/>
  <c r="K3178" i="1"/>
  <c r="K3274" i="1"/>
  <c r="K3035" i="1"/>
  <c r="K1130" i="1"/>
  <c r="K1965" i="1"/>
  <c r="K2342" i="1"/>
  <c r="K2492" i="1"/>
  <c r="K2620" i="1"/>
  <c r="K2759" i="1"/>
  <c r="K2965" i="1"/>
  <c r="K3221" i="1"/>
  <c r="K3330" i="1"/>
  <c r="K3394" i="1"/>
  <c r="K3458" i="1"/>
  <c r="K3152" i="1"/>
  <c r="K2264" i="1"/>
  <c r="K2728" i="1"/>
  <c r="K3111" i="1"/>
  <c r="K3371" i="1"/>
  <c r="K3499" i="1"/>
  <c r="K2423" i="1"/>
  <c r="K2962" i="1"/>
  <c r="K3311" i="1"/>
  <c r="K2282" i="1"/>
  <c r="K2775" i="1"/>
  <c r="K3191" i="1"/>
  <c r="K1909" i="1"/>
  <c r="K2599" i="1"/>
  <c r="K3021" i="1"/>
  <c r="K2914" i="1"/>
  <c r="K3455" i="1"/>
  <c r="K2787" i="1"/>
  <c r="K3383" i="1"/>
  <c r="K2416" i="1"/>
  <c r="K3213" i="1"/>
  <c r="K2640" i="1"/>
  <c r="K3328" i="1"/>
  <c r="K2194" i="1"/>
  <c r="K3197" i="1"/>
  <c r="K3295" i="1"/>
  <c r="K2195" i="1"/>
  <c r="K3085" i="1"/>
  <c r="K1576" i="1"/>
  <c r="K2988" i="1"/>
  <c r="K1430" i="1"/>
  <c r="K3266" i="1"/>
  <c r="K3174" i="1"/>
  <c r="K1686" i="1"/>
  <c r="K2136" i="1"/>
  <c r="K2341" i="1"/>
  <c r="K2874" i="1"/>
  <c r="K2959" i="1"/>
  <c r="K3044" i="1"/>
  <c r="K3130" i="1"/>
  <c r="K3215" i="1"/>
  <c r="K2944" i="1"/>
  <c r="K3142" i="1"/>
  <c r="K1712" i="1"/>
  <c r="K2158" i="1"/>
  <c r="K2420" i="1"/>
  <c r="K2548" i="1"/>
  <c r="K2676" i="1"/>
  <c r="K2830" i="1"/>
  <c r="K3077" i="1"/>
  <c r="K3288" i="1"/>
  <c r="K3358" i="1"/>
  <c r="K3422" i="1"/>
  <c r="K3486" i="1"/>
  <c r="K1542" i="1"/>
  <c r="K2455" i="1"/>
  <c r="K2898" i="1"/>
  <c r="K3280" i="1"/>
  <c r="K3427" i="1"/>
  <c r="K1859" i="1"/>
  <c r="K2632" i="1"/>
  <c r="K3117" i="1"/>
  <c r="K1750" i="1"/>
  <c r="K2511" i="1"/>
  <c r="K2978" i="1"/>
  <c r="K1087" i="1"/>
  <c r="K2263" i="1"/>
  <c r="K2812" i="1"/>
  <c r="K2163" i="1"/>
  <c r="K3186" i="1"/>
  <c r="K1794" i="1"/>
  <c r="K3122" i="1"/>
  <c r="K1795" i="1"/>
  <c r="K2824" i="1"/>
  <c r="K3456" i="1"/>
  <c r="K3036" i="1"/>
  <c r="K3439" i="1"/>
  <c r="K2688" i="1"/>
  <c r="K3440" i="1"/>
  <c r="K3444" i="1"/>
  <c r="K2648" i="1"/>
  <c r="K3388" i="1"/>
  <c r="K2480" i="1"/>
  <c r="K3320" i="1"/>
  <c r="K2704" i="1"/>
  <c r="K1815" i="1"/>
  <c r="K2740" i="1"/>
  <c r="K3104" i="1"/>
  <c r="K2104" i="1"/>
  <c r="K2842" i="1"/>
  <c r="K3028" i="1"/>
  <c r="K3199" i="1"/>
  <c r="K3083" i="1"/>
  <c r="K2062" i="1"/>
  <c r="K2524" i="1"/>
  <c r="K2798" i="1"/>
  <c r="K3261" i="1"/>
  <c r="K3410" i="1"/>
  <c r="K3232" i="1"/>
  <c r="K2832" i="1"/>
  <c r="K3403" i="1"/>
  <c r="K2551" i="1"/>
  <c r="K3343" i="1"/>
  <c r="K2877" i="1"/>
  <c r="K2152" i="1"/>
  <c r="K1774" i="1"/>
  <c r="K594" i="1"/>
  <c r="K3447" i="1"/>
  <c r="K3352" i="1"/>
  <c r="K3396" i="1"/>
  <c r="K3316" i="1"/>
  <c r="K2439" i="1"/>
  <c r="K2254" i="1"/>
  <c r="K2448" i="1"/>
  <c r="K3489" i="1"/>
  <c r="K1748" i="1"/>
  <c r="K2151" i="1"/>
  <c r="K2363" i="1"/>
  <c r="K2875" i="1"/>
  <c r="K3030" i="1"/>
  <c r="K1408" i="1"/>
  <c r="K2072" i="1"/>
  <c r="K2259" i="1"/>
  <c r="K2810" i="1"/>
  <c r="K2927" i="1"/>
  <c r="K3012" i="1"/>
  <c r="K3098" i="1"/>
  <c r="K3183" i="1"/>
  <c r="K3283" i="1"/>
  <c r="K3051" i="1"/>
  <c r="K1208" i="1"/>
  <c r="K1981" i="1"/>
  <c r="K2351" i="1"/>
  <c r="K2500" i="1"/>
  <c r="K2628" i="1"/>
  <c r="K2766" i="1"/>
  <c r="K2981" i="1"/>
  <c r="K3237" i="1"/>
  <c r="K3334" i="1"/>
  <c r="K3398" i="1"/>
  <c r="K3462" i="1"/>
  <c r="K3179" i="1"/>
  <c r="K2291" i="1"/>
  <c r="K2748" i="1"/>
  <c r="K3154" i="1"/>
  <c r="K3379" i="1"/>
  <c r="K770" i="1"/>
  <c r="K2440" i="1"/>
  <c r="K2977" i="1"/>
  <c r="K3319" i="1"/>
  <c r="K2328" i="1"/>
  <c r="K2794" i="1"/>
  <c r="K3234" i="1"/>
  <c r="K2004" i="1"/>
  <c r="K2616" i="1"/>
  <c r="K1171" i="1"/>
  <c r="K2941" i="1"/>
  <c r="K3472" i="1"/>
  <c r="K2856" i="1"/>
  <c r="K3404" i="1"/>
  <c r="K2463" i="1"/>
  <c r="K3238" i="1"/>
  <c r="K2687" i="1"/>
  <c r="K3340" i="1"/>
  <c r="K2245" i="1"/>
  <c r="K3275" i="1"/>
  <c r="K3308" i="1"/>
  <c r="K2246" i="1"/>
  <c r="K3201" i="1"/>
  <c r="K1858" i="1"/>
  <c r="K3089" i="1"/>
  <c r="K1386" i="1"/>
  <c r="K2055" i="1"/>
  <c r="K2225" i="1"/>
  <c r="K2779" i="1"/>
  <c r="K2918" i="1"/>
  <c r="K3190" i="1"/>
  <c r="K1763" i="1"/>
  <c r="K2147" i="1"/>
  <c r="K2378" i="1"/>
  <c r="K2879" i="1"/>
  <c r="K2964" i="1"/>
  <c r="K3050" i="1"/>
  <c r="K3135" i="1"/>
  <c r="K3220" i="1"/>
  <c r="K2960" i="1"/>
  <c r="K3158" i="1"/>
  <c r="K1738" i="1"/>
  <c r="K2190" i="1"/>
  <c r="K2428" i="1"/>
  <c r="K2556" i="1"/>
  <c r="K2684" i="1"/>
  <c r="K2848" i="1"/>
  <c r="K3093" i="1"/>
  <c r="K3293" i="1"/>
  <c r="K3362" i="1"/>
  <c r="K3426" i="1"/>
  <c r="K3490" i="1"/>
  <c r="K1773" i="1"/>
  <c r="K2472" i="1"/>
  <c r="K2913" i="1"/>
  <c r="K3307" i="1"/>
  <c r="K3435" i="1"/>
  <c r="K1908" i="1"/>
  <c r="K2679" i="1"/>
  <c r="K3132" i="1"/>
  <c r="K1956" i="1"/>
  <c r="K2528" i="1"/>
  <c r="K2993" i="1"/>
  <c r="K1302" i="1"/>
  <c r="K2309" i="1"/>
  <c r="K2831" i="1"/>
  <c r="K2272" i="1"/>
  <c r="K3229" i="1"/>
  <c r="K1973" i="1"/>
  <c r="K3143" i="1"/>
  <c r="K1893" i="1"/>
  <c r="K2858" i="1"/>
  <c r="K1699" i="1"/>
  <c r="K3058" i="1"/>
  <c r="K3448" i="1"/>
  <c r="K2735" i="1"/>
  <c r="K3468" i="1"/>
  <c r="K3463" i="1"/>
  <c r="K2695" i="1"/>
  <c r="K3399" i="1"/>
  <c r="K2527" i="1"/>
  <c r="K3332" i="1"/>
  <c r="K2780" i="1"/>
  <c r="K1836" i="1"/>
  <c r="K2747" i="1"/>
  <c r="K3126" i="1"/>
  <c r="K2115" i="1"/>
  <c r="K2860" i="1"/>
  <c r="K3034" i="1"/>
  <c r="K3204" i="1"/>
  <c r="K3099" i="1"/>
  <c r="K2094" i="1"/>
  <c r="K2532" i="1"/>
  <c r="K2816" i="1"/>
  <c r="K3270" i="1"/>
  <c r="K3414" i="1"/>
  <c r="K593" i="1"/>
  <c r="K2851" i="1"/>
  <c r="K3411" i="1"/>
  <c r="K2568" i="1"/>
  <c r="K3351" i="1"/>
  <c r="K2892" i="1"/>
  <c r="K2206" i="1"/>
  <c r="K1892" i="1"/>
  <c r="K1243" i="1"/>
  <c r="K3464" i="1"/>
  <c r="K3384" i="1"/>
  <c r="K3407" i="1"/>
  <c r="K3376" i="1"/>
  <c r="K2520" i="1"/>
  <c r="K2300" i="1"/>
  <c r="K2576" i="1"/>
  <c r="K3364" i="1"/>
  <c r="K2345" i="1"/>
  <c r="K3290" i="1"/>
  <c r="K3359" i="1"/>
  <c r="K2346" i="1"/>
  <c r="K3223" i="1"/>
  <c r="K2021" i="1"/>
  <c r="K3137" i="1"/>
  <c r="K2099" i="1"/>
  <c r="K3481" i="1"/>
  <c r="K1671" i="1"/>
  <c r="K2129" i="1"/>
  <c r="K2317" i="1"/>
  <c r="K2850" i="1"/>
  <c r="K2998" i="1"/>
  <c r="K1323" i="1"/>
  <c r="K2051" i="1"/>
  <c r="K2221" i="1"/>
  <c r="K2796" i="1"/>
  <c r="K2916" i="1"/>
  <c r="K3002" i="1"/>
  <c r="K3087" i="1"/>
  <c r="K3172" i="1"/>
  <c r="K3265" i="1"/>
  <c r="K3024" i="1"/>
  <c r="K1045" i="1"/>
  <c r="K1949" i="1"/>
  <c r="K2305" i="1"/>
  <c r="K2484" i="1"/>
  <c r="K2612" i="1"/>
  <c r="K2752" i="1"/>
  <c r="K2949" i="1"/>
  <c r="K3205" i="1"/>
  <c r="K3326" i="1"/>
  <c r="K3390" i="1"/>
  <c r="K3454" i="1"/>
  <c r="K3131" i="1"/>
  <c r="K2216" i="1"/>
  <c r="K2711" i="1"/>
  <c r="K3068" i="1"/>
  <c r="K3363" i="1"/>
  <c r="K3491" i="1"/>
  <c r="K2374" i="1"/>
  <c r="K2919" i="1"/>
  <c r="K3303" i="1"/>
  <c r="K2255" i="1"/>
  <c r="K2760" i="1"/>
  <c r="K3148" i="1"/>
  <c r="K1876" i="1"/>
  <c r="K2552" i="1"/>
  <c r="K3009" i="1"/>
  <c r="K2819" i="1"/>
  <c r="K3424" i="1"/>
  <c r="K2712" i="1"/>
  <c r="K3372" i="1"/>
  <c r="K2373" i="1"/>
  <c r="K3170" i="1"/>
  <c r="K2559" i="1"/>
  <c r="K3289" i="1"/>
  <c r="K2077" i="1"/>
  <c r="K3153" i="1"/>
  <c r="K3281" i="1"/>
  <c r="K2078" i="1"/>
  <c r="K3042" i="1"/>
  <c r="K997" i="1"/>
  <c r="K2961" i="1"/>
  <c r="K1170" i="1"/>
  <c r="K3159" i="1"/>
  <c r="K1428" i="1"/>
  <c r="K2065" i="1"/>
  <c r="K2235" i="1"/>
  <c r="K2786" i="1"/>
  <c r="K2928" i="1"/>
  <c r="K3211" i="1"/>
  <c r="K1784" i="1"/>
  <c r="K2157" i="1"/>
  <c r="K2387" i="1"/>
  <c r="K2884" i="1"/>
  <c r="K2970" i="1"/>
  <c r="K3055" i="1"/>
  <c r="K3140" i="1"/>
  <c r="K3226" i="1"/>
  <c r="K2971" i="1"/>
  <c r="K3168" i="1"/>
  <c r="K1806" i="1"/>
  <c r="K2222" i="1"/>
  <c r="K2436" i="1"/>
  <c r="K2564" i="1"/>
  <c r="K2692" i="1"/>
  <c r="K2855" i="1"/>
  <c r="K3109" i="1"/>
  <c r="K3302" i="1"/>
  <c r="K3366" i="1"/>
  <c r="K3430" i="1"/>
  <c r="K3494" i="1"/>
  <c r="K1877" i="1"/>
  <c r="K2519" i="1"/>
  <c r="K2925" i="1"/>
  <c r="K3315" i="1"/>
  <c r="K3443" i="1"/>
  <c r="K1941" i="1"/>
  <c r="K2696" i="1"/>
  <c r="K3175" i="1"/>
  <c r="K1989" i="1"/>
  <c r="K2575" i="1"/>
  <c r="K3005" i="1"/>
  <c r="K1429" i="1"/>
  <c r="K2336" i="1"/>
  <c r="K2846" i="1"/>
  <c r="K2415" i="1"/>
  <c r="K3253" i="1"/>
  <c r="K2109" i="1"/>
  <c r="K3165" i="1"/>
  <c r="K1988" i="1"/>
  <c r="K2946" i="1"/>
  <c r="K1924" i="1"/>
  <c r="K3101" i="1"/>
  <c r="K3476" i="1"/>
  <c r="K2800" i="1"/>
  <c r="K3487" i="1"/>
  <c r="K3480" i="1"/>
  <c r="K2768" i="1"/>
  <c r="K3420" i="1"/>
  <c r="K2608" i="1"/>
  <c r="K3368" i="1"/>
  <c r="K2814" i="1"/>
  <c r="K1957" i="1"/>
  <c r="L1564" i="1"/>
  <c r="L759" i="1"/>
  <c r="L2736" i="1"/>
  <c r="L2184" i="1"/>
  <c r="L2424" i="1"/>
  <c r="L3459" i="1"/>
  <c r="L3310" i="1"/>
  <c r="L3222" i="1"/>
  <c r="L2179" i="1"/>
  <c r="L18" i="1"/>
  <c r="L2421" i="1"/>
  <c r="L3052" i="1"/>
  <c r="L3119" i="1"/>
  <c r="L1349" i="1"/>
  <c r="L1351" i="1"/>
  <c r="L1214" i="1"/>
  <c r="L676" i="1"/>
  <c r="L792" i="1"/>
  <c r="L823" i="1"/>
  <c r="L809" i="1"/>
  <c r="L846" i="1"/>
  <c r="L985" i="1"/>
  <c r="L2549" i="1"/>
  <c r="L2084" i="1"/>
  <c r="L1119" i="1"/>
  <c r="L3090" i="1"/>
  <c r="L2193" i="1"/>
  <c r="L1370" i="1"/>
  <c r="L1155" i="1"/>
  <c r="L2871" i="1"/>
  <c r="L2110" i="1"/>
  <c r="L3063" i="1"/>
  <c r="L2983" i="1"/>
  <c r="L2885" i="1"/>
  <c r="L3236" i="1"/>
  <c r="L834" i="1"/>
  <c r="L388" i="1"/>
  <c r="L353" i="1"/>
  <c r="L471" i="1"/>
  <c r="L1747" i="1"/>
  <c r="L2447" i="1"/>
  <c r="L2896" i="1"/>
  <c r="L1571" i="1"/>
  <c r="L1373" i="1"/>
  <c r="L825" i="1"/>
  <c r="L854" i="1"/>
  <c r="L1004" i="1"/>
  <c r="L338" i="1"/>
  <c r="L1169" i="1"/>
  <c r="L1265" i="1"/>
  <c r="L612" i="1"/>
  <c r="L1419" i="1"/>
  <c r="L2154" i="1"/>
  <c r="L1567" i="1"/>
  <c r="L1403" i="1"/>
  <c r="L1702" i="1"/>
  <c r="L3478" i="1"/>
  <c r="L1071" i="1"/>
  <c r="L3185" i="1"/>
  <c r="L2319" i="1"/>
  <c r="L2066" i="1"/>
  <c r="L2005" i="1"/>
  <c r="L2580" i="1"/>
  <c r="L3066" i="1"/>
  <c r="L2811" i="1"/>
  <c r="L911" i="1"/>
  <c r="L2391" i="1"/>
  <c r="L1264" i="1"/>
  <c r="L1749" i="1"/>
  <c r="L1178" i="1"/>
  <c r="L1269" i="1"/>
  <c r="L637" i="1"/>
  <c r="L609" i="1"/>
  <c r="L949" i="1"/>
  <c r="L1078" i="1"/>
  <c r="L582" i="1"/>
  <c r="L2805" i="1"/>
  <c r="L1743" i="1"/>
  <c r="L1979" i="1"/>
  <c r="L2560" i="1"/>
  <c r="L2404" i="1"/>
  <c r="L1954" i="1"/>
  <c r="L1453" i="1"/>
  <c r="L1557" i="1"/>
  <c r="L2909" i="1"/>
  <c r="L1344" i="1"/>
  <c r="L2543" i="1"/>
  <c r="L2792" i="1"/>
  <c r="L3438" i="1"/>
  <c r="L2241" i="1"/>
  <c r="L2895" i="1"/>
  <c r="L2087" i="1"/>
  <c r="L783" i="1"/>
  <c r="L558" i="1"/>
  <c r="L3412" i="1"/>
  <c r="L2660" i="1"/>
  <c r="L1570" i="1"/>
  <c r="L968" i="1"/>
  <c r="L1083" i="1"/>
  <c r="L590" i="1"/>
  <c r="L951" i="1"/>
  <c r="L1346" i="1"/>
  <c r="L1205" i="1"/>
  <c r="L664" i="1"/>
  <c r="L788" i="1"/>
  <c r="L2677" i="1"/>
  <c r="L2269" i="1"/>
  <c r="L1814" i="1"/>
  <c r="L3116" i="1"/>
  <c r="L2948" i="1"/>
  <c r="L982" i="1"/>
  <c r="L874" i="1"/>
  <c r="L3460" i="1"/>
  <c r="L3031" i="1"/>
  <c r="L1608" i="1"/>
  <c r="L3331" i="1"/>
  <c r="L3141" i="1"/>
  <c r="L2992" i="1"/>
  <c r="L1827" i="1"/>
  <c r="L2743" i="1"/>
  <c r="L2323" i="1"/>
  <c r="L1823" i="1"/>
  <c r="L1539" i="1"/>
  <c r="L1174" i="1"/>
  <c r="L1018" i="1"/>
  <c r="L1204" i="1"/>
  <c r="L1270" i="1"/>
  <c r="L613" i="1"/>
  <c r="L837" i="1"/>
  <c r="L2613" i="1"/>
  <c r="L733" i="1"/>
  <c r="L1915" i="1"/>
  <c r="L202" i="1"/>
  <c r="L1345" i="1"/>
  <c r="L3284" i="1"/>
  <c r="L2639" i="1"/>
  <c r="L2583" i="1"/>
  <c r="L2708" i="1"/>
  <c r="L3151" i="1"/>
  <c r="L2950" i="1"/>
  <c r="L1505" i="1"/>
  <c r="L769" i="1"/>
  <c r="L849" i="1"/>
  <c r="L1274" i="1"/>
  <c r="L638" i="1"/>
  <c r="L845" i="1"/>
  <c r="L1079" i="1"/>
  <c r="L1163" i="1"/>
  <c r="L717" i="1"/>
  <c r="L1756" i="1"/>
  <c r="L2485" i="1"/>
  <c r="L2169" i="1"/>
  <c r="L1492" i="1"/>
  <c r="L2929" i="1"/>
  <c r="L3336" i="1"/>
  <c r="L3233" i="1"/>
  <c r="L2955" i="1"/>
  <c r="L2452" i="1"/>
  <c r="L2980" i="1"/>
  <c r="L2253" i="1"/>
  <c r="L530" i="1"/>
  <c r="L3248" i="1"/>
  <c r="L3350" i="1"/>
  <c r="L633" i="1"/>
  <c r="L1685" i="1"/>
  <c r="L1085" i="1"/>
  <c r="L1168" i="1"/>
  <c r="L722" i="1"/>
  <c r="L677" i="1"/>
  <c r="L960" i="1"/>
  <c r="L852" i="1"/>
  <c r="L2869" i="1"/>
  <c r="L2320" i="1"/>
  <c r="L1809" i="1"/>
  <c r="L1845" i="1"/>
  <c r="L3432" i="1"/>
  <c r="L3149" i="1"/>
  <c r="L2893" i="1"/>
  <c r="L2088" i="1"/>
  <c r="L3374" i="1"/>
  <c r="L1885" i="1"/>
  <c r="L2746" i="1"/>
  <c r="L1541" i="1"/>
  <c r="L2924" i="1"/>
  <c r="L1524" i="1"/>
  <c r="L1890" i="1"/>
  <c r="L1368" i="1"/>
  <c r="L1436" i="1"/>
  <c r="L688" i="1"/>
  <c r="L966" i="1"/>
  <c r="L856" i="1"/>
  <c r="L1165" i="1"/>
  <c r="L1012" i="1"/>
  <c r="L1199" i="1"/>
  <c r="L2741" i="1"/>
  <c r="L1968" i="1"/>
  <c r="L865" i="1"/>
  <c r="L1604" i="1"/>
  <c r="L507" i="1"/>
  <c r="G3" i="4"/>
  <c r="D252" i="3"/>
  <c r="L267" i="1" a="1"/>
  <c r="L31" i="1" a="1"/>
  <c r="L287" i="1" a="1"/>
  <c r="L200" i="1" a="1"/>
  <c r="L35" i="1" a="1"/>
  <c r="L291" i="1" a="1"/>
  <c r="L204" i="1" a="1"/>
  <c r="L87" i="1" a="1"/>
  <c r="L309" i="1" a="1"/>
  <c r="L118" i="1" a="1"/>
  <c r="L231" i="1" a="1"/>
  <c r="L362" i="1" a="1"/>
  <c r="L190" i="1" a="1"/>
  <c r="L73" i="1" a="1"/>
  <c r="L615" i="1" a="1"/>
  <c r="L500" i="1" a="1"/>
  <c r="L835" i="1" a="1"/>
  <c r="L641" i="1" a="1"/>
  <c r="L247" i="1" a="1"/>
  <c r="L366" i="1" a="1"/>
  <c r="L198" i="1" a="1"/>
  <c r="L89" i="1" a="1"/>
  <c r="L619" i="1" a="1"/>
  <c r="L527" i="1" a="1"/>
  <c r="L53" i="1" a="1"/>
  <c r="L482" i="1" a="1"/>
  <c r="L387" i="1" a="1"/>
  <c r="L557" i="1" a="1"/>
  <c r="L250" i="1" a="1"/>
  <c r="L555" i="1" a="1"/>
  <c r="L955" i="1" a="1"/>
  <c r="L155" i="1" a="1"/>
  <c r="L68" i="1" a="1"/>
  <c r="L324" i="1" a="1"/>
  <c r="L175" i="1" a="1"/>
  <c r="L88" i="1" a="1"/>
  <c r="L5" i="1" a="1"/>
  <c r="L179" i="1" a="1"/>
  <c r="L92" i="1" a="1"/>
  <c r="L13" i="1" a="1"/>
  <c r="L213" i="1" a="1"/>
  <c r="L22" i="1" a="1"/>
  <c r="L439" i="1" a="1"/>
  <c r="L442" i="1" a="1"/>
  <c r="L347" i="1" a="1"/>
  <c r="L472" i="1" a="1"/>
  <c r="L90" i="1" a="1"/>
  <c r="L241" i="1" a="1"/>
  <c r="L915" i="1" a="1"/>
  <c r="L50" i="1" a="1"/>
  <c r="L311" i="1" a="1"/>
  <c r="L382" i="1" a="1"/>
  <c r="L230" i="1" a="1"/>
  <c r="L153" i="1" a="1"/>
  <c r="L635" i="1" a="1"/>
  <c r="L559" i="1" a="1"/>
  <c r="L176" i="1" a="1"/>
  <c r="L434" i="1" a="1"/>
  <c r="L334" i="1" a="1"/>
  <c r="L440" i="1" a="1"/>
  <c r="L58" i="1" a="1"/>
  <c r="L907" i="1" a="1"/>
  <c r="L171" i="1" a="1"/>
  <c r="L84" i="1" a="1"/>
  <c r="L340" i="1" a="1"/>
  <c r="L191" i="1" a="1"/>
  <c r="L104" i="1" a="1"/>
  <c r="L37" i="1" a="1"/>
  <c r="L195" i="1" a="1"/>
  <c r="L108" i="1" a="1"/>
  <c r="L45" i="1" a="1"/>
  <c r="L358" i="1" a="1"/>
  <c r="L103" i="1" a="1"/>
  <c r="L394" i="1" a="1"/>
  <c r="L201" i="1" a="1"/>
  <c r="L576" i="1" a="1"/>
  <c r="L700" i="1" a="1"/>
  <c r="L288" i="1" a="1"/>
  <c r="L262" i="1" a="1"/>
  <c r="L651" i="1" a="1"/>
  <c r="L327" i="1" a="1"/>
  <c r="L59" i="1" a="1"/>
  <c r="L315" i="1" a="1"/>
  <c r="L228" i="1" a="1"/>
  <c r="L143" i="1" a="1"/>
  <c r="L312" i="1" a="1"/>
  <c r="L60" i="1" a="1"/>
  <c r="L279" i="1" a="1"/>
  <c r="L374" i="1" a="1"/>
  <c r="L214" i="1" a="1"/>
  <c r="L346" i="1" a="1"/>
  <c r="L158" i="1" a="1"/>
  <c r="L599" i="1" a="1"/>
  <c r="L436" i="1" a="1"/>
  <c r="L819" i="1" a="1"/>
  <c r="L602" i="1" a="1"/>
  <c r="L183" i="1" a="1"/>
  <c r="L350" i="1" a="1"/>
  <c r="L166" i="1" a="1"/>
  <c r="L25" i="1" a="1"/>
  <c r="L603" i="1" a="1"/>
  <c r="L461" i="1" a="1"/>
  <c r="L48" i="1" a="1"/>
  <c r="L14" i="1" a="1"/>
  <c r="L428" i="1" a="1"/>
  <c r="L409" i="1" a="1"/>
  <c r="L811" i="1" a="1"/>
  <c r="L616" i="1" a="1"/>
  <c r="L627" i="1" a="1"/>
  <c r="L356" i="1" a="1"/>
  <c r="L872" i="1" a="1"/>
  <c r="L876" i="1" a="1"/>
  <c r="L1005" i="1" a="1"/>
  <c r="L729" i="1" a="1"/>
  <c r="L739" i="1" a="1"/>
  <c r="L65" i="1" a="1"/>
  <c r="L1461" i="1" a="1"/>
  <c r="L396" i="1" a="1"/>
  <c r="L194" i="1" a="1"/>
  <c r="L1485" i="1" a="1"/>
  <c r="L1508" i="1" a="1"/>
  <c r="L1770" i="1" a="1"/>
  <c r="L337" i="1" a="1"/>
  <c r="L274" i="1" a="1"/>
  <c r="L685" i="1" a="1"/>
  <c r="L1136" i="1" a="1"/>
  <c r="L52" i="1" a="1"/>
  <c r="L95" i="1" a="1"/>
  <c r="L8" i="1" a="1"/>
  <c r="L264" i="1" a="1"/>
  <c r="L99" i="1" a="1"/>
  <c r="L12" i="1" a="1"/>
  <c r="L268" i="1" a="1"/>
  <c r="L343" i="1" a="1"/>
  <c r="L390" i="1" a="1"/>
  <c r="L246" i="1" a="1"/>
  <c r="L144" i="1" a="1"/>
  <c r="L426" i="1" a="1"/>
  <c r="L318" i="1" a="1"/>
  <c r="L329" i="1" a="1"/>
  <c r="L26" i="1" a="1"/>
  <c r="L113" i="1" a="1"/>
  <c r="L899" i="1" a="1"/>
  <c r="L749" i="1" a="1"/>
  <c r="L160" i="1" a="1"/>
  <c r="L430" i="1" a="1"/>
  <c r="L326" i="1" a="1"/>
  <c r="L433" i="1" a="1"/>
  <c r="L42" i="1" a="1"/>
  <c r="L145" i="1" a="1"/>
  <c r="L237" i="1" a="1"/>
  <c r="L46" i="1" a="1"/>
  <c r="L451" i="1" a="1"/>
  <c r="L492" i="1" a="1"/>
  <c r="L540" i="1" a="1"/>
  <c r="L762" i="1" a="1"/>
  <c r="L1019" i="1" a="1"/>
  <c r="L219" i="1" a="1"/>
  <c r="L132" i="1" a="1"/>
  <c r="L93" i="1" a="1"/>
  <c r="L239" i="1" a="1"/>
  <c r="L152" i="1" a="1"/>
  <c r="L133" i="1" a="1"/>
  <c r="L243" i="1" a="1"/>
  <c r="L156" i="1" a="1"/>
  <c r="L151" i="1" a="1"/>
  <c r="L341" i="1" a="1"/>
  <c r="L150" i="1" a="1"/>
  <c r="L157" i="1" a="1"/>
  <c r="L506" i="1" a="1"/>
  <c r="L411" i="1" a="1"/>
  <c r="L376" i="1" a="1"/>
  <c r="L416" i="1" a="1"/>
  <c r="L646" i="1" a="1"/>
  <c r="L979" i="1" a="1"/>
  <c r="L547" i="1" a="1"/>
  <c r="L224" i="1" a="1"/>
  <c r="L446" i="1" a="1"/>
  <c r="L351" i="1" a="1"/>
  <c r="L497" i="1" a="1"/>
  <c r="L106" i="1" a="1"/>
  <c r="L273" i="1" a="1"/>
  <c r="L141" i="1" a="1"/>
  <c r="L498" i="1" a="1"/>
  <c r="L403" i="1" a="1"/>
  <c r="L360" i="1" a="1"/>
  <c r="L345" i="1" a="1"/>
  <c r="L372" i="1" a="1"/>
  <c r="L235" i="1" a="1"/>
  <c r="L148" i="1" a="1"/>
  <c r="L3484" i="1" a="1"/>
  <c r="L255" i="1" a="1"/>
  <c r="L168" i="1" a="1"/>
  <c r="L3" i="1" a="1"/>
  <c r="L259" i="1" a="1"/>
  <c r="L172" i="1" a="1"/>
  <c r="L215" i="1" a="1"/>
  <c r="L486" i="1" a="1"/>
  <c r="L16" i="1" a="1"/>
  <c r="L522" i="1" a="1"/>
  <c r="L408" i="1" a="1"/>
  <c r="L699" i="1" a="1"/>
  <c r="L604" i="1" a="1"/>
  <c r="L197" i="1" a="1"/>
  <c r="L431" i="1" a="1"/>
  <c r="L505" i="1" a="1"/>
  <c r="L240" i="1" a="1"/>
  <c r="L123" i="1" a="1"/>
  <c r="L36" i="1" a="1"/>
  <c r="L292" i="1" a="1"/>
  <c r="L271" i="1" a="1"/>
  <c r="L19" i="1" a="1"/>
  <c r="L188" i="1" a="1"/>
  <c r="L192" i="1" a="1"/>
  <c r="L438" i="1" a="1"/>
  <c r="L342" i="1" a="1"/>
  <c r="L410" i="1" a="1"/>
  <c r="L286" i="1" a="1"/>
  <c r="L265" i="1" a="1"/>
  <c r="L663" i="1" a="1"/>
  <c r="L592" i="1" a="1"/>
  <c r="L883" i="1" a="1"/>
  <c r="L721" i="1" a="1"/>
  <c r="L96" i="1" a="1"/>
  <c r="L414" i="1" a="1"/>
  <c r="L294" i="1" a="1"/>
  <c r="L281" i="1" a="1"/>
  <c r="L667" i="1" a="1"/>
  <c r="L17" i="1" a="1"/>
  <c r="L304" i="1" a="1"/>
  <c r="L270" i="1" a="1"/>
  <c r="L655" i="1" a="1"/>
  <c r="L584" i="1" a="1"/>
  <c r="L875" i="1" a="1"/>
  <c r="L731" i="1" a="1"/>
  <c r="L545" i="1" a="1"/>
  <c r="L758" i="1" a="1"/>
  <c r="L642" i="1" a="1"/>
  <c r="L1056" i="1" a="1"/>
  <c r="L1105" i="1" a="1"/>
  <c r="L890" i="1" a="1"/>
  <c r="L1006" i="1" a="1"/>
  <c r="L898" i="1" a="1"/>
  <c r="L1573" i="1" a="1"/>
  <c r="L1014" i="1" a="1"/>
  <c r="L964" i="1" a="1"/>
  <c r="L1586" i="1" a="1"/>
  <c r="L1412" i="1" a="1"/>
  <c r="L1970" i="1" a="1"/>
  <c r="L815" i="1" a="1"/>
  <c r="L754" i="1" a="1"/>
  <c r="L225" i="1" a="1"/>
  <c r="L551" i="1" a="1"/>
  <c r="L11" i="1" a="1"/>
  <c r="L180" i="1" a="1"/>
  <c r="L159" i="1" a="1"/>
  <c r="L72" i="1" a="1"/>
  <c r="L328" i="1" a="1"/>
  <c r="L163" i="1" a="1"/>
  <c r="L76" i="1" a="1"/>
  <c r="L332" i="1" a="1"/>
  <c r="L256" i="1" a="1"/>
  <c r="L454" i="1" a="1"/>
  <c r="L359" i="1" a="1"/>
  <c r="L117" i="1" a="1"/>
  <c r="L490" i="1" a="1"/>
  <c r="L395" i="1" a="1"/>
  <c r="L344" i="1" a="1"/>
  <c r="L282" i="1" a="1"/>
  <c r="L596" i="1" a="1"/>
  <c r="L963" i="1" a="1"/>
  <c r="L496" i="1" a="1"/>
  <c r="L125" i="1" a="1"/>
  <c r="L494" i="1" a="1"/>
  <c r="L399" i="1" a="1"/>
  <c r="L352" i="1" a="1"/>
  <c r="L298" i="1" a="1"/>
  <c r="L199" i="1" a="1"/>
  <c r="L354" i="1" a="1"/>
  <c r="L174" i="1" a="1"/>
  <c r="L41" i="1" a="1"/>
  <c r="L607" i="1" a="1"/>
  <c r="L468" i="1" a="1"/>
  <c r="L827" i="1" a="1"/>
  <c r="L27" i="1" a="1"/>
  <c r="L283" i="1" a="1"/>
  <c r="L196" i="1" a="1"/>
  <c r="L47" i="1" a="1"/>
  <c r="L303" i="1" a="1"/>
  <c r="L216" i="1" a="1"/>
  <c r="L51" i="1" a="1"/>
  <c r="L307" i="1" a="1"/>
  <c r="L220" i="1" a="1"/>
  <c r="L64" i="1" a="1"/>
  <c r="L406" i="1" a="1"/>
  <c r="L278" i="1" a="1"/>
  <c r="L285" i="1" a="1"/>
  <c r="L94" i="1" a="1"/>
  <c r="L475" i="1" a="1"/>
  <c r="L567" i="1" a="1"/>
  <c r="L361" i="1" a="1"/>
  <c r="L787" i="1" a="1"/>
  <c r="L404" i="1" a="1"/>
  <c r="L745" i="1" a="1"/>
  <c r="L165" i="1" a="1"/>
  <c r="L510" i="1" a="1"/>
  <c r="L415" i="1" a="1"/>
  <c r="L384" i="1" a="1"/>
  <c r="L441" i="1" a="1"/>
  <c r="L7" i="1" a="1"/>
  <c r="L269" i="1" a="1"/>
  <c r="L78" i="1" a="1"/>
  <c r="L467" i="1" a="1"/>
  <c r="L553" i="1" a="1"/>
  <c r="L177" i="1" a="1"/>
  <c r="L43" i="1" a="1"/>
  <c r="L299" i="1" a="1"/>
  <c r="L212" i="1" a="1"/>
  <c r="L63" i="1" a="1"/>
  <c r="L319" i="1" a="1"/>
  <c r="L232" i="1" a="1"/>
  <c r="L67" i="1" a="1"/>
  <c r="L323" i="1" a="1"/>
  <c r="L236" i="1" a="1"/>
  <c r="L128" i="1" a="1"/>
  <c r="L182" i="1" a="1"/>
  <c r="L272" i="1" a="1"/>
  <c r="L254" i="1" a="1"/>
  <c r="L647" i="1" a="1"/>
  <c r="L867" i="1" a="1"/>
  <c r="L119" i="1" a="1"/>
  <c r="L398" i="1" a="1"/>
  <c r="L217" i="1" a="1"/>
  <c r="L580" i="1" a="1"/>
  <c r="L173" i="1" a="1"/>
  <c r="L187" i="1" a="1"/>
  <c r="L100" i="1" a="1"/>
  <c r="L29" i="1" a="1"/>
  <c r="L56" i="1" a="1"/>
  <c r="L147" i="1" a="1"/>
  <c r="L316" i="1" a="1"/>
  <c r="L149" i="1" a="1"/>
  <c r="L502" i="1" a="1"/>
  <c r="L407" i="1" a="1"/>
  <c r="L474" i="1" a="1"/>
  <c r="L379" i="1" a="1"/>
  <c r="L539" i="1" a="1"/>
  <c r="L218" i="1" a="1"/>
  <c r="L517" i="1" a="1"/>
  <c r="L947" i="1" a="1"/>
  <c r="L306" i="1" a="1"/>
  <c r="L21" i="1" a="1"/>
  <c r="L478" i="1" a="1"/>
  <c r="L383" i="1" a="1"/>
  <c r="L548" i="1" a="1"/>
  <c r="L234" i="1" a="1"/>
  <c r="L546" i="1" a="1"/>
  <c r="L205" i="1" a="1"/>
  <c r="L435" i="1" a="1"/>
  <c r="L186" i="1" a="1"/>
  <c r="L481" i="1" a="1"/>
  <c r="L939" i="1" a="1"/>
  <c r="L432" i="1" a="1"/>
  <c r="L775" i="1" a="1"/>
  <c r="L668" i="1" a="1"/>
  <c r="L755" i="1" a="1"/>
  <c r="L1236" i="1" a="1"/>
  <c r="L1200" i="1" a="1"/>
  <c r="L1068" i="1" a="1"/>
  <c r="L1106" i="1" a="1"/>
  <c r="L1238" i="1" a="1"/>
  <c r="L1637" i="1" a="1"/>
  <c r="L1211" i="1" a="1"/>
  <c r="L1304" i="1" a="1"/>
  <c r="L1650" i="1" a="1"/>
  <c r="L1758" i="1" a="1"/>
  <c r="L509" i="1" a="1"/>
  <c r="L943" i="1" a="1"/>
  <c r="L828" i="1" a="1"/>
  <c r="L789" i="1" a="1"/>
  <c r="L139" i="1" a="1"/>
  <c r="L308" i="1" a="1"/>
  <c r="L223" i="1" a="1"/>
  <c r="L136" i="1" a="1"/>
  <c r="L101" i="1" a="1"/>
  <c r="L227" i="1" a="1"/>
  <c r="L140" i="1" a="1"/>
  <c r="L109" i="1" a="1"/>
  <c r="L181" i="1" a="1"/>
  <c r="L518" i="1" a="1"/>
  <c r="L423" i="1" a="1"/>
  <c r="L253" i="1" a="1"/>
  <c r="L62" i="1" a="1"/>
  <c r="L459" i="1" a="1"/>
  <c r="L535" i="1" a="1"/>
  <c r="L554" i="1" a="1"/>
  <c r="L771" i="1" a="1"/>
  <c r="L1027" i="1" a="1"/>
  <c r="L695" i="1" a="1"/>
  <c r="L261" i="1" a="1"/>
  <c r="L70" i="1" a="1"/>
  <c r="L463" i="1" a="1"/>
  <c r="L544" i="1" a="1"/>
  <c r="L563" i="1" a="1"/>
  <c r="L112" i="1" a="1"/>
  <c r="L418" i="1" a="1"/>
  <c r="L302" i="1" a="1"/>
  <c r="L297" i="1" a="1"/>
  <c r="L671" i="1" a="1"/>
  <c r="L49" i="1" a="1"/>
  <c r="L891" i="1" a="1"/>
  <c r="L91" i="1" a="1"/>
  <c r="L4" i="1" a="1"/>
  <c r="L260" i="1" a="1"/>
  <c r="L111" i="1" a="1"/>
  <c r="L24" i="1" a="1"/>
  <c r="L280" i="1" a="1"/>
  <c r="L115" i="1" a="1"/>
  <c r="L28" i="1" a="1"/>
  <c r="L284" i="1" a="1"/>
  <c r="L320" i="1" a="1"/>
  <c r="L470" i="1" a="1"/>
  <c r="L375" i="1" a="1"/>
  <c r="L378" i="1" a="1"/>
  <c r="L222" i="1" a="1"/>
  <c r="L137" i="1" a="1"/>
  <c r="L631" i="1" a="1"/>
  <c r="L550" i="1" a="1"/>
  <c r="L851" i="1" a="1"/>
  <c r="L678" i="1" a="1"/>
  <c r="L55" i="1" a="1"/>
  <c r="L293" i="1" a="1"/>
  <c r="L102" i="1" a="1"/>
  <c r="L479" i="1" a="1"/>
  <c r="L571" i="1" a="1"/>
  <c r="L369" i="1" a="1"/>
  <c r="L263" i="1" a="1"/>
  <c r="L370" i="1" a="1"/>
  <c r="L206" i="1" a="1"/>
  <c r="L105" i="1" a="1"/>
  <c r="L623" i="1" a="1"/>
  <c r="L779" i="1" a="1"/>
  <c r="L107" i="1" a="1"/>
  <c r="L20" i="1" a="1"/>
  <c r="L276" i="1" a="1"/>
  <c r="L127" i="1" a="1"/>
  <c r="L40" i="1" a="1"/>
  <c r="L296" i="1" a="1"/>
  <c r="L131" i="1" a="1"/>
  <c r="L44" i="1" a="1"/>
  <c r="L300" i="1" a="1"/>
  <c r="L85" i="1" a="1"/>
  <c r="L391" i="1" a="1"/>
  <c r="L189" i="1" a="1"/>
  <c r="L427" i="1" a="1"/>
  <c r="L480" i="1" a="1"/>
  <c r="L995" i="1" a="1"/>
  <c r="L1131" i="1" a="1"/>
  <c r="L948" i="1" a="1"/>
  <c r="L1047" i="1" a="1"/>
  <c r="L1001" i="1" a="1"/>
  <c r="L1593" i="1" a="1"/>
  <c r="L1081" i="1" a="1"/>
  <c r="L1092" i="1" a="1"/>
  <c r="L1606" i="1" a="1"/>
  <c r="L1385" i="1" a="1"/>
  <c r="L1643" i="1" a="1"/>
  <c r="L1546" i="1" a="1"/>
  <c r="L786" i="1" a="1"/>
  <c r="L653" i="1" a="1"/>
  <c r="L556" i="1" a="1"/>
  <c r="L712" i="1" a="1"/>
  <c r="L1190" i="1" a="1"/>
  <c r="L1158" i="1" a="1"/>
  <c r="L993" i="1" a="1"/>
  <c r="L1074" i="1" a="1"/>
  <c r="L1144" i="1" a="1"/>
  <c r="L1613" i="1" a="1"/>
  <c r="L1134" i="1" a="1"/>
  <c r="L1212" i="1" a="1"/>
  <c r="L1626" i="1" a="1"/>
  <c r="L1458" i="1" a="1"/>
  <c r="L1694" i="1" a="1"/>
  <c r="L1714" i="1" a="1"/>
  <c r="L932" i="1" a="1"/>
  <c r="L740" i="1" a="1"/>
  <c r="L624" i="1" a="1"/>
  <c r="L1040" i="1" a="1"/>
  <c r="L1099" i="1" a="1"/>
  <c r="L884" i="1" a="1"/>
  <c r="L1000" i="1" a="1"/>
  <c r="L873" i="1" a="1"/>
  <c r="L1761" i="1" a="1"/>
  <c r="L1480" i="1" a="1"/>
  <c r="L1402" i="1" a="1"/>
  <c r="L1966" i="1" a="1"/>
  <c r="L1813" i="1" a="1"/>
  <c r="L1891" i="1" a="1"/>
  <c r="L1742" i="1" a="1"/>
  <c r="L2347" i="1" a="1"/>
  <c r="L2270" i="1" a="1"/>
  <c r="L2589" i="1" a="1"/>
  <c r="L2845" i="1" a="1"/>
  <c r="L2117" i="1" a="1"/>
  <c r="L1881" i="1" a="1"/>
  <c r="L2438" i="1" a="1"/>
  <c r="L2694" i="1" a="1"/>
  <c r="L2802" i="1" a="1"/>
  <c r="L1241" i="1" a="1"/>
  <c r="L1148" i="1" a="1"/>
  <c r="L1133" i="1" a="1"/>
  <c r="L1314" i="1" a="1"/>
  <c r="L1657" i="1" a="1"/>
  <c r="L1279" i="1" a="1"/>
  <c r="L1331" i="1" a="1"/>
  <c r="L1670" i="1" a="1"/>
  <c r="L1545" i="1" a="1"/>
  <c r="L1785" i="1" a="1"/>
  <c r="L1850" i="1" a="1"/>
  <c r="L1350" i="1" a="1"/>
  <c r="L855" i="1" a="1"/>
  <c r="L784" i="1" a="1"/>
  <c r="L598" i="1" a="1"/>
  <c r="L650" i="1" a="1"/>
  <c r="L1261" i="1" a="1"/>
  <c r="L1196" i="1" a="1"/>
  <c r="L1159" i="1" a="1"/>
  <c r="L1340" i="1" a="1"/>
  <c r="L1677" i="1" a="1"/>
  <c r="L1341" i="1" a="1"/>
  <c r="L1358" i="1" a="1"/>
  <c r="L578" i="1" a="1"/>
  <c r="L785" i="1" a="1"/>
  <c r="L1812" i="1" a="1"/>
  <c r="L1882" i="1" a="1"/>
  <c r="L57" i="1" a="1"/>
  <c r="L661" i="1" a="1"/>
  <c r="L750" i="1" a="1"/>
  <c r="L1231" i="1" a="1"/>
  <c r="L1195" i="1" a="1"/>
  <c r="L1052" i="1" a="1"/>
  <c r="L1101" i="1" a="1"/>
  <c r="L1229" i="1" a="1"/>
  <c r="L1202" i="1" a="1"/>
  <c r="L1646" i="1" a="1"/>
  <c r="L1739" i="1" a="1"/>
  <c r="L1198" i="1" a="1"/>
  <c r="L958" i="1" a="1"/>
  <c r="L1955" i="1" a="1"/>
  <c r="L2052" i="1" a="1"/>
  <c r="L1459" i="1" a="1"/>
  <c r="L2397" i="1" a="1"/>
  <c r="L2653" i="1" a="1"/>
  <c r="L1291" i="1" a="1"/>
  <c r="L2203" i="1" a="1"/>
  <c r="L2009" i="1" a="1"/>
  <c r="L2502" i="1" a="1"/>
  <c r="L1322" i="1" a="1"/>
  <c r="L2926" i="1" a="1"/>
  <c r="L3282" i="1" a="1"/>
  <c r="L2475" i="1" a="1"/>
  <c r="L3177" i="1" a="1"/>
  <c r="L1392" i="1" a="1"/>
  <c r="L1911" i="1" a="1"/>
  <c r="L2388" i="1" a="1"/>
  <c r="L2609" i="1" a="1"/>
  <c r="L2059" i="1" a="1"/>
  <c r="L1460" i="1" a="1"/>
  <c r="L2394" i="1" a="1"/>
  <c r="L2650" i="1" a="1"/>
  <c r="L2322" i="1" a="1"/>
  <c r="L3123" i="1" a="1"/>
  <c r="L2050" i="1" a="1"/>
  <c r="L2783" i="1" a="1"/>
  <c r="L3401" i="1" a="1"/>
  <c r="L1235" i="1" a="1"/>
  <c r="L896" i="1" a="1"/>
  <c r="L226" i="1" a="1"/>
  <c r="L570" i="1" a="1"/>
  <c r="L1246" i="1" a="1"/>
  <c r="L1399" i="1" a="1"/>
  <c r="L1721" i="1" a="1"/>
  <c r="L1484" i="1" a="1"/>
  <c r="L1416" i="1" a="1"/>
  <c r="L965" i="1" a="1"/>
  <c r="L1295" i="1" a="1"/>
  <c r="L364" i="1" a="1"/>
  <c r="L1926" i="1" a="1"/>
  <c r="L453" i="1" a="1"/>
  <c r="L983" i="1" a="1"/>
  <c r="L848" i="1" a="1"/>
  <c r="L829" i="1" a="1"/>
  <c r="L941" i="1" a="1"/>
  <c r="L533" i="1" a="1"/>
  <c r="L665" i="1" a="1"/>
  <c r="L1266" i="1" a="1"/>
  <c r="L1426" i="1" a="1"/>
  <c r="L1741" i="1" a="1"/>
  <c r="L1521" i="1" a="1"/>
  <c r="L1443" i="1" a="1"/>
  <c r="L1050" i="1" a="1"/>
  <c r="L1348" i="1" a="1"/>
  <c r="L880" i="1" a="1"/>
  <c r="L1946" i="1" a="1"/>
  <c r="L611" i="1" a="1"/>
  <c r="L804" i="1" a="1"/>
  <c r="L707" i="1" a="1"/>
  <c r="L708" i="1" a="1"/>
  <c r="L1281" i="1" a="1"/>
  <c r="L1237" i="1" a="1"/>
  <c r="L1201" i="1" a="1"/>
  <c r="L1456" i="1" a="1"/>
  <c r="L66" i="1" a="1"/>
  <c r="L1103" i="1" a="1"/>
  <c r="L1054" i="1" a="1"/>
  <c r="L1528" i="1" a="1"/>
  <c r="L1361" i="1" a="1"/>
  <c r="L2019" i="1" a="1"/>
  <c r="L2137" i="1" a="1"/>
  <c r="L1920" i="1" a="1"/>
  <c r="L2461" i="1" a="1"/>
  <c r="L2717" i="1" a="1"/>
  <c r="L1632" i="1" a="1"/>
  <c r="L2316" i="1" a="1"/>
  <c r="L2230" i="1" a="1"/>
  <c r="L2566" i="1" a="1"/>
  <c r="L2049" i="1" a="1"/>
  <c r="L3011" i="1" a="1"/>
  <c r="L944" i="1" a="1"/>
  <c r="L2603" i="1" a="1"/>
  <c r="L3317" i="1" a="1"/>
  <c r="L1596" i="1" a="1"/>
  <c r="L801" i="1" a="1"/>
  <c r="L1960" i="1" a="1"/>
  <c r="L2737" i="1" a="1"/>
  <c r="L2144" i="1" a="1"/>
  <c r="L1921" i="1" a="1"/>
  <c r="L2458" i="1" a="1"/>
  <c r="L2714" i="1" a="1"/>
  <c r="L2859" i="1" a="1"/>
  <c r="L3208" i="1" a="1"/>
  <c r="L2377" i="1" a="1"/>
  <c r="L3001" i="1" a="1"/>
  <c r="L3465" i="1" a="1"/>
  <c r="L1867" i="1" a="1"/>
  <c r="L2301" i="1" a="1"/>
  <c r="L2565" i="1" a="1"/>
  <c r="L2171" i="1" a="1"/>
  <c r="L2478" i="1" a="1"/>
  <c r="L2894" i="1" a="1"/>
  <c r="L2427" i="1" a="1"/>
  <c r="L933" i="1" a="1"/>
  <c r="L2047" i="1" a="1"/>
  <c r="L2393" i="1" a="1"/>
  <c r="L1189" i="1" a="1"/>
  <c r="L2307" i="1" a="1"/>
  <c r="L2214" i="1" a="1"/>
  <c r="L2562" i="1" a="1"/>
  <c r="L2039" i="1" a="1"/>
  <c r="L3006" i="1" a="1"/>
  <c r="L692" i="1" a="1"/>
  <c r="L2595" i="1" a="1"/>
  <c r="L1575" i="1" a="1"/>
  <c r="L2966" i="1" a="1"/>
  <c r="L2764" i="1" a="1"/>
  <c r="L3156" i="1" a="1"/>
  <c r="L1901" i="1" a="1"/>
  <c r="L2716" i="1" a="1"/>
  <c r="L3378" i="1" a="1"/>
  <c r="L2600" i="1" a="1"/>
  <c r="L2142" i="1" a="1"/>
  <c r="L2656" i="1" a="1"/>
  <c r="L2908" i="1" a="1"/>
  <c r="L3299" i="1" a="1"/>
  <c r="L3217" i="1" a="1"/>
  <c r="L1724" i="1" a="1"/>
  <c r="L3452" i="1" a="1"/>
  <c r="L74" i="1" a="1"/>
  <c r="L405" i="1" a="1"/>
  <c r="L914" i="1" a="1"/>
  <c r="L1041" i="1" a="1"/>
  <c r="L790" i="1" a="1"/>
  <c r="L878" i="1" a="1"/>
  <c r="L541" i="1" a="1"/>
  <c r="L1493" i="1" a="1"/>
  <c r="L632" i="1" a="1"/>
  <c r="L743" i="1" a="1"/>
  <c r="L1517" i="1" a="1"/>
  <c r="L1157" i="1" a="1"/>
  <c r="L1454" i="1" a="1"/>
  <c r="L1161" i="1" a="1"/>
  <c r="L1986" i="1" a="1"/>
  <c r="L847" i="1" a="1"/>
  <c r="L780" i="1" a="1"/>
  <c r="L532" i="1" a="1"/>
  <c r="L625" i="1" a="1"/>
  <c r="L1257" i="1" a="1"/>
  <c r="L1191" i="1" a="1"/>
  <c r="L1154" i="1" a="1"/>
  <c r="L1335" i="1" a="1"/>
  <c r="L1673" i="1" a="1"/>
  <c r="L1325" i="1" a="1"/>
  <c r="L1352" i="1" a="1"/>
  <c r="L543" i="1" a="1"/>
  <c r="L751" i="1" a="1"/>
  <c r="L1807" i="1" a="1"/>
  <c r="L1878" i="1" a="1"/>
  <c r="L503" i="1" a="1"/>
  <c r="L887" i="1" a="1"/>
  <c r="L800" i="1" a="1"/>
  <c r="L675" i="1" a="1"/>
  <c r="L697" i="1" a="1"/>
  <c r="L1277" i="1" a="1"/>
  <c r="L1228" i="1" a="1"/>
  <c r="L1192" i="1" a="1"/>
  <c r="L1362" i="1" a="1"/>
  <c r="L1693" i="1" a="1"/>
  <c r="L1405" i="1" a="1"/>
  <c r="L1379" i="1" a="1"/>
  <c r="L682" i="1" a="1"/>
  <c r="L930" i="1" a="1"/>
  <c r="L1833" i="1" a="1"/>
  <c r="L2026" i="1" a="1"/>
  <c r="L727" i="1" a="1"/>
  <c r="L97" i="1" a="1"/>
  <c r="L412" i="1" a="1"/>
  <c r="L1227" i="1" a="1"/>
  <c r="L1116" i="1" a="1"/>
  <c r="L1122" i="1" a="1"/>
  <c r="L1303" i="1" a="1"/>
  <c r="L1263" i="1" a="1"/>
  <c r="L1662" i="1" a="1"/>
  <c r="L1775" i="1" a="1"/>
  <c r="L1328" i="1" a="1"/>
  <c r="L1782" i="1" a="1"/>
  <c r="L2251" i="1" a="1"/>
  <c r="L2541" i="1" a="1"/>
  <c r="L2139" i="1" a="1"/>
  <c r="L2454" i="1" a="1"/>
  <c r="L2852" i="1" a="1"/>
  <c r="L2368" i="1" a="1"/>
  <c r="L1776" i="1" a="1"/>
  <c r="L1615" i="1" a="1"/>
  <c r="L2202" i="1" a="1"/>
  <c r="L2817" i="1" a="1"/>
  <c r="L1706" i="1" a="1"/>
  <c r="L2666" i="1" a="1"/>
  <c r="L3144" i="1" a="1"/>
  <c r="L2822" i="1" a="1"/>
  <c r="L714" i="1" a="1"/>
  <c r="L1947" i="1" a="1"/>
  <c r="L2041" i="1" a="1"/>
  <c r="L1333" i="1" a="1"/>
  <c r="L2384" i="1" a="1"/>
  <c r="L2645" i="1" a="1"/>
  <c r="L32" i="1" a="1"/>
  <c r="L6" i="1" a="1"/>
  <c r="L421" i="1" a="1"/>
  <c r="L71" i="1" a="1"/>
  <c r="L301" i="1" a="1"/>
  <c r="L251" i="1" a="1"/>
  <c r="L164" i="1" a="1"/>
  <c r="L15" i="1" a="1"/>
  <c r="L184" i="1" a="1"/>
  <c r="L275" i="1" a="1"/>
  <c r="L23" i="1" a="1"/>
  <c r="L277" i="1" a="1"/>
  <c r="L86" i="1" a="1"/>
  <c r="L221" i="1" a="1"/>
  <c r="L30" i="1" a="1"/>
  <c r="L443" i="1" a="1"/>
  <c r="L460" i="1" a="1"/>
  <c r="L521" i="1" a="1"/>
  <c r="L744" i="1" a="1"/>
  <c r="L1011" i="1" a="1"/>
  <c r="L654" i="1" a="1"/>
  <c r="L229" i="1" a="1"/>
  <c r="L38" i="1" a="1"/>
  <c r="L447" i="1" a="1"/>
  <c r="L485" i="1" a="1"/>
  <c r="L531" i="1" a="1"/>
  <c r="L135" i="1" a="1"/>
  <c r="L402" i="1" a="1"/>
  <c r="L233" i="1" a="1"/>
  <c r="L511" i="1" a="1"/>
  <c r="L730" i="1" a="1"/>
  <c r="L1003" i="1" a="1"/>
  <c r="L121" i="1" a="1"/>
  <c r="L903" i="1" a="1"/>
  <c r="L808" i="1" a="1"/>
  <c r="L728" i="1" a="1"/>
  <c r="L718" i="1" a="1"/>
  <c r="L1285" i="1" a="1"/>
  <c r="L349" i="1" a="1"/>
  <c r="L1210" i="1" a="1"/>
  <c r="L1372" i="1" a="1"/>
  <c r="L1701" i="1" a="1"/>
  <c r="L1437" i="1" a="1"/>
  <c r="L1390" i="1" a="1"/>
  <c r="L1114" i="1" a="1"/>
  <c r="L1075" i="1" a="1"/>
  <c r="L138" i="1" a="1"/>
  <c r="L589" i="1" a="1"/>
  <c r="L420" i="1" a="1"/>
  <c r="L921" i="1" a="1"/>
  <c r="L1046" i="1" a="1"/>
  <c r="L798" i="1" a="1"/>
  <c r="L885" i="1" a="1"/>
  <c r="L605" i="1" a="1"/>
  <c r="L1502" i="1" a="1"/>
  <c r="L657" i="1" a="1"/>
  <c r="L761" i="1" a="1"/>
  <c r="L1526" i="1" a="1"/>
  <c r="L1176" i="1" a="1"/>
  <c r="L1463" i="1" a="1"/>
  <c r="L1179" i="1" a="1"/>
  <c r="L1990" i="1" a="1"/>
  <c r="L516" i="1" a="1"/>
  <c r="L684" i="1" a="1"/>
  <c r="L574" i="1" a="1"/>
  <c r="L978" i="1" a="1"/>
  <c r="L1073" i="1" a="1"/>
  <c r="L838" i="1" a="1"/>
  <c r="L942" i="1" a="1"/>
  <c r="L793" i="1" a="1"/>
  <c r="L1543" i="1" a="1"/>
  <c r="L886" i="1" a="1"/>
  <c r="L842" i="1" a="1"/>
  <c r="L1562" i="1" a="1"/>
  <c r="L1248" i="1" a="1"/>
  <c r="L1536" i="1" a="1"/>
  <c r="L1283" i="1" a="1"/>
  <c r="L2010" i="1" a="1"/>
  <c r="L493" i="1" a="1"/>
  <c r="L868" i="1" a="1"/>
  <c r="L869" i="1" a="1"/>
  <c r="L998" i="1" a="1"/>
  <c r="L719" i="1" a="1"/>
  <c r="L720" i="1" a="1"/>
  <c r="L1286" i="1" a="1"/>
  <c r="L1633" i="1" a="1"/>
  <c r="L1299" i="1" a="1"/>
  <c r="L1499" i="1" a="1"/>
  <c r="L1759" i="1" a="1"/>
  <c r="L1683" i="1" a="1"/>
  <c r="L1735" i="1" a="1"/>
  <c r="L1396" i="1" a="1"/>
  <c r="L2223" i="1" a="1"/>
  <c r="L2058" i="1" a="1"/>
  <c r="L2525" i="1" a="1"/>
  <c r="L2781" i="1" a="1"/>
  <c r="L1864" i="1" a="1"/>
  <c r="L1226" i="1" a="1"/>
  <c r="L2358" i="1" a="1"/>
  <c r="L2630" i="1" a="1"/>
  <c r="L2220" i="1" a="1"/>
  <c r="L3096" i="1" a="1"/>
  <c r="L1948" i="1" a="1"/>
  <c r="L2731" i="1" a="1"/>
  <c r="L3381" i="1" a="1"/>
  <c r="L1840" i="1" a="1"/>
  <c r="L1799" i="1" a="1"/>
  <c r="L2311" i="1" a="1"/>
  <c r="L2865" i="1" a="1"/>
  <c r="L2229" i="1" a="1"/>
  <c r="L2054" i="1" a="1"/>
  <c r="L2522" i="1" a="1"/>
  <c r="L1591" i="1" a="1"/>
  <c r="L2952" i="1" a="1"/>
  <c r="L3040" i="1" a="1"/>
  <c r="L2515" i="1" a="1"/>
  <c r="L3246" i="1" a="1"/>
  <c r="L1446" i="1" a="1"/>
  <c r="L3182" i="1" a="1"/>
  <c r="L2304" i="1" a="1"/>
  <c r="L2921" i="1" a="1"/>
  <c r="L3445" i="1" a="1"/>
  <c r="L1483" i="1" a="1"/>
  <c r="L2164" i="1" a="1"/>
  <c r="L2481" i="1" a="1"/>
  <c r="L1731" i="1" a="1"/>
  <c r="L2357" i="1" a="1"/>
  <c r="L2271" i="1" a="1"/>
  <c r="L2586" i="1" a="1"/>
  <c r="L2103" i="1" a="1"/>
  <c r="L3038" i="1" a="1"/>
  <c r="L1450" i="1" a="1"/>
  <c r="L2643" i="1" a="1"/>
  <c r="L3337" i="1" a="1"/>
  <c r="L1781" i="1" a="1"/>
  <c r="L1631" i="1" a="1"/>
  <c r="L2218" i="1" a="1"/>
  <c r="L2821" i="1" a="1"/>
  <c r="L1961" i="1" a="1"/>
  <c r="L2734" i="1" a="1"/>
  <c r="L3235" i="1" a="1"/>
  <c r="L752" i="1" a="1"/>
  <c r="L1951" i="1" a="1"/>
  <c r="L1397" i="1" a="1"/>
  <c r="L2649" i="1" a="1"/>
  <c r="L2112" i="1" a="1"/>
  <c r="L1873" i="1" a="1"/>
  <c r="L2434" i="1" a="1"/>
  <c r="L2690" i="1" a="1"/>
  <c r="L2795" i="1" a="1"/>
  <c r="L3176" i="1" a="1"/>
  <c r="L2295" i="1" a="1"/>
  <c r="L3161" i="1" a="1"/>
  <c r="L2290" i="1" a="1"/>
  <c r="L1848" i="1" a="1"/>
  <c r="L2986" i="1" a="1"/>
  <c r="L3003" i="1" a="1"/>
  <c r="L2460" i="1" a="1"/>
  <c r="L3157" i="1" a="1"/>
  <c r="L3062" i="1" a="1"/>
  <c r="L3339" i="1" a="1"/>
  <c r="L3244" i="1" a="1"/>
  <c r="L1698" i="1" a="1"/>
  <c r="L3348" i="1" a="1"/>
  <c r="L3057" i="1" a="1"/>
  <c r="L2956" i="1" a="1"/>
  <c r="L3479" i="1" a="1"/>
  <c r="L763" i="1" a="1"/>
  <c r="L736" i="1" a="1"/>
  <c r="L161" i="1" a="1"/>
  <c r="L437" i="1" a="1"/>
  <c r="L1232" i="1" a="1"/>
  <c r="L1132" i="1" a="1"/>
  <c r="L1127" i="1" a="1"/>
  <c r="L1308" i="1" a="1"/>
  <c r="L1653" i="1" a="1"/>
  <c r="L1271" i="1" a="1"/>
  <c r="L1326" i="1" a="1"/>
  <c r="L1666" i="1" a="1"/>
  <c r="L1540" i="1" a="1"/>
  <c r="L1780" i="1" a="1"/>
  <c r="L1834" i="1" a="1"/>
  <c r="L473" i="1" a="1"/>
  <c r="L673" i="1" a="1"/>
  <c r="L566" i="1" a="1"/>
  <c r="L972" i="1" a="1"/>
  <c r="L1067" i="1" a="1"/>
  <c r="L830" i="1" a="1"/>
  <c r="L936" i="1" a="1"/>
  <c r="L777" i="1" a="1"/>
  <c r="L1534" i="1" a="1"/>
  <c r="L742" i="1" a="1"/>
  <c r="L826" i="1" a="1"/>
  <c r="L1558" i="1" a="1"/>
  <c r="L1240" i="1" a="1"/>
  <c r="L1527" i="1" a="1"/>
  <c r="L1267" i="1" a="1"/>
  <c r="L2006" i="1" a="1"/>
  <c r="L429" i="1" a="1"/>
  <c r="L726" i="1" a="1"/>
  <c r="L617" i="1" a="1"/>
  <c r="L1017" i="1" a="1"/>
  <c r="L1094" i="1" a="1"/>
  <c r="L870" i="1" a="1"/>
  <c r="L981" i="1" a="1"/>
  <c r="L857" i="1" a="1"/>
  <c r="L1565" i="1" a="1"/>
  <c r="L976" i="1" a="1"/>
  <c r="L913" i="1" a="1"/>
  <c r="L1578" i="1" a="1"/>
  <c r="L1280" i="1" a="1"/>
  <c r="L1587" i="1" a="1"/>
  <c r="L1413" i="1" a="1"/>
  <c r="L927" i="1" a="1"/>
  <c r="L389" i="1" a="1"/>
  <c r="L908" i="1" a="1"/>
  <c r="L1035" i="1" a="1"/>
  <c r="L782" i="1" a="1"/>
  <c r="L766" i="1" a="1"/>
  <c r="L449" i="1" a="1"/>
  <c r="L1649" i="1" a="1"/>
  <c r="L1320" i="1" a="1"/>
  <c r="L1531" i="1" a="1"/>
  <c r="L1818" i="1" a="1"/>
  <c r="L1734" i="1" a="1"/>
  <c r="L1495" i="1" a="1"/>
  <c r="L2122" i="1" a="1"/>
  <c r="L2797" i="1" a="1"/>
  <c r="L1913" i="1" a="1"/>
  <c r="L2710" i="1" a="1"/>
  <c r="L3203" i="1" a="1"/>
  <c r="L1435" i="1" a="1"/>
  <c r="L1862" i="1" a="1"/>
  <c r="L2292" i="1" a="1"/>
  <c r="L2561" i="1" a="1"/>
  <c r="L2080" i="1" a="1"/>
  <c r="L2410" i="1" a="1"/>
  <c r="L2386" i="1" a="1"/>
  <c r="L2178" i="1" a="1"/>
  <c r="L1668" i="1" a="1"/>
  <c r="L1722" i="1" a="1"/>
  <c r="L1354" i="1" a="1"/>
  <c r="L2212" i="1" a="1"/>
  <c r="L2031" i="1" a="1"/>
  <c r="L2517" i="1" a="1"/>
  <c r="L2105" i="1" a="1"/>
  <c r="L2437" i="1" a="1"/>
  <c r="L1533" i="1" a="1"/>
  <c r="L2312" i="1" a="1"/>
  <c r="L2156" i="1" a="1"/>
  <c r="L1826" i="1" a="1"/>
  <c r="L1676" i="1" a="1"/>
  <c r="L1375" i="1" a="1"/>
  <c r="L2042" i="1" a="1"/>
  <c r="L2777" i="1" a="1"/>
  <c r="L2197" i="1" a="1"/>
  <c r="L2001" i="1" a="1"/>
  <c r="L2498" i="1" a="1"/>
  <c r="L1206" i="1" a="1"/>
  <c r="L2920" i="1" a="1"/>
  <c r="L3273" i="1" a="1"/>
  <c r="L2467" i="1" a="1"/>
  <c r="L3377" i="1" a="1"/>
  <c r="L2818" i="1" a="1"/>
  <c r="L2189" i="1" a="1"/>
  <c r="L3071" i="1" a="1"/>
  <c r="L3243" i="1" a="1"/>
  <c r="L2588" i="1" a="1"/>
  <c r="L3314" i="1" a="1"/>
  <c r="L2045" i="1" a="1"/>
  <c r="L3467" i="1" a="1"/>
  <c r="L2120" i="1" a="1"/>
  <c r="L2471" i="1" a="1"/>
  <c r="L2456" i="1" a="1"/>
  <c r="L2383" i="1" a="1"/>
  <c r="L3207" i="1" a="1"/>
  <c r="L2774" i="1" a="1"/>
  <c r="L465" i="1" a="1"/>
  <c r="L824" i="1" a="1"/>
  <c r="L781" i="1" a="1"/>
  <c r="L877" i="1" a="1"/>
  <c r="L162" i="1" a="1"/>
  <c r="L552" i="1" a="1"/>
  <c r="L1242" i="1" a="1"/>
  <c r="L1394" i="1" a="1"/>
  <c r="L1717" i="1" a="1"/>
  <c r="L1475" i="1" a="1"/>
  <c r="L1411" i="1" a="1"/>
  <c r="L952" i="1" a="1"/>
  <c r="L1215" i="1" a="1"/>
  <c r="L1865" i="1" a="1"/>
  <c r="L1922" i="1" a="1"/>
  <c r="L628" i="1" a="1"/>
  <c r="L538" i="1" a="1"/>
  <c r="L706" i="1" a="1"/>
  <c r="L1181" i="1" a="1"/>
  <c r="L1153" i="1" a="1"/>
  <c r="L986" i="1" a="1"/>
  <c r="L1069" i="1" a="1"/>
  <c r="L1112" i="1" a="1"/>
  <c r="L1609" i="1" a="1"/>
  <c r="L1123" i="1" a="1"/>
  <c r="L1175" i="1" a="1"/>
  <c r="L1622" i="1" a="1"/>
  <c r="L1449" i="1" a="1"/>
  <c r="L1675" i="1" a="1"/>
  <c r="L1695" i="1" a="1"/>
  <c r="L906" i="1" a="1"/>
  <c r="L753" i="1" a="1"/>
  <c r="L636" i="1" a="1"/>
  <c r="L741" i="1" a="1"/>
  <c r="L1222" i="1" a="1"/>
  <c r="L1186" i="1" a="1"/>
  <c r="L1036" i="1" a="1"/>
  <c r="L1095" i="1" a="1"/>
  <c r="L1220" i="1" a="1"/>
  <c r="L1629" i="1" a="1"/>
  <c r="L1193" i="1" a="1"/>
  <c r="L1294" i="1" a="1"/>
  <c r="L1642" i="1" a="1"/>
  <c r="L1490" i="1" a="1"/>
  <c r="L1732" i="1" a="1"/>
  <c r="L1898" i="1" a="1"/>
  <c r="L528" i="1" a="1"/>
  <c r="L674" i="1" a="1"/>
  <c r="L1104" i="1" a="1"/>
  <c r="L1121" i="1" a="1"/>
  <c r="L922" i="1" a="1"/>
  <c r="L1037" i="1" a="1"/>
  <c r="L962" i="1" a="1"/>
  <c r="L577" i="1" a="1"/>
  <c r="L1512" i="1" a="1"/>
  <c r="L1444" i="1" a="1"/>
  <c r="L1982" i="1" a="1"/>
  <c r="L1077" i="1" a="1"/>
  <c r="L2073" i="1" a="1"/>
  <c r="L2413" i="1" a="1"/>
  <c r="L1376" i="1" a="1"/>
  <c r="L2262" i="1" a="1"/>
  <c r="L2092" i="1" a="1"/>
  <c r="L1365" i="1" a="1"/>
  <c r="L1628" i="1" a="1"/>
  <c r="L1991" i="1" a="1"/>
  <c r="L1842" i="1" a="1"/>
  <c r="L2689" i="1" a="1"/>
  <c r="L2261" i="1" a="1"/>
  <c r="L2538" i="1" a="1"/>
  <c r="L2974" i="1" a="1"/>
  <c r="L2547" i="1" a="1"/>
  <c r="L1803" i="1" a="1"/>
  <c r="L1883" i="1" a="1"/>
  <c r="L1691" i="1" a="1"/>
  <c r="L2333" i="1" a="1"/>
  <c r="L2256" i="1" a="1"/>
  <c r="L2581" i="1" a="1"/>
  <c r="L2837" i="1" a="1"/>
  <c r="L2192" i="1" a="1"/>
  <c r="L2494" i="1" a="1"/>
  <c r="L2915" i="1" a="1"/>
  <c r="L2459" i="1" a="1"/>
  <c r="L1339" i="1" a="1"/>
  <c r="L1967" i="1" a="1"/>
  <c r="L1679" i="1" a="1"/>
  <c r="L2665" i="1" a="1"/>
  <c r="L2219" i="1" a="1"/>
  <c r="L2514" i="1" a="1"/>
  <c r="L2754" i="1" a="1"/>
  <c r="L2125" i="1" a="1"/>
  <c r="L3039" i="1" a="1"/>
  <c r="L3120" i="1" a="1"/>
  <c r="L2540" i="1" a="1"/>
  <c r="L3279" i="1" a="1"/>
  <c r="L894" i="1" a="1"/>
  <c r="L3419" i="1" a="1"/>
  <c r="L1301" i="1" a="1"/>
  <c r="L2236" i="1" a="1"/>
  <c r="L1469" i="1" a="1"/>
  <c r="L3416" i="1" a="1"/>
  <c r="L3408" i="1" a="1"/>
  <c r="L2399" i="1" a="1"/>
  <c r="L1793" i="1" a="1"/>
  <c r="L3078" i="1" a="1"/>
  <c r="L2835" i="1" a="1"/>
  <c r="L3194" i="1" a="1"/>
  <c r="L2013" i="1" a="1"/>
  <c r="L2791" i="1" a="1"/>
  <c r="L3406" i="1" a="1"/>
  <c r="L2782" i="1" a="1"/>
  <c r="L2504" i="1" a="1"/>
  <c r="L2863" i="1" a="1"/>
  <c r="L1640" i="1" a="1"/>
  <c r="L3436" i="1" a="1"/>
  <c r="L3375" i="1" a="1"/>
  <c r="L2392" i="1" a="1"/>
  <c r="L2310" i="1" a="1"/>
  <c r="L2836" i="1" a="1"/>
  <c r="L2200" i="1" a="1"/>
  <c r="L3076" i="1" a="1"/>
  <c r="L3257" i="1" a="1"/>
  <c r="L2596" i="1" a="1"/>
  <c r="L3318" i="1" a="1"/>
  <c r="L2131" i="1" a="1"/>
  <c r="L3475" i="1" a="1"/>
  <c r="L2174" i="1" a="1"/>
  <c r="L2488" i="1" a="1"/>
  <c r="L514" i="1" a="1"/>
  <c r="L419" i="1" a="1"/>
  <c r="L392" i="1" a="1"/>
  <c r="L448" i="1" a="1"/>
  <c r="L660" i="1" a="1"/>
  <c r="L987" i="1" a="1"/>
  <c r="L565" i="1" a="1"/>
  <c r="L839" i="1" a="1"/>
  <c r="L840" i="1" a="1"/>
  <c r="L928" i="1" a="1"/>
  <c r="L626" i="1" a="1"/>
  <c r="L1415" i="1" a="1"/>
  <c r="L1507" i="1" a="1"/>
  <c r="L1029" i="1" a="1"/>
  <c r="L1327" i="1" a="1"/>
  <c r="L618" i="1" a="1"/>
  <c r="L487" i="1" a="1"/>
  <c r="L879" i="1" a="1"/>
  <c r="L796" i="1" a="1"/>
  <c r="L662" i="1" a="1"/>
  <c r="L686" i="1" a="1"/>
  <c r="L1273" i="1" a="1"/>
  <c r="L1223" i="1" a="1"/>
  <c r="L1187" i="1" a="1"/>
  <c r="L1356" i="1" a="1"/>
  <c r="L1689" i="1" a="1"/>
  <c r="L1389" i="1" a="1"/>
  <c r="L1374" i="1" a="1"/>
  <c r="L658" i="1" a="1"/>
  <c r="L905" i="1" a="1"/>
  <c r="L1828" i="1" a="1"/>
  <c r="L1894" i="1" a="1"/>
  <c r="L249" i="1" a="1"/>
  <c r="L919" i="1" a="1"/>
  <c r="L1108" i="1" a="1"/>
  <c r="L1109" i="1" a="1"/>
  <c r="L2622" i="1" a="1"/>
  <c r="L3086" i="1" a="1"/>
  <c r="L2715" i="1" a="1"/>
  <c r="L1715" i="1" a="1"/>
  <c r="L1477" i="1" a="1"/>
  <c r="L2106" i="1" a="1"/>
  <c r="L2793" i="1" a="1"/>
  <c r="L1377" i="1" a="1"/>
  <c r="L1300" i="1" a="1"/>
  <c r="L2907" i="1" a="1"/>
  <c r="L2332" i="1" a="1"/>
  <c r="L3124" i="1" a="1"/>
  <c r="L1687" i="1" a="1"/>
  <c r="L2668" i="1" a="1"/>
  <c r="L3354" i="1" a="1"/>
  <c r="L2408" i="1" a="1"/>
  <c r="L1672" i="1" a="1"/>
  <c r="L2464" i="1" a="1"/>
  <c r="L2762" i="1" a="1"/>
  <c r="L3074" i="1" a="1"/>
  <c r="L3010" i="1" a="1"/>
  <c r="L3423" i="1" a="1"/>
  <c r="L3263" i="1" a="1"/>
  <c r="L2172" i="1" a="1"/>
  <c r="L1560" i="1" a="1"/>
  <c r="L2938" i="1" a="1"/>
  <c r="L3297" i="1" a="1"/>
  <c r="L2369" i="1" a="1"/>
  <c r="L3013" i="1" a="1"/>
  <c r="L3470" i="1" a="1"/>
  <c r="L3181" i="1" a="1"/>
  <c r="L3004" i="1" a="1"/>
  <c r="L3258" i="1" a="1"/>
  <c r="L3073" i="1" a="1"/>
  <c r="L2591" i="1" a="1"/>
  <c r="L2432" i="1" a="1"/>
  <c r="L3277" i="1" a="1"/>
  <c r="L1607" i="1" a="1"/>
  <c r="L2976" i="1" a="1"/>
  <c r="L2771" i="1" a="1"/>
  <c r="L3162" i="1" a="1"/>
  <c r="L1917" i="1" a="1"/>
  <c r="L2724" i="1" a="1"/>
  <c r="L3382" i="1" a="1"/>
  <c r="L2647" i="1" a="1"/>
  <c r="L2173" i="1" a="1"/>
  <c r="L2703" i="1" a="1"/>
  <c r="L2951" i="1" a="1"/>
  <c r="L110" i="1" a="1"/>
  <c r="L483" i="1" a="1"/>
  <c r="L575" i="1" a="1"/>
  <c r="L377" i="1" a="1"/>
  <c r="L795" i="1" a="1"/>
  <c r="L469" i="1" a="1"/>
  <c r="L368" i="1" a="1"/>
  <c r="L967" i="1" a="1"/>
  <c r="L701" i="1" a="1"/>
  <c r="L1147" i="1" a="1"/>
  <c r="L1063" i="1" a="1"/>
  <c r="L1605" i="1" a="1"/>
  <c r="L1166" i="1" a="1"/>
  <c r="L1203" i="1" a="1"/>
  <c r="L1518" i="1" a="1"/>
  <c r="L1251" i="1" a="1"/>
  <c r="L579" i="1" a="1"/>
  <c r="L1007" i="1" a="1"/>
  <c r="L860" i="1" a="1"/>
  <c r="L853" i="1" a="1"/>
  <c r="L973" i="1" a="1"/>
  <c r="L652" i="1" a="1"/>
  <c r="L698" i="1" a="1"/>
  <c r="L1278" i="1" a="1"/>
  <c r="L1442" i="1" a="1"/>
  <c r="L1753" i="1" a="1"/>
  <c r="L1548" i="1" a="1"/>
  <c r="L1462" i="1" a="1"/>
  <c r="L1082" i="1" a="1"/>
  <c r="L1380" i="1" a="1"/>
  <c r="L1008" i="1" a="1"/>
  <c r="L1958" i="1" a="1"/>
  <c r="L659" i="1" a="1"/>
  <c r="L444" i="1" a="1"/>
  <c r="L373" i="1" a="1"/>
  <c r="L889" i="1" a="1"/>
  <c r="L1030" i="1" a="1"/>
  <c r="L774" i="1" a="1"/>
  <c r="L757" i="1" a="1"/>
  <c r="L321" i="1" a="1"/>
  <c r="L1479" i="1" a="1"/>
  <c r="L542" i="1" a="1"/>
  <c r="L606" i="1" a="1"/>
  <c r="L1503" i="1" a="1"/>
  <c r="L1135" i="1" a="1"/>
  <c r="L1434" i="1" a="1"/>
  <c r="L1118" i="1" a="1"/>
  <c r="L1978" i="1" a="1"/>
  <c r="L266" i="1" a="1"/>
  <c r="L634" i="1" a="1"/>
  <c r="L805" i="1" a="1"/>
  <c r="L464" i="1" a="1"/>
  <c r="L1254" i="1" a="1"/>
  <c r="L1520" i="1" a="1"/>
  <c r="L702" i="1" a="1"/>
  <c r="L794" i="1" a="1"/>
  <c r="L1544" i="1" a="1"/>
  <c r="L1194" i="1" a="1"/>
  <c r="L1509" i="1" a="1"/>
  <c r="L1234" i="1" a="1"/>
  <c r="L1371" i="1" a="1"/>
  <c r="L1856" i="1" a="1"/>
  <c r="L1923" i="1" a="1"/>
  <c r="L1831" i="1" a="1"/>
  <c r="L1021" i="1" a="1"/>
  <c r="L2621" i="1" a="1"/>
  <c r="L2075" i="1" a="1"/>
  <c r="L2406" i="1" a="1"/>
  <c r="L2349" i="1" a="1"/>
  <c r="L2146" i="1" a="1"/>
  <c r="L3413" i="1" a="1"/>
  <c r="L1703" i="1" a="1"/>
  <c r="L2207" i="1" a="1"/>
  <c r="L2513" i="1" a="1"/>
  <c r="L1832" i="1" a="1"/>
  <c r="L1066" i="1" a="1"/>
  <c r="L2335" i="1" a="1"/>
  <c r="L2618" i="1" a="1"/>
  <c r="L2188" i="1" a="1"/>
  <c r="L3080" i="1" a="1"/>
  <c r="L1900" i="1" a="1"/>
  <c r="L2707" i="1" a="1"/>
  <c r="L3369" i="1" a="1"/>
  <c r="L1824" i="1" a="1"/>
  <c r="L1767" i="1" a="1"/>
  <c r="L2288" i="1" a="1"/>
  <c r="L2853" i="1" a="1"/>
  <c r="L1313" i="1" a="1"/>
  <c r="L2638" i="1" a="1"/>
  <c r="L3107" i="1" a="1"/>
  <c r="L2751" i="1" a="1"/>
  <c r="L1851" i="1" a="1"/>
  <c r="L1919" i="1" a="1"/>
  <c r="L1820" i="1" a="1"/>
  <c r="L918" i="1" a="1"/>
  <c r="L2329" i="1" a="1"/>
  <c r="L2617" i="1" a="1"/>
  <c r="L2873" i="1" a="1"/>
  <c r="L2371" i="1" a="1"/>
  <c r="L2594" i="1" a="1"/>
  <c r="L3048" i="1" a="1"/>
  <c r="L2659" i="1" a="1"/>
  <c r="L3345" i="1" a="1"/>
  <c r="L2183" i="1" a="1"/>
  <c r="L2943" i="1" a="1"/>
  <c r="L2396" i="1" a="1"/>
  <c r="L3474" i="1" a="1"/>
  <c r="L3047" i="1" a="1"/>
  <c r="L3095" i="1" a="1"/>
  <c r="L2479" i="1" a="1"/>
  <c r="L581" i="1" a="1"/>
  <c r="L999" i="1" a="1"/>
  <c r="L679" i="1" a="1"/>
  <c r="L348" i="1" a="1"/>
  <c r="L1084" i="1" a="1"/>
  <c r="L1292" i="1" a="1"/>
  <c r="L1247" i="1" a="1"/>
  <c r="L1654" i="1" a="1"/>
  <c r="L1764" i="1" a="1"/>
  <c r="L1307" i="1" a="1"/>
  <c r="L1152" i="1" a="1"/>
  <c r="L954" i="1" a="1"/>
  <c r="L1026" i="1" a="1"/>
  <c r="L1091" i="1" a="1"/>
  <c r="L1610" i="1" a="1"/>
  <c r="L1651" i="1" a="1"/>
  <c r="L818" i="1" a="1"/>
  <c r="L694" i="1" a="1"/>
  <c r="L1552" i="1" a="1"/>
  <c r="L912" i="1" a="1"/>
  <c r="L858" i="1" a="1"/>
  <c r="L1566" i="1" a="1"/>
  <c r="L1256" i="1" a="1"/>
  <c r="L1563" i="1" a="1"/>
  <c r="L1317" i="1" a="1"/>
  <c r="L2014" i="1" a="1"/>
  <c r="L561" i="1" a="1"/>
  <c r="L2029" i="1" a="1"/>
  <c r="L2366" i="1" a="1"/>
  <c r="L866" i="1" a="1"/>
  <c r="L1977" i="1" a="1"/>
  <c r="L691" i="1" a="1"/>
  <c r="L3250" i="1" a="1"/>
  <c r="L1076" i="1" a="1"/>
  <c r="L984" i="1" a="1"/>
  <c r="L1959" i="1" a="1"/>
  <c r="L2057" i="1" a="1"/>
  <c r="L1514" i="1" a="1"/>
  <c r="L2401" i="1" a="1"/>
  <c r="L2657" i="1" a="1"/>
  <c r="L1312" i="1" a="1"/>
  <c r="L1889" i="1" a="1"/>
  <c r="L2698" i="1" a="1"/>
  <c r="L3187" i="1" a="1"/>
  <c r="L2234" i="1" a="1"/>
  <c r="L2070" i="1" a="1"/>
  <c r="L2526" i="1" a="1"/>
  <c r="L1623" i="1" a="1"/>
  <c r="L2958" i="1" a="1"/>
  <c r="L3072" i="1" a="1"/>
  <c r="L2523" i="1" a="1"/>
  <c r="L3255" i="1" a="1"/>
  <c r="L1644" i="1" a="1"/>
  <c r="L1290" i="1" a="1"/>
  <c r="L2008" i="1" a="1"/>
  <c r="L2761" i="1" a="1"/>
  <c r="L920" i="1" a="1"/>
  <c r="L424" i="1" a="1"/>
  <c r="L2987" i="1" a="1"/>
  <c r="L3167" i="1" a="1"/>
  <c r="L2732" i="1" a="1"/>
  <c r="L2664" i="1" a="1"/>
  <c r="L2720" i="1" a="1"/>
  <c r="L3324" i="1" a="1"/>
  <c r="L1940" i="1" a="1"/>
  <c r="L1624" i="1" a="1"/>
  <c r="L2902" i="1" a="1"/>
  <c r="L3045" i="1" a="1"/>
  <c r="L3262" i="1" a="1"/>
  <c r="L3276" i="1" a="1"/>
  <c r="L3312" i="1" a="1"/>
  <c r="L3239" i="1" a="1"/>
  <c r="L1838" i="1" a="1"/>
  <c r="L3471" i="1" a="1"/>
  <c r="L1995" i="1" a="1"/>
  <c r="L1872" i="1" a="1"/>
  <c r="L2693" i="1" a="1"/>
  <c r="L734" i="1" a="1"/>
  <c r="L2606" i="1" a="1"/>
  <c r="L3064" i="1" a="1"/>
  <c r="L2683" i="1" a="1"/>
  <c r="L1728" i="1" a="1"/>
  <c r="L2217" i="1" a="1"/>
  <c r="L2521" i="1" a="1"/>
  <c r="L1853" i="1" a="1"/>
  <c r="L1151" i="1" a="1"/>
  <c r="L2353" i="1" a="1"/>
  <c r="L2626" i="1" a="1"/>
  <c r="L2209" i="1" a="1"/>
  <c r="L3091" i="1" a="1"/>
  <c r="L1932" i="1" a="1"/>
  <c r="L2723" i="1" a="1"/>
  <c r="L2097" i="1" a="1"/>
  <c r="L945" i="1" a="1"/>
  <c r="L2900" i="1" a="1"/>
  <c r="L3242" i="1" a="1"/>
  <c r="L2278" i="1" a="1"/>
  <c r="L2901" i="1" a="1"/>
  <c r="L3442" i="1" a="1"/>
  <c r="L3026" i="1" a="1"/>
  <c r="L2807" i="1" a="1"/>
  <c r="L3106" i="1" a="1"/>
  <c r="L2624" i="1" a="1"/>
  <c r="L2227" i="1" a="1"/>
  <c r="L1837" i="1" a="1"/>
  <c r="L2930" i="1" a="1"/>
  <c r="L2967" i="1" a="1"/>
  <c r="L209" i="1" a="1"/>
  <c r="L680" i="1" a="1"/>
  <c r="L1120" i="1" a="1"/>
  <c r="L1126" i="1" a="1"/>
  <c r="L929" i="1" a="1"/>
  <c r="L1042" i="1" a="1"/>
  <c r="L988" i="1" a="1"/>
  <c r="L1589" i="1" a="1"/>
  <c r="L1070" i="1" a="1"/>
  <c r="L1060" i="1" a="1"/>
  <c r="L1602" i="1" a="1"/>
  <c r="L1369" i="1" a="1"/>
  <c r="L1635" i="1" a="1"/>
  <c r="L1537" i="1" a="1"/>
  <c r="L400" i="1" a="1"/>
  <c r="L975" i="1" a="1"/>
  <c r="L844" i="1" a="1"/>
  <c r="L821" i="1" a="1"/>
  <c r="L934" i="1" a="1"/>
  <c r="L513" i="1" a="1"/>
  <c r="L640" i="1" a="1"/>
  <c r="L1262" i="1" a="1"/>
  <c r="L1420" i="1" a="1"/>
  <c r="L1737" i="1" a="1"/>
  <c r="L1516" i="1" a="1"/>
  <c r="L1438" i="1" a="1"/>
  <c r="L1039" i="1" a="1"/>
  <c r="L1338" i="1" a="1"/>
  <c r="L713" i="1" a="1"/>
  <c r="L1942" i="1" a="1"/>
  <c r="L595" i="1" a="1"/>
  <c r="L1015" i="1" a="1"/>
  <c r="L864" i="1" a="1"/>
  <c r="L861" i="1" a="1"/>
  <c r="L992" i="1" a="1"/>
  <c r="L687" i="1" a="1"/>
  <c r="L709" i="1" a="1"/>
  <c r="L1282" i="1" a="1"/>
  <c r="L1447" i="1" a="1"/>
  <c r="L1757" i="1" a="1"/>
  <c r="L1553" i="1" a="1"/>
  <c r="L1471" i="1" a="1"/>
  <c r="L1093" i="1" a="1"/>
  <c r="L1391" i="1" a="1"/>
  <c r="L1033" i="1" a="1"/>
  <c r="L799" i="1" a="1"/>
  <c r="L820" i="1" a="1"/>
  <c r="L773" i="1" a="1"/>
  <c r="L765" i="1" a="1"/>
  <c r="L98" i="1" a="1"/>
  <c r="L534" i="1" a="1"/>
  <c r="L1233" i="1" a="1"/>
  <c r="L1488" i="1" a="1"/>
  <c r="L703" i="1" a="1"/>
  <c r="L1146" i="1" a="1"/>
  <c r="L1139" i="1" a="1"/>
  <c r="L1382" i="1" a="1"/>
  <c r="L1971" i="1" a="1"/>
  <c r="L1704" i="1" a="1"/>
  <c r="L2669" i="1" a="1"/>
  <c r="L2348" i="1" a="1"/>
  <c r="L2582" i="1" a="1"/>
  <c r="L3032" i="1" a="1"/>
  <c r="L2635" i="1" a="1"/>
  <c r="L1217" i="1" a="1"/>
  <c r="L2100" i="1" a="1"/>
  <c r="L2433" i="1" a="1"/>
  <c r="L1496" i="1" a="1"/>
  <c r="L2118" i="1" a="1"/>
  <c r="L1710" i="1" a="1"/>
  <c r="L3136" i="1" a="1"/>
  <c r="L1510" i="1" a="1"/>
  <c r="L1297" i="1" a="1"/>
  <c r="L2011" i="1" a="1"/>
  <c r="L2127" i="1" a="1"/>
  <c r="L1904" i="1" a="1"/>
  <c r="L2453" i="1" a="1"/>
  <c r="L2709" i="1" a="1"/>
  <c r="L1600" i="1" a="1"/>
  <c r="L1993" i="1" a="1"/>
  <c r="L1128" i="1" a="1"/>
  <c r="L3268" i="1" a="1"/>
  <c r="L3145" i="1" a="1"/>
  <c r="L1055" i="1" a="1"/>
  <c r="L2068" i="1" a="1"/>
  <c r="L2409" i="1" a="1"/>
  <c r="L1355" i="1" a="1"/>
  <c r="L2032" i="1" a="1"/>
  <c r="L1857" i="1" a="1"/>
  <c r="L3147" i="1" a="1"/>
  <c r="L2867" i="1" a="1"/>
  <c r="L3210" i="1" a="1"/>
  <c r="L2126" i="1" a="1"/>
  <c r="L2823" i="1" a="1"/>
  <c r="L2773" i="1" a="1"/>
  <c r="L1843" i="1" a="1"/>
  <c r="L2344" i="1" a="1"/>
  <c r="L2199" i="1" a="1"/>
  <c r="L1916" i="1" a="1"/>
  <c r="L3373" i="1" a="1"/>
  <c r="L1766" i="1" a="1"/>
  <c r="L2242" i="1" a="1"/>
  <c r="L2537" i="1" a="1"/>
  <c r="L2048" i="1" a="1"/>
  <c r="L2385" i="1" a="1"/>
  <c r="L2204" i="1" a="1"/>
  <c r="L1656" i="1" a="1"/>
  <c r="L2954" i="1" a="1"/>
  <c r="L2923" i="1" a="1"/>
  <c r="L2412" i="1" a="1"/>
  <c r="L3061" i="1" a="1"/>
  <c r="L3482" i="1" a="1"/>
  <c r="L3271" i="1" a="1"/>
  <c r="L3105" i="1" a="1"/>
  <c r="L893" i="1" a="1"/>
  <c r="L3164" i="1" a="1"/>
  <c r="L2755" i="1" a="1"/>
  <c r="L2607" i="1" a="1"/>
  <c r="L3367" i="1" a="1"/>
  <c r="L3497" i="1" a="1"/>
  <c r="L2886" i="1" a="1"/>
  <c r="L2277" i="1" a="1"/>
  <c r="L3108" i="1" a="1"/>
  <c r="L1409" i="1" a="1"/>
  <c r="L2644" i="1" a="1"/>
  <c r="L3342" i="1" a="1"/>
  <c r="L2337" i="1" a="1"/>
  <c r="L1244" i="1" a="1"/>
  <c r="L2382" i="1" a="1"/>
  <c r="L2680" i="1" a="1"/>
  <c r="L2945" i="1" a="1"/>
  <c r="L2864" i="1" a="1"/>
  <c r="L3380" i="1" a="1"/>
  <c r="L3180" i="1" a="1"/>
  <c r="L2299" i="1" a="1"/>
  <c r="L2028" i="1" a="1"/>
  <c r="L2991" i="1" a="1"/>
  <c r="L3008" i="1" a="1"/>
  <c r="L2468" i="1" a="1"/>
  <c r="L3173" i="1" a="1"/>
  <c r="L3094" i="1" a="1"/>
  <c r="L3347" i="1" a="1"/>
  <c r="L3285" i="1" a="1"/>
  <c r="L1751" i="1" a="1"/>
  <c r="L450" i="1" a="1"/>
  <c r="L355" i="1" a="1"/>
  <c r="L504" i="1" a="1"/>
  <c r="L122" i="1" a="1"/>
  <c r="L305" i="1" a="1"/>
  <c r="L923" i="1" a="1"/>
  <c r="L114" i="1" a="1"/>
  <c r="L614" i="1" a="1"/>
  <c r="L508" i="1" a="1"/>
  <c r="L1172" i="1" a="1"/>
  <c r="L980" i="1" a="1"/>
  <c r="L1080" i="1" a="1"/>
  <c r="L1113" i="1" a="1"/>
  <c r="L1618" i="1" a="1"/>
  <c r="L669" i="1" a="1"/>
  <c r="L1801" i="1" a="1"/>
  <c r="L1874" i="1" a="1"/>
  <c r="L735" i="1" a="1"/>
  <c r="L629" i="1" a="1"/>
  <c r="L732" i="1" a="1"/>
  <c r="L1213" i="1" a="1"/>
  <c r="L1177" i="1" a="1"/>
  <c r="L1025" i="1" a="1"/>
  <c r="L1090" i="1" a="1"/>
  <c r="L1183" i="1" a="1"/>
  <c r="L1625" i="1" a="1"/>
  <c r="L1184" i="1" a="1"/>
  <c r="L1239" i="1" a="1"/>
  <c r="L1638" i="1" a="1"/>
  <c r="L1481" i="1" a="1"/>
  <c r="L1726" i="1" a="1"/>
  <c r="L1746" i="1" a="1"/>
  <c r="L1140" i="1" a="1"/>
  <c r="L791" i="1" a="1"/>
  <c r="L711" i="1" a="1"/>
  <c r="L33" i="1" a="1"/>
  <c r="L380" i="1" a="1"/>
  <c r="L1218" i="1" a="1"/>
  <c r="L1100" i="1" a="1"/>
  <c r="L1117" i="1" a="1"/>
  <c r="L1298" i="1" a="1"/>
  <c r="L1645" i="1" a="1"/>
  <c r="L1255" i="1" a="1"/>
  <c r="L1315" i="1" a="1"/>
  <c r="L1658" i="1" a="1"/>
  <c r="L1522" i="1" a="1"/>
  <c r="L1769" i="1" a="1"/>
  <c r="L1802" i="1" a="1"/>
  <c r="L1318" i="1" a="1"/>
  <c r="L831" i="1" a="1"/>
  <c r="L836" i="1" a="1"/>
  <c r="L909" i="1" a="1"/>
  <c r="L601" i="1" a="1"/>
  <c r="L1324" i="1" a="1"/>
  <c r="L1665" i="1" a="1"/>
  <c r="L1293" i="1" a="1"/>
  <c r="L1342" i="1" a="1"/>
  <c r="L397" i="1" a="1"/>
  <c r="L129" i="1" a="1"/>
  <c r="L1796" i="1" a="1"/>
  <c r="L1870" i="1" a="1"/>
  <c r="L1620" i="1" a="1"/>
  <c r="L1538" i="1" a="1"/>
  <c r="L1020" i="1" a="1"/>
  <c r="L2180" i="1" a="1"/>
  <c r="L2334" i="1" a="1"/>
  <c r="L258" i="1" a="1"/>
  <c r="L816" i="1" a="1"/>
  <c r="L746" i="1" a="1"/>
  <c r="L756" i="1" a="1"/>
  <c r="L34" i="1" a="1"/>
  <c r="L413" i="1" a="1"/>
  <c r="L1224" i="1" a="1"/>
  <c r="L1383" i="1" a="1"/>
  <c r="L1709" i="1" a="1"/>
  <c r="L1457" i="1" a="1"/>
  <c r="L1400" i="1" a="1"/>
  <c r="L901" i="1" a="1"/>
  <c r="L1160" i="1" a="1"/>
  <c r="L1855" i="1" a="1"/>
  <c r="L1914" i="1" a="1"/>
  <c r="L562" i="1" a="1"/>
  <c r="L959" i="1" a="1"/>
  <c r="L696" i="1" a="1"/>
  <c r="L1142" i="1" a="1"/>
  <c r="L1058" i="1" a="1"/>
  <c r="L1410" i="1" a="1"/>
  <c r="L1729" i="1" a="1"/>
  <c r="L1498" i="1" a="1"/>
  <c r="L1427" i="1" a="1"/>
  <c r="L1016" i="1" a="1"/>
  <c r="L1316" i="1" a="1"/>
  <c r="L560" i="1" a="1"/>
  <c r="L1998" i="1" a="1"/>
  <c r="L1771" i="1" a="1"/>
  <c r="L1846" i="1" a="1"/>
  <c r="L1599" i="1" a="1"/>
  <c r="L2283" i="1" a="1"/>
  <c r="L2493" i="1" a="1"/>
  <c r="L1779" i="1" a="1"/>
  <c r="L2102" i="1" a="1"/>
  <c r="L1684" i="1" a="1"/>
  <c r="L3115" i="1" a="1"/>
  <c r="L3269" i="1" a="1"/>
  <c r="L672" i="1" a="1"/>
  <c r="L2036" i="1" a="1"/>
  <c r="L2375" i="1" a="1"/>
  <c r="L970" i="1" a="1"/>
  <c r="L2293" i="1" a="1"/>
  <c r="L2182" i="1" a="1"/>
  <c r="L2554" i="1" a="1"/>
  <c r="L1847" i="1" a="1"/>
  <c r="L2995" i="1" a="1"/>
  <c r="L3227" i="1" a="1"/>
  <c r="L2579" i="1" a="1"/>
  <c r="L3305" i="1" a="1"/>
  <c r="L1572" i="1" a="1"/>
  <c r="L257" i="1" a="1"/>
  <c r="L1936" i="1" a="1"/>
  <c r="L2725" i="1" a="1"/>
  <c r="L2213" i="1" a="1"/>
  <c r="L2510" i="1" a="1"/>
  <c r="L2936" i="1" a="1"/>
  <c r="L2491" i="1" a="1"/>
  <c r="L1765" i="1" a="1"/>
  <c r="L1830" i="1" a="1"/>
  <c r="L1583" i="1" a="1"/>
  <c r="L2274" i="1" a="1"/>
  <c r="L2170" i="1" a="1"/>
  <c r="L2553" i="1" a="1"/>
  <c r="L2809" i="1" a="1"/>
  <c r="L2155" i="1" a="1"/>
  <c r="L2466" i="1" a="1"/>
  <c r="L2878" i="1" a="1"/>
  <c r="L2403" i="1" a="1"/>
  <c r="L3264" i="1" a="1"/>
  <c r="L3501" i="1" a="1"/>
  <c r="L2314" i="1" a="1"/>
  <c r="L1451" i="1" a="1"/>
  <c r="L3346" i="1" a="1"/>
  <c r="L1387" i="1" a="1"/>
  <c r="L2727" i="1" a="1"/>
  <c r="L2897" i="1" a="1"/>
  <c r="L3202" i="1" a="1"/>
  <c r="L871" i="1" a="1"/>
  <c r="L572" i="1" a="1"/>
  <c r="L882" i="1" a="1"/>
  <c r="L738" i="1" a="1"/>
  <c r="L193" i="1" a="1"/>
  <c r="L501" i="1" a="1"/>
  <c r="L1494" i="1" a="1"/>
  <c r="L1423" i="1" a="1"/>
  <c r="L1974" i="1" a="1"/>
  <c r="L797" i="1" a="1"/>
  <c r="L290" i="1" a="1"/>
  <c r="L1250" i="1" a="1"/>
  <c r="L1725" i="1" a="1"/>
  <c r="L1422" i="1" a="1"/>
  <c r="L1306" i="1" a="1"/>
  <c r="L1930" i="1" a="1"/>
  <c r="L991" i="1" a="1"/>
  <c r="L1431" i="1" a="1"/>
  <c r="L1745" i="1" a="1"/>
  <c r="L1530" i="1" a="1"/>
  <c r="L1448" i="1" a="1"/>
  <c r="L1061" i="1" a="1"/>
  <c r="L1359" i="1" a="1"/>
  <c r="L957" i="1" a="1"/>
  <c r="L1950" i="1" a="1"/>
  <c r="L1652" i="1" a="1"/>
  <c r="L1311" i="1" a="1"/>
  <c r="L2016" i="1" a="1"/>
  <c r="L2765" i="1" a="1"/>
  <c r="L1022" i="1" a="1"/>
  <c r="L2614" i="1" a="1"/>
  <c r="L3075" i="1" a="1"/>
  <c r="L2699" i="1" a="1"/>
  <c r="L1819" i="1" a="1"/>
  <c r="L1895" i="1" a="1"/>
  <c r="L1755" i="1" a="1"/>
  <c r="L2356" i="1" a="1"/>
  <c r="L2279" i="1" a="1"/>
  <c r="L2593" i="1" a="1"/>
  <c r="L2849" i="1" a="1"/>
  <c r="L2325" i="1" a="1"/>
  <c r="L2570" i="1" a="1"/>
  <c r="L3016" i="1" a="1"/>
  <c r="L2611" i="1" a="1"/>
  <c r="L2149" i="1" a="1"/>
  <c r="L1929" i="1" a="1"/>
  <c r="L2462" i="1" a="1"/>
  <c r="L2718" i="1" a="1"/>
  <c r="L2866" i="1" a="1"/>
  <c r="L3214" i="1" a="1"/>
  <c r="L2395" i="1" a="1"/>
  <c r="L3017" i="1" a="1"/>
  <c r="L3469" i="1" a="1"/>
  <c r="L1935" i="1" a="1"/>
  <c r="L1150" i="1" a="1"/>
  <c r="L2633" i="1" a="1"/>
  <c r="L2176" i="1" a="1"/>
  <c r="L2546" i="1" a="1"/>
  <c r="L2308" i="1" a="1"/>
  <c r="L2996" i="1" a="1"/>
  <c r="L2476" i="1" a="1"/>
  <c r="L3110" i="1" a="1"/>
  <c r="L3294" i="1" a="1"/>
  <c r="L3392" i="1" a="1"/>
  <c r="L3084" i="1" a="1"/>
  <c r="L2584" i="1" a="1"/>
  <c r="L2431" i="1" a="1"/>
  <c r="L3228" i="1" a="1"/>
  <c r="L2839" i="1" a="1"/>
  <c r="L3418" i="1" a="1"/>
  <c r="L2870" i="1" a="1"/>
  <c r="L2615" i="1" a="1"/>
  <c r="L2935" i="1" a="1"/>
  <c r="L2046" i="1" a="1"/>
  <c r="L3492" i="1" a="1"/>
  <c r="L3428" i="1" a="1"/>
  <c r="L2567" i="1" a="1"/>
  <c r="L2623" i="1" a="1"/>
  <c r="L2381" i="1" a="1"/>
  <c r="L2093" i="1" a="1"/>
  <c r="L3023" i="1" a="1"/>
  <c r="L3067" i="1" a="1"/>
  <c r="L2516" i="1" a="1"/>
  <c r="L3256" i="1" a="1"/>
  <c r="L3216" i="1" a="1"/>
  <c r="L3395" i="1" a="1"/>
  <c r="L3335" i="1" a="1"/>
  <c r="L2098" i="1" a="1"/>
  <c r="L2503" i="1" a="1"/>
  <c r="L3286" i="1" a="1"/>
  <c r="L3304" i="1" a="1"/>
  <c r="L2141" i="1" a="1"/>
  <c r="L2108" i="1" a="1"/>
  <c r="L1044" i="1" a="1"/>
  <c r="L2906" i="1" a="1"/>
  <c r="L3251" i="1" a="1"/>
  <c r="L2287" i="1" a="1"/>
  <c r="L2917" i="1" a="1"/>
  <c r="L3446" i="1" a="1"/>
  <c r="L3041" i="1" a="1"/>
  <c r="L2826" i="1" a="1"/>
  <c r="L3121" i="1" a="1"/>
  <c r="L386" i="1" a="1"/>
  <c r="L238" i="1" a="1"/>
  <c r="L169" i="1" a="1"/>
  <c r="L639" i="1" a="1"/>
  <c r="L568" i="1" a="1"/>
  <c r="L859" i="1" a="1"/>
  <c r="L689" i="1" a="1"/>
  <c r="L330" i="1" a="1"/>
  <c r="L648" i="1" a="1"/>
  <c r="L813" i="1" a="1"/>
  <c r="L489" i="1" a="1"/>
  <c r="L1258" i="1" a="1"/>
  <c r="L1733" i="1" a="1"/>
  <c r="L1432" i="1" a="1"/>
  <c r="L1433" i="1" a="1"/>
  <c r="L1667" i="1" a="1"/>
  <c r="L1688" i="1" a="1"/>
  <c r="L385" i="1" a="1"/>
  <c r="L716" i="1" a="1"/>
  <c r="L610" i="1" a="1"/>
  <c r="L1010" i="1" a="1"/>
  <c r="L1089" i="1" a="1"/>
  <c r="L862" i="1" a="1"/>
  <c r="L974" i="1" a="1"/>
  <c r="L841" i="1" a="1"/>
  <c r="L1561" i="1" a="1"/>
  <c r="L950" i="1" a="1"/>
  <c r="L900" i="1" a="1"/>
  <c r="L1574" i="1" a="1"/>
  <c r="L1272" i="1" a="1"/>
  <c r="L1579" i="1" a="1"/>
  <c r="L1381" i="1" a="1"/>
  <c r="L2022" i="1" a="1"/>
  <c r="L588" i="1" a="1"/>
  <c r="L82" i="1" a="1"/>
  <c r="L656" i="1" a="1"/>
  <c r="L1088" i="1" a="1"/>
  <c r="L1115" i="1" a="1"/>
  <c r="L916" i="1" a="1"/>
  <c r="L1031" i="1" a="1"/>
  <c r="L937" i="1" a="1"/>
  <c r="L1581" i="1" a="1"/>
  <c r="L1049" i="1" a="1"/>
  <c r="L1002" i="1" a="1"/>
  <c r="L1594" i="1" a="1"/>
  <c r="L1337" i="1" a="1"/>
  <c r="L1619" i="1" a="1"/>
  <c r="L1491" i="1" a="1"/>
  <c r="L620" i="1" a="1"/>
  <c r="L564" i="1" a="1"/>
  <c r="L457" i="1" a="1"/>
  <c r="L1167" i="1" a="1"/>
  <c r="L961" i="1" a="1"/>
  <c r="L1048" i="1" a="1"/>
  <c r="L1601" i="1" a="1"/>
  <c r="L1102" i="1" a="1"/>
  <c r="L1156" i="1" a="1"/>
  <c r="L1614" i="1" a="1"/>
  <c r="L1417" i="1" a="1"/>
  <c r="L1659" i="1" a="1"/>
  <c r="L1682" i="1" a="1"/>
  <c r="L1424" i="1" a="1"/>
  <c r="L1162" i="1" a="1"/>
  <c r="L1987" i="1" a="1"/>
  <c r="L2095" i="1" a="1"/>
  <c r="L1984" i="1" a="1"/>
  <c r="L2749" i="1" a="1"/>
  <c r="L2252" i="1" a="1"/>
  <c r="L2534" i="1" a="1"/>
  <c r="L2968" i="1" a="1"/>
  <c r="L2539" i="1" a="1"/>
  <c r="L2018" i="1" a="1"/>
  <c r="L1943" i="1" a="1"/>
  <c r="L1259" i="1" a="1"/>
  <c r="L2641" i="1" a="1"/>
  <c r="L2101" i="1" a="1"/>
  <c r="L1822" i="1" a="1"/>
  <c r="L2426" i="1" a="1"/>
  <c r="L2682" i="1" a="1"/>
  <c r="L2770" i="1" a="1"/>
  <c r="L3166" i="1" a="1"/>
  <c r="L2249" i="1" a="1"/>
  <c r="L2872" i="1" a="1"/>
  <c r="L3433" i="1" a="1"/>
  <c r="L1425" i="1" a="1"/>
  <c r="L2148" i="1" a="1"/>
  <c r="L2469" i="1" a="1"/>
  <c r="L1664" i="1" a="1"/>
  <c r="L2025" i="1" a="1"/>
  <c r="L1407" i="1" a="1"/>
  <c r="L3300" i="1" a="1"/>
  <c r="L1414" i="1" a="1"/>
  <c r="L1141" i="1" a="1"/>
  <c r="L1983" i="1" a="1"/>
  <c r="L2089" i="1" a="1"/>
  <c r="L1778" i="1" a="1"/>
  <c r="L2425" i="1" a="1"/>
  <c r="L2681" i="1" a="1"/>
  <c r="L1440" i="1" a="1"/>
  <c r="L1937" i="1" a="1"/>
  <c r="L2722" i="1" a="1"/>
  <c r="L3219" i="1" a="1"/>
  <c r="L2808" i="1" a="1"/>
  <c r="L3409" i="1" a="1"/>
  <c r="L2891" i="1" a="1"/>
  <c r="L3114" i="1" a="1"/>
  <c r="L2652" i="1" a="1"/>
  <c r="L2364" i="1" a="1"/>
  <c r="L2400" i="1" a="1"/>
  <c r="L2972" i="1" a="1"/>
  <c r="L3391" i="1" a="1"/>
  <c r="L710" i="1" a="1"/>
  <c r="L705" i="1" a="1"/>
  <c r="L925" i="1" a="1"/>
  <c r="L185" i="1" a="1"/>
  <c r="L357" i="1" a="1"/>
  <c r="L1024" i="1" a="1"/>
  <c r="L748" i="1" a="1"/>
  <c r="L1470" i="1" a="1"/>
  <c r="L322" i="1" a="1"/>
  <c r="L1125" i="1" a="1"/>
  <c r="L1097" i="1" a="1"/>
  <c r="L832" i="1" a="1"/>
  <c r="L902" i="1" a="1"/>
  <c r="L586" i="1" a="1"/>
  <c r="L1404" i="1" a="1"/>
  <c r="L1489" i="1" a="1"/>
  <c r="L990" i="1" a="1"/>
  <c r="L476" i="1" a="1"/>
  <c r="L683" i="1" a="1"/>
  <c r="L597" i="1" a="1"/>
  <c r="L1617" i="1" a="1"/>
  <c r="L1145" i="1" a="1"/>
  <c r="L1221" i="1" a="1"/>
  <c r="L1630" i="1" a="1"/>
  <c r="L1467" i="1" a="1"/>
  <c r="L1700" i="1" a="1"/>
  <c r="L1720" i="1" a="1"/>
  <c r="L1009" i="1" a="1"/>
  <c r="L1696" i="1" a="1"/>
  <c r="L2201" i="1" a="1"/>
  <c r="L2509" i="1" a="1"/>
  <c r="L1821" i="1" a="1"/>
  <c r="L2326" i="1" a="1"/>
  <c r="L2177" i="1" a="1"/>
  <c r="L1884" i="1" a="1"/>
  <c r="L1393" i="1" a="1"/>
  <c r="L2023" i="1" a="1"/>
  <c r="L2143" i="1" a="1"/>
  <c r="L1928" i="1" a="1"/>
  <c r="L2465" i="1" a="1"/>
  <c r="L2721" i="1" a="1"/>
  <c r="L1648" i="1" a="1"/>
  <c r="L2239" i="1" a="1"/>
  <c r="L2060" i="1" a="1"/>
  <c r="L1043" i="1" a="1"/>
  <c r="L2362" i="1" a="1"/>
  <c r="L2280" i="1" a="1"/>
  <c r="L2590" i="1" a="1"/>
  <c r="L2113" i="1" a="1"/>
  <c r="L3043" i="1" a="1"/>
  <c r="L1523" i="1" a="1"/>
  <c r="L2651" i="1" a="1"/>
  <c r="L3341" i="1" a="1"/>
  <c r="L477" i="1" a="1"/>
  <c r="L1863" i="1" a="1"/>
  <c r="L2361" i="1" a="1"/>
  <c r="L802" i="1" a="1"/>
  <c r="L1969" i="1" a="1"/>
  <c r="L1804" i="1" a="1"/>
  <c r="L2040" i="1" a="1"/>
  <c r="L3019" i="1" a="1"/>
  <c r="L3189" i="1" a="1"/>
  <c r="L3355" i="1" a="1"/>
  <c r="L1816" i="1" a="1"/>
  <c r="L3100" i="1" a="1"/>
  <c r="L2495" i="1" a="1"/>
  <c r="L2671" i="1" a="1"/>
  <c r="L2273" i="1" a="1"/>
  <c r="L1925" i="1" a="1"/>
  <c r="L2957" i="1" a="1"/>
  <c r="L3025" i="1" a="1"/>
  <c r="L2719" i="1" a="1"/>
  <c r="L3356" i="1" a="1"/>
  <c r="L1680" i="1" a="1"/>
  <c r="L2662" i="1" a="1"/>
  <c r="L3139" i="1" a="1"/>
  <c r="L2815" i="1" a="1"/>
  <c r="L1660" i="1" a="1"/>
  <c r="L1332" i="1" a="1"/>
  <c r="L2024" i="1" a="1"/>
  <c r="L2769" i="1" a="1"/>
  <c r="L2187" i="1" a="1"/>
  <c r="L1985" i="1" a="1"/>
  <c r="L2490" i="1" a="1"/>
  <c r="L833" i="1" a="1"/>
  <c r="L2910" i="1" a="1"/>
  <c r="L3259" i="1" a="1"/>
  <c r="L2451" i="1" a="1"/>
  <c r="L3129" i="1" a="1"/>
  <c r="L1296" i="1" a="1"/>
  <c r="L1899" i="1" a="1"/>
  <c r="L2365" i="1" a="1"/>
  <c r="L2597" i="1" a="1"/>
  <c r="L2043" i="1" a="1"/>
  <c r="L2376" i="1" a="1"/>
  <c r="L2267" i="1" a="1"/>
  <c r="L1980" i="1" a="1"/>
  <c r="L1612" i="1" a="1"/>
  <c r="L1529" i="1" a="1"/>
  <c r="L969" i="1" a="1"/>
  <c r="L2175" i="1" a="1"/>
  <c r="L1976" i="1" a="1"/>
  <c r="L2489" i="1" a="1"/>
  <c r="L2745" i="1" a="1"/>
  <c r="L1768" i="1" a="1"/>
  <c r="L2289" i="1" a="1"/>
  <c r="L2124" i="1" a="1"/>
  <c r="L1711" i="1" a="1"/>
  <c r="L3033" i="1" a="1"/>
  <c r="L3473" i="1" a="1"/>
  <c r="L1592" i="1" a="1"/>
  <c r="L892" i="1" a="1"/>
  <c r="L3029" i="1" a="1"/>
  <c r="L3196" i="1" a="1"/>
  <c r="L3267" i="1" a="1"/>
  <c r="L2672" i="1" a="1"/>
  <c r="L3344" i="1" a="1"/>
  <c r="L242" i="1" a="1"/>
  <c r="L715" i="1" a="1"/>
  <c r="L622" i="1" a="1"/>
  <c r="L1621" i="1" a="1"/>
  <c r="L1230" i="1" a="1"/>
  <c r="L1634" i="1" a="1"/>
  <c r="L1476" i="1" a="1"/>
  <c r="L1707" i="1" a="1"/>
  <c r="L1727" i="1" a="1"/>
  <c r="L643" i="1" a="1"/>
  <c r="L764" i="1" a="1"/>
  <c r="L1209" i="1" a="1"/>
  <c r="L1111" i="1" a="1"/>
  <c r="L1641" i="1" a="1"/>
  <c r="L1310" i="1" a="1"/>
  <c r="L1513" i="1" a="1"/>
  <c r="L1786" i="1" a="1"/>
  <c r="L690" i="1" a="1"/>
  <c r="L1137" i="1" a="1"/>
  <c r="L1053" i="1" a="1"/>
  <c r="L1597" i="1" a="1"/>
  <c r="L1124" i="1" a="1"/>
  <c r="L1401" i="1" a="1"/>
  <c r="L1555" i="1" a="1"/>
  <c r="L863" i="1" a="1"/>
  <c r="L1681" i="1" a="1"/>
  <c r="L1357" i="1" a="1"/>
  <c r="L1363" i="1" a="1"/>
  <c r="L608" i="1" a="1"/>
  <c r="L817" i="1" a="1"/>
  <c r="L1817" i="1" a="1"/>
  <c r="L1886" i="1" a="1"/>
  <c r="L2002" i="1" a="1"/>
  <c r="L1939" i="1" a="1"/>
  <c r="L1225" i="1" a="1"/>
  <c r="L2637" i="1" a="1"/>
  <c r="L2181" i="1" a="1"/>
  <c r="L2486" i="1" a="1"/>
  <c r="L2904" i="1" a="1"/>
  <c r="L2443" i="1" a="1"/>
  <c r="L1754" i="1" a="1"/>
  <c r="L1418" i="1" a="1"/>
  <c r="L2228" i="1" a="1"/>
  <c r="L2074" i="1" a="1"/>
  <c r="L2529" i="1" a="1"/>
  <c r="L2785" i="1" a="1"/>
  <c r="L2123" i="1" a="1"/>
  <c r="L2442" i="1" a="1"/>
  <c r="L2820" i="1" a="1"/>
  <c r="L2313" i="1" a="1"/>
  <c r="L2064" i="1" a="1"/>
  <c r="L1497" i="1" a="1"/>
  <c r="L2398" i="1" a="1"/>
  <c r="L2654" i="1" a="1"/>
  <c r="L2331" i="1" a="1"/>
  <c r="L3128" i="1" a="1"/>
  <c r="L2082" i="1" a="1"/>
  <c r="L2790" i="1" a="1"/>
  <c r="L3405" i="1" a="1"/>
  <c r="L1690" i="1" a="1"/>
  <c r="L2196" i="1" a="1"/>
  <c r="L2505" i="1" a="1"/>
  <c r="L1811" i="1" a="1"/>
  <c r="L2321" i="1" a="1"/>
  <c r="L1639" i="1" a="1"/>
  <c r="L2778" i="1" a="1"/>
  <c r="L1933" i="1" a="1"/>
  <c r="L3386" i="1" a="1"/>
  <c r="L2281" i="1" a="1"/>
  <c r="L2994" i="1" a="1"/>
  <c r="L3272" i="1" a="1"/>
  <c r="L3488" i="1" a="1"/>
  <c r="L3360" i="1" a="1"/>
  <c r="L3079" i="1" a="1"/>
  <c r="L3037" i="1" a="1"/>
  <c r="L3496" i="1" a="1"/>
  <c r="L2" i="1" a="1"/>
  <c r="L120" i="1" a="1"/>
  <c r="L211" i="1" a="1"/>
  <c r="L77" i="1" a="1"/>
  <c r="L333" i="1" a="1"/>
  <c r="L499" i="1" a="1"/>
  <c r="L649" i="1" a="1"/>
  <c r="L1110" i="1" a="1"/>
  <c r="L1013" i="1" a="1"/>
  <c r="L1577" i="1" a="1"/>
  <c r="L977" i="1" a="1"/>
  <c r="L1321" i="1" a="1"/>
  <c r="L1482" i="1" a="1"/>
  <c r="L289" i="1" a="1"/>
  <c r="L1245" i="1" a="1"/>
  <c r="L1138" i="1" a="1"/>
  <c r="L1661" i="1" a="1"/>
  <c r="L1336" i="1" a="1"/>
  <c r="L1554" i="1" a="1"/>
  <c r="L1866" i="1" a="1"/>
  <c r="L549" i="1" a="1"/>
  <c r="L1875" i="1" a="1"/>
  <c r="L2315" i="1" a="1"/>
  <c r="L2573" i="1" a="1"/>
  <c r="L2096" i="1" a="1"/>
  <c r="L2422" i="1" a="1"/>
  <c r="L2763" i="1" a="1"/>
  <c r="L2240" i="1" a="1"/>
  <c r="L3301" i="1" a="1"/>
  <c r="L2208" i="1" a="1"/>
  <c r="L2506" i="1" a="1"/>
  <c r="L2931" i="1" a="1"/>
  <c r="L2483" i="1" a="1"/>
  <c r="L3321" i="1" a="1"/>
  <c r="L1787" i="1" a="1"/>
  <c r="L1647" i="1" a="1"/>
  <c r="L2233" i="1" a="1"/>
  <c r="L2825" i="1" a="1"/>
  <c r="L1744" i="1" a="1"/>
  <c r="L2610" i="1" a="1"/>
  <c r="L2899" i="1" a="1"/>
  <c r="L3240" i="1" a="1"/>
  <c r="L2435" i="1" a="1"/>
  <c r="L3097" i="1" a="1"/>
  <c r="L3477" i="1" a="1"/>
  <c r="L2211" i="1" a="1"/>
  <c r="L693" i="1" a="1"/>
  <c r="L3322" i="1" a="1"/>
  <c r="L3483" i="1" a="1"/>
  <c r="L2535" i="1" a="1"/>
  <c r="L2512" i="1" a="1"/>
  <c r="L2903" i="1" a="1"/>
  <c r="L331" i="1" a="1"/>
  <c r="L725" i="1" a="1"/>
  <c r="L1844" i="1" a="1"/>
  <c r="L895" i="1" a="1"/>
  <c r="L1697" i="1" a="1"/>
  <c r="L1384" i="1" a="1"/>
  <c r="L956" i="1" a="1"/>
  <c r="L1902" i="1" a="1"/>
  <c r="L1098" i="1" a="1"/>
  <c r="L2079" i="1" a="1"/>
  <c r="L2417" i="1" a="1"/>
  <c r="L1398" i="1" a="1"/>
  <c r="L1931" i="1" a="1"/>
  <c r="L1107" i="1" a="1"/>
  <c r="L2629" i="1" a="1"/>
  <c r="L2085" i="1" a="1"/>
  <c r="L2414" i="1" a="1"/>
  <c r="L2738" i="1" a="1"/>
  <c r="L2210" i="1" a="1"/>
  <c r="L3287" i="1" a="1"/>
  <c r="L1808" i="1" a="1"/>
  <c r="L1716" i="1" a="1"/>
  <c r="L2265" i="1" a="1"/>
  <c r="L2841" i="1" a="1"/>
  <c r="L3441" i="1" a="1"/>
  <c r="L2372" i="1" a="1"/>
  <c r="L2083" i="1" a="1"/>
  <c r="L3018" i="1" a="1"/>
  <c r="L3056" i="1" a="1"/>
  <c r="L2508" i="1" a="1"/>
  <c r="L3247" i="1" a="1"/>
  <c r="L3200" i="1" a="1"/>
  <c r="L3387" i="1" a="1"/>
  <c r="L3327" i="1" a="1"/>
  <c r="L2067" i="1" a="1"/>
  <c r="L3500" i="1" a="1"/>
  <c r="L3254" i="1" a="1"/>
  <c r="L295" i="1" a="1"/>
  <c r="L54" i="1" a="1"/>
  <c r="L458" i="1" a="1"/>
  <c r="L515" i="1" a="1"/>
  <c r="L417" i="1" a="1"/>
  <c r="L178" i="1" a="1"/>
  <c r="L134" i="1" a="1"/>
  <c r="L587" i="1" a="1"/>
  <c r="L776" i="1" a="1"/>
  <c r="L600" i="1" a="1"/>
  <c r="L1182" i="1" a="1"/>
  <c r="L1330" i="1" a="1"/>
  <c r="L1309" i="1" a="1"/>
  <c r="L452" i="1" a="1"/>
  <c r="L488" i="1" a="1"/>
  <c r="L1249" i="1" a="1"/>
  <c r="L1143" i="1" a="1"/>
  <c r="L1810" i="1" a="1"/>
  <c r="L2685" i="1" a="1"/>
  <c r="L2380" i="1" a="1"/>
  <c r="L2598" i="1" a="1"/>
  <c r="L3054" i="1" a="1"/>
  <c r="L2667" i="1" a="1"/>
  <c r="L1797" i="1" a="1"/>
  <c r="L1678" i="1" a="1"/>
  <c r="L2247" i="1" a="1"/>
  <c r="L2833" i="1" a="1"/>
  <c r="L1760" i="1" a="1"/>
  <c r="L2237" i="1" a="1"/>
  <c r="L2533" i="1" a="1"/>
  <c r="L2128" i="1" a="1"/>
  <c r="L2446" i="1" a="1"/>
  <c r="L2827" i="1" a="1"/>
  <c r="L2350" i="1" a="1"/>
  <c r="L3325" i="1" a="1"/>
  <c r="L2243" i="1" a="1"/>
  <c r="L2530" i="1" a="1"/>
  <c r="L2963" i="1" a="1"/>
  <c r="L2531" i="1" a="1"/>
  <c r="L79" i="1" a="1"/>
  <c r="L248" i="1" a="1"/>
  <c r="L339" i="1" a="1"/>
  <c r="L167" i="1" a="1"/>
  <c r="L466" i="1" a="1"/>
  <c r="L525" i="1" a="1"/>
  <c r="L737" i="1" a="1"/>
  <c r="L1289" i="1" a="1"/>
  <c r="L1219" i="1" a="1"/>
  <c r="L1705" i="1" a="1"/>
  <c r="L1395" i="1" a="1"/>
  <c r="L1096" i="1" a="1"/>
  <c r="L1910" i="1" a="1"/>
  <c r="L940" i="1" a="1"/>
  <c r="L806" i="1" a="1"/>
  <c r="L630" i="1" a="1"/>
  <c r="L681" i="1" a="1"/>
  <c r="L1535" i="1" a="1"/>
  <c r="L1472" i="1" a="1"/>
  <c r="L1994" i="1" a="1"/>
  <c r="L1464" i="1" a="1"/>
  <c r="L2003" i="1" a="1"/>
  <c r="L1888" i="1" a="1"/>
  <c r="L2701" i="1" a="1"/>
  <c r="L2284" i="1" a="1"/>
  <c r="L2550" i="1" a="1"/>
  <c r="L2990" i="1" a="1"/>
  <c r="L2571" i="1" a="1"/>
  <c r="L3365" i="1" a="1"/>
  <c r="L1260" i="1" a="1"/>
  <c r="L2634" i="1" a="1"/>
  <c r="L3102" i="1" a="1"/>
  <c r="L2744" i="1" a="1"/>
  <c r="L3385" i="1" a="1"/>
  <c r="L1252" i="1" a="1"/>
  <c r="L2111" i="1" a="1"/>
  <c r="L2441" i="1" a="1"/>
  <c r="L1551" i="1" a="1"/>
  <c r="L2150" i="1" a="1"/>
  <c r="L2674" i="1" a="1"/>
  <c r="L2984" i="1" a="1"/>
  <c r="L3184" i="1" a="1"/>
  <c r="L2563" i="1" a="1"/>
  <c r="L3296" i="1" a="1"/>
  <c r="L2119" i="1" a="1"/>
  <c r="L2911" i="1" a="1"/>
  <c r="L2296" i="1" a="1"/>
  <c r="L3450" i="1" a="1"/>
  <c r="L2876" i="1" a="1"/>
  <c r="L2750" i="1" a="1"/>
  <c r="L2020" i="1" a="1"/>
  <c r="L3069" i="1" a="1"/>
  <c r="L116" i="1" a="1"/>
  <c r="L1305" i="1" a="1"/>
  <c r="L1473" i="1" a="1"/>
  <c r="L1023" i="1" a="1"/>
  <c r="L989" i="1" a="1"/>
  <c r="L1582" i="1" a="1"/>
  <c r="L1595" i="1" a="1"/>
  <c r="L2030" i="1" a="1"/>
  <c r="L1798" i="1" a="1"/>
  <c r="L2260" i="1" a="1"/>
  <c r="L2545" i="1" a="1"/>
  <c r="L1636" i="1" a="1"/>
  <c r="L1188" i="1" a="1"/>
  <c r="L2000" i="1" a="1"/>
  <c r="L2757" i="1" a="1"/>
  <c r="L2266" i="1" a="1"/>
  <c r="L2542" i="1" a="1"/>
  <c r="L2979" i="1" a="1"/>
  <c r="L2555" i="1" a="1"/>
  <c r="L3357" i="1" a="1"/>
  <c r="L1329" i="1" a="1"/>
  <c r="L2132" i="1" a="1"/>
  <c r="L2457" i="1" a="1"/>
  <c r="L1616" i="1" a="1"/>
  <c r="L3493" i="1" a="1"/>
  <c r="L2880" i="1" a="1"/>
  <c r="L2268" i="1" a="1"/>
  <c r="L3103" i="1" a="1"/>
  <c r="L1276" i="1" a="1"/>
  <c r="L2636" i="1" a="1"/>
  <c r="L3338" i="1" a="1"/>
  <c r="L2318" i="1" a="1"/>
  <c r="L1086" i="1" a="1"/>
  <c r="L2355" i="1" a="1"/>
  <c r="L2663" i="1" a="1"/>
  <c r="L2887" i="1" a="1"/>
  <c r="L2799" i="1" a="1"/>
  <c r="L208" i="1" a="1"/>
  <c r="L310" i="1" a="1"/>
  <c r="L126" i="1" a="1"/>
  <c r="L583" i="1" a="1"/>
  <c r="L803" i="1" a="1"/>
  <c r="L772" i="1" a="1"/>
  <c r="L367" i="1" a="1"/>
  <c r="L170" i="1" a="1"/>
  <c r="L529" i="1" a="1"/>
  <c r="L1062" i="1" a="1"/>
  <c r="L917" i="1" a="1"/>
  <c r="L1525" i="1" a="1"/>
  <c r="L810" i="1" a="1"/>
  <c r="L1938" i="1" a="1"/>
  <c r="L946" i="1" a="1"/>
  <c r="L814" i="1" a="1"/>
  <c r="L723" i="1" a="1"/>
  <c r="L2186" i="1" a="1"/>
  <c r="L2813" i="1" a="1"/>
  <c r="L1945" i="1" a="1"/>
  <c r="L2726" i="1" a="1"/>
  <c r="L3224" i="1" a="1"/>
  <c r="L3049" i="1" a="1"/>
  <c r="L1284" i="1" a="1"/>
  <c r="L2121" i="1" a="1"/>
  <c r="L2449" i="1" a="1"/>
  <c r="L1584" i="1" a="1"/>
  <c r="L1963" i="1" a="1"/>
  <c r="L1532" i="1" a="1"/>
  <c r="L2661" i="1" a="1"/>
  <c r="L2330" i="1" a="1"/>
  <c r="L2574" i="1" a="1"/>
  <c r="L3022" i="1" a="1"/>
  <c r="L2619" i="1" a="1"/>
  <c r="L3389" i="1" a="1"/>
  <c r="L1515" i="1" a="1"/>
  <c r="L2658" i="1" a="1"/>
  <c r="L3134" i="1" a="1"/>
  <c r="L207" i="1" a="1"/>
  <c r="L69" i="1" a="1"/>
  <c r="L124" i="1" a="1"/>
  <c r="L80" i="1" a="1"/>
  <c r="L142" i="1" a="1"/>
  <c r="L591" i="1" a="1"/>
  <c r="L1072" i="1" a="1"/>
  <c r="L897" i="1" a="1"/>
  <c r="L924" i="1" a="1"/>
  <c r="L1038" i="1" a="1"/>
  <c r="L1590" i="1" a="1"/>
  <c r="L1611" i="1" a="1"/>
  <c r="L130" i="1" a="1"/>
  <c r="L569" i="1" a="1"/>
  <c r="L1164" i="1" a="1"/>
  <c r="L1319" i="1" a="1"/>
  <c r="L1287" i="1" a="1"/>
  <c r="L1674" i="1" a="1"/>
  <c r="L1791" i="1" a="1"/>
  <c r="L1360" i="1" a="1"/>
  <c r="L1792" i="1" a="1"/>
  <c r="L1663" i="1" a="1"/>
  <c r="L2238" i="1" a="1"/>
  <c r="L2829" i="1" a="1"/>
  <c r="L1790" i="1" a="1"/>
  <c r="L2678" i="1" a="1"/>
  <c r="L3160" i="1" a="1"/>
  <c r="L2854" i="1" a="1"/>
  <c r="L3429" i="1" a="1"/>
  <c r="L2017" i="1" a="1"/>
  <c r="L1364" i="1" a="1"/>
  <c r="L3291" i="1" a="1"/>
  <c r="L2937" i="1" a="1"/>
  <c r="L3449" i="1" a="1"/>
  <c r="L1871" i="1" a="1"/>
  <c r="L2306" i="1" a="1"/>
  <c r="L2569" i="1" a="1"/>
  <c r="L2091" i="1" a="1"/>
  <c r="L2418" i="1" a="1"/>
  <c r="L2167" i="1" a="1"/>
  <c r="L3070" i="1" a="1"/>
  <c r="L1868" i="1" a="1"/>
  <c r="L2691" i="1" a="1"/>
  <c r="L3361" i="1" a="1"/>
  <c r="L2843" i="1" a="1"/>
  <c r="L3082" i="1" a="1"/>
  <c r="L2604" i="1" a="1"/>
  <c r="L2162" i="1" a="1"/>
  <c r="L2205" i="1" a="1"/>
  <c r="L2631" i="1" a="1"/>
  <c r="L3249" i="1" a="1"/>
  <c r="L75" i="1" a="1"/>
  <c r="L244" i="1" a="1"/>
  <c r="L1032" i="1" a="1"/>
  <c r="L1906" i="1" a="1"/>
  <c r="L1367" i="1" a="1"/>
  <c r="L1421" i="1" a="1"/>
  <c r="L704" i="1" a="1"/>
  <c r="L1839" i="1" a="1"/>
  <c r="L881" i="1" a="1"/>
  <c r="L1975" i="1" a="1"/>
  <c r="L1730" i="1" a="1"/>
  <c r="L2673" i="1" a="1"/>
  <c r="L365" i="1" a="1"/>
  <c r="L1852" i="1" a="1"/>
  <c r="L2352" i="1" a="1"/>
  <c r="L645" i="1" a="1"/>
  <c r="L1719" i="1" a="1"/>
  <c r="L2670" i="1" a="1"/>
  <c r="L3150" i="1" a="1"/>
  <c r="L2840" i="1" a="1"/>
  <c r="L3421" i="1" a="1"/>
  <c r="L1887" i="1" a="1"/>
  <c r="L2338" i="1" a="1"/>
  <c r="L2585" i="1" a="1"/>
  <c r="L2905" i="1" a="1"/>
  <c r="L1772" i="1" a="1"/>
  <c r="L3046" i="1" a="1"/>
  <c r="L2828" i="1" a="1"/>
  <c r="L3188" i="1" a="1"/>
  <c r="L1997" i="1" a="1"/>
  <c r="L2784" i="1" a="1"/>
  <c r="L3402" i="1" a="1"/>
  <c r="L2767" i="1" a="1"/>
  <c r="L2487" i="1" a="1"/>
  <c r="L2844" i="1" a="1"/>
  <c r="L1468" i="1" a="1"/>
  <c r="L3415" i="1" a="1"/>
  <c r="L245" i="1" a="1"/>
  <c r="L455" i="1" a="1"/>
  <c r="L363" i="1" a="1"/>
  <c r="L154" i="1" a="1"/>
  <c r="L931" i="1" a="1"/>
  <c r="L325" i="1" a="1"/>
  <c r="L495" i="1" a="1"/>
  <c r="L401" i="1" a="1"/>
  <c r="L512" i="1" a="1"/>
  <c r="L1253" i="1" a="1"/>
  <c r="L1149" i="1" a="1"/>
  <c r="L1669" i="1" a="1"/>
  <c r="L1347" i="1" a="1"/>
  <c r="L768" i="1" a="1"/>
  <c r="L585" i="1" a="1"/>
  <c r="L1173" i="1" a="1"/>
  <c r="L1934" i="1" a="1"/>
  <c r="L2429" i="1" a="1"/>
  <c r="L1478" i="1" a="1"/>
  <c r="L2294" i="1" a="1"/>
  <c r="L2135" i="1" a="1"/>
  <c r="L1736" i="1" a="1"/>
  <c r="L3349" i="1" a="1"/>
  <c r="L1879" i="1" a="1"/>
  <c r="L2324" i="1" a="1"/>
  <c r="L2577" i="1" a="1"/>
  <c r="L1708" i="1" a="1"/>
  <c r="L1439" i="1" a="1"/>
  <c r="L2090" i="1" a="1"/>
  <c r="L2789" i="1" a="1"/>
  <c r="L1897" i="1" a="1"/>
  <c r="L2702" i="1" a="1"/>
  <c r="L3192" i="1" a="1"/>
  <c r="L2953" i="1" a="1"/>
  <c r="L3453" i="1" a="1"/>
  <c r="L2086" i="1" a="1"/>
  <c r="L1655" i="1" a="1"/>
  <c r="L3088" i="1" a="1"/>
  <c r="L2804" i="1" a="1"/>
  <c r="L2168" i="1" a="1"/>
  <c r="L3060" i="1" a="1"/>
  <c r="L3195" i="1" a="1"/>
  <c r="L2572" i="1" a="1"/>
  <c r="L3306" i="1" a="1"/>
  <c r="L1972" i="1" a="1"/>
  <c r="L3451" i="1" a="1"/>
  <c r="L2035" i="1" a="1"/>
  <c r="L2407" i="1" a="1"/>
  <c r="L2226" i="1" a="1"/>
  <c r="L2130" i="1" a="1"/>
  <c r="L3138" i="1" a="1"/>
  <c r="L2655" i="1" a="1"/>
  <c r="L2044" i="1" a="1"/>
  <c r="L314" i="1" a="1"/>
  <c r="L971" i="1" a="1"/>
  <c r="L935" i="1" a="1"/>
  <c r="L1962" i="1" a="1"/>
  <c r="L81" i="1" a="1"/>
  <c r="L1713" i="1" a="1"/>
  <c r="L335" i="1" a="1"/>
  <c r="L83" i="1" a="1"/>
  <c r="L252" i="1" a="1"/>
  <c r="L336" i="1" a="1"/>
  <c r="L371" i="1" a="1"/>
  <c r="L812" i="1" a="1"/>
  <c r="L747" i="1" a="1"/>
  <c r="L381" i="1" a="1"/>
  <c r="L1378" i="1" a="1"/>
  <c r="L1452" i="1" a="1"/>
  <c r="L888" i="1" a="1"/>
  <c r="L1849" i="1" a="1"/>
  <c r="L445" i="1" a="1"/>
  <c r="L1051" i="1" a="1"/>
  <c r="L904" i="1" a="1"/>
  <c r="L1511" i="1" a="1"/>
  <c r="L778" i="1" a="1"/>
  <c r="L1185" i="1" a="1"/>
  <c r="L1216" i="1" a="1"/>
  <c r="L526" i="1" a="1"/>
  <c r="L1268" i="1" a="1"/>
  <c r="L2116" i="1" a="1"/>
  <c r="L2445" i="1" a="1"/>
  <c r="L1568" i="1" a="1"/>
  <c r="L2166" i="1" a="1"/>
  <c r="L1825" i="1" a="1"/>
  <c r="L3206" i="1" a="1"/>
  <c r="L3113" i="1" a="1"/>
  <c r="L2037" i="1" a="1"/>
  <c r="L2367" i="1" a="1"/>
  <c r="L2258" i="1" a="1"/>
  <c r="L1964" i="1" a="1"/>
  <c r="L3193" i="1" a="1"/>
  <c r="L1455" i="1" a="1"/>
  <c r="L1999" i="1" a="1"/>
  <c r="L1880" i="1" a="1"/>
  <c r="L2697" i="1" a="1"/>
  <c r="L2275" i="1" a="1"/>
  <c r="L2482" i="1" a="1"/>
  <c r="L2756" i="1" a="1"/>
  <c r="L3155" i="1" a="1"/>
  <c r="L2231" i="1" a="1"/>
  <c r="L2847" i="1" a="1"/>
  <c r="L3425" i="1" a="1"/>
  <c r="L1207" i="1" a="1"/>
  <c r="L3260" i="1" a="1"/>
  <c r="L2933" i="1" a="1"/>
  <c r="L3053" i="1" a="1"/>
  <c r="L3133" i="1" a="1"/>
  <c r="L2327" i="1" a="1"/>
  <c r="L3015" i="1" a="1"/>
  <c r="L203" i="1" a="1"/>
  <c r="L61" i="1" a="1"/>
  <c r="L1603" i="1" a="1"/>
  <c r="L767" i="1" a="1"/>
  <c r="L1569" i="1" a="1"/>
  <c r="L938" i="1" a="1"/>
  <c r="L1288" i="1" a="1"/>
  <c r="L1445" i="1" a="1"/>
  <c r="L1740" i="1" a="1"/>
  <c r="L1550" i="1" a="1"/>
  <c r="L2138" i="1" a="1"/>
  <c r="L2801" i="1" a="1"/>
  <c r="L1556" i="1" a="1"/>
  <c r="L2191" i="1" a="1"/>
  <c r="L2501" i="1" a="1"/>
  <c r="L1800" i="1" a="1"/>
  <c r="L2134" i="1" a="1"/>
  <c r="L1783" i="1" a="1"/>
  <c r="L3163" i="1" a="1"/>
  <c r="L3081" i="1" a="1"/>
  <c r="L1519" i="1" a="1"/>
  <c r="L2015" i="1" a="1"/>
  <c r="L1912" i="1" a="1"/>
  <c r="L2713" i="1" a="1"/>
  <c r="L3313" i="1" a="1"/>
  <c r="L2161" i="1" a="1"/>
  <c r="L1487" i="1" a="1"/>
  <c r="L2932" i="1" a="1"/>
  <c r="L3292" i="1" a="1"/>
  <c r="L2360" i="1" a="1"/>
  <c r="L2997" i="1" a="1"/>
  <c r="L3466" i="1" a="1"/>
  <c r="L3169" i="1" a="1"/>
  <c r="L2989" i="1" a="1"/>
  <c r="L3245" i="1" a="1"/>
  <c r="L2999" i="1" a="1"/>
  <c r="L2544" i="1" a="1"/>
  <c r="L39" i="1" a="1"/>
  <c r="L422" i="1" a="1"/>
  <c r="L317" i="1" a="1"/>
  <c r="L491" i="1" a="1"/>
  <c r="L393" i="1" a="1"/>
  <c r="L537" i="1" a="1"/>
  <c r="L462" i="1" a="1"/>
  <c r="L520" i="1" a="1"/>
  <c r="L456" i="1" a="1"/>
  <c r="L953" i="1" a="1"/>
  <c r="L822" i="1" a="1"/>
  <c r="L760" i="1" a="1"/>
  <c r="L724" i="1" a="1"/>
  <c r="L1549" i="1" a="1"/>
  <c r="L484" i="1" a="1"/>
  <c r="L1057" i="1" a="1"/>
  <c r="L910" i="1" a="1"/>
  <c r="L850" i="1" a="1"/>
  <c r="L2557" i="1" a="1"/>
  <c r="L2160" i="1" a="1"/>
  <c r="L2470" i="1" a="1"/>
  <c r="L2883" i="1" a="1"/>
  <c r="L2411" i="1" a="1"/>
  <c r="L1501" i="1" a="1"/>
  <c r="L2007" i="1" a="1"/>
  <c r="L1896" i="1" a="1"/>
  <c r="L2705" i="1" a="1"/>
  <c r="L1034" i="1" a="1"/>
  <c r="L2063" i="1" a="1"/>
  <c r="L2405" i="1" a="1"/>
  <c r="L1334" i="1" a="1"/>
  <c r="L2248" i="1" a="1"/>
  <c r="L2071" i="1" a="1"/>
  <c r="L1129" i="1" a="1"/>
  <c r="L3209" i="1" a="1"/>
  <c r="L2069" i="1" a="1"/>
  <c r="L2402" i="1" a="1"/>
  <c r="L2340" i="1" a="1"/>
  <c r="L2114" i="1" a="1"/>
  <c r="L1406" i="1" a="1"/>
  <c r="L1197" i="1" a="1"/>
  <c r="L1918" i="1" a="1"/>
  <c r="L1474" i="1" a="1"/>
  <c r="L2159" i="1" a="1"/>
  <c r="L2477" i="1" a="1"/>
  <c r="L1718" i="1" a="1"/>
  <c r="L2038" i="1" a="1"/>
  <c r="L1559" i="1" a="1"/>
  <c r="L2934" i="1" a="1"/>
  <c r="L2985" i="1" a="1"/>
  <c r="L3461" i="1" a="1"/>
  <c r="L1064" i="1" a="1"/>
  <c r="L1992" i="1" a="1"/>
  <c r="L2753" i="1" a="1"/>
  <c r="L2389" i="1" a="1"/>
  <c r="L2602" i="1" a="1"/>
  <c r="L3059" i="1" a="1"/>
  <c r="L2675" i="1" a="1"/>
  <c r="L3417" i="1" a="1"/>
  <c r="L1854" i="1" a="1"/>
  <c r="L2686" i="1" a="1"/>
  <c r="L3171" i="1" a="1"/>
  <c r="L2889" i="1" a="1"/>
  <c r="L1829" i="1" a="1"/>
  <c r="L1777" i="1" a="1"/>
  <c r="L2297" i="1" a="1"/>
  <c r="L2857" i="1" a="1"/>
  <c r="L1905" i="1" a="1"/>
  <c r="L2642" i="1" a="1"/>
  <c r="L2276" i="1" a="1"/>
  <c r="L3112" i="1" a="1"/>
  <c r="L1996" i="1" a="1"/>
  <c r="L2758" i="1" a="1"/>
  <c r="L3393" i="1" a="1"/>
  <c r="L2140" i="1" a="1"/>
  <c r="L1366" i="1" a="1"/>
  <c r="L2922" i="1" a="1"/>
  <c r="L3274" i="1" a="1"/>
  <c r="L2342" i="1" a="1"/>
  <c r="L2965" i="1" a="1"/>
  <c r="L3458" i="1" a="1"/>
  <c r="L3111" i="1" a="1"/>
  <c r="L2962" i="1" a="1"/>
  <c r="L3191" i="1" a="1"/>
  <c r="L2914" i="1" a="1"/>
  <c r="L2416" i="1" a="1"/>
  <c r="L2194" i="1" a="1"/>
  <c r="L3085" i="1" a="1"/>
  <c r="L3266" i="1" a="1"/>
  <c r="L2341" i="1" a="1"/>
  <c r="L3130" i="1" a="1"/>
  <c r="L1712" i="1" a="1"/>
  <c r="L2676" i="1" a="1"/>
  <c r="L3358" i="1" a="1"/>
  <c r="L2455" i="1" a="1"/>
  <c r="L1859" i="1" a="1"/>
  <c r="L2511" i="1" a="1"/>
  <c r="L2812" i="1" a="1"/>
  <c r="L3122" i="1" a="1"/>
  <c r="L3036" i="1" a="1"/>
  <c r="L3444" i="1" a="1"/>
  <c r="L3320" i="1" a="1"/>
  <c r="L3104" i="1" a="1"/>
  <c r="L3199" i="1" a="1"/>
  <c r="L2798" i="1" a="1"/>
  <c r="L2832" i="1" a="1"/>
  <c r="L2877" i="1" a="1"/>
  <c r="L3447" i="1" a="1"/>
  <c r="L2439" i="1" a="1"/>
  <c r="L1748" i="1" a="1"/>
  <c r="L3030" i="1" a="1"/>
  <c r="L2810" i="1" a="1"/>
  <c r="L3183" i="1" a="1"/>
  <c r="L1981" i="1" a="1"/>
  <c r="L2766" i="1" a="1"/>
  <c r="L3398" i="1" a="1"/>
  <c r="L2748" i="1" a="1"/>
  <c r="L2440" i="1" a="1"/>
  <c r="L2794" i="1" a="1"/>
  <c r="L1171" i="1" a="1"/>
  <c r="L3404" i="1" a="1"/>
  <c r="L3340" i="1" a="1"/>
  <c r="L2246" i="1" a="1"/>
  <c r="L1386" i="1" a="1"/>
  <c r="L2918" i="1" a="1"/>
  <c r="L2378" i="1" a="1"/>
  <c r="L3135" i="1" a="1"/>
  <c r="L1738" i="1" a="1"/>
  <c r="L2684" i="1" a="1"/>
  <c r="L3362" i="1" a="1"/>
  <c r="L2472" i="1" a="1"/>
  <c r="L1908" i="1" a="1"/>
  <c r="L2528" i="1" a="1"/>
  <c r="L2831" i="1" a="1"/>
  <c r="L3143" i="1" a="1"/>
  <c r="L3058" i="1" a="1"/>
  <c r="L3463" i="1" a="1"/>
  <c r="L3332" i="1" a="1"/>
  <c r="L3126" i="1" a="1"/>
  <c r="L3204" i="1" a="1"/>
  <c r="L2816" i="1" a="1"/>
  <c r="L2851" i="1" a="1"/>
  <c r="L2892" i="1" a="1"/>
  <c r="L3464" i="1" a="1"/>
  <c r="L2520" i="1" a="1"/>
  <c r="L2345" i="1" a="1"/>
  <c r="L3223" i="1" a="1"/>
  <c r="L3481" i="1" a="1"/>
  <c r="L2850" i="1" a="1"/>
  <c r="L2221" i="1" a="1"/>
  <c r="L3087" i="1" a="1"/>
  <c r="L1045" i="1" a="1"/>
  <c r="L2612" i="1" a="1"/>
  <c r="L3326" i="1" a="1"/>
  <c r="L2216" i="1" a="1"/>
  <c r="L3491" i="1" a="1"/>
  <c r="L2255" i="1" a="1"/>
  <c r="L2552" i="1" a="1"/>
  <c r="L2712" i="1" a="1"/>
  <c r="L2559" i="1" a="1"/>
  <c r="L3281" i="1" a="1"/>
  <c r="L2961" i="1" a="1"/>
  <c r="L2065" i="1" a="1"/>
  <c r="L3211" i="1" a="1"/>
  <c r="L2884" i="1" a="1"/>
  <c r="L3226" i="1" a="1"/>
  <c r="L1504" i="1" a="1"/>
  <c r="L2939" i="1" a="1"/>
  <c r="L2739" i="1" a="1"/>
  <c r="L2076" i="1" a="1"/>
  <c r="L425" i="1" a="1"/>
  <c r="L2244" i="1" a="1"/>
  <c r="L1805" i="1" a="1"/>
  <c r="L2975" i="1" a="1"/>
  <c r="L2982" i="1" a="1"/>
  <c r="L2444" i="1" a="1"/>
  <c r="L3125" i="1" a="1"/>
  <c r="L3498" i="1" a="1"/>
  <c r="L3323" i="1" a="1"/>
  <c r="L3218" i="1" a="1"/>
  <c r="L1506" i="1" a="1"/>
  <c r="L3298" i="1" a="1"/>
  <c r="L2973" i="1" a="1"/>
  <c r="L2838" i="1" a="1"/>
  <c r="L3431" i="1" a="1"/>
  <c r="L1343" i="1" a="1"/>
  <c r="L2912" i="1" a="1"/>
  <c r="L843" i="1" a="1"/>
  <c r="L807" i="1" a="1"/>
  <c r="L1752" i="1" a="1"/>
  <c r="L10" i="1" a="1"/>
  <c r="L1585" i="1" a="1"/>
  <c r="L1028" i="1" a="1"/>
  <c r="L1353" i="1" a="1"/>
  <c r="L1500" i="1" a="1"/>
  <c r="L1835" i="1" a="1"/>
  <c r="L1788" i="1" a="1"/>
  <c r="L2302" i="1" a="1"/>
  <c r="L2861" i="1" a="1"/>
  <c r="L1441" i="1" a="1"/>
  <c r="L2646" i="1" a="1"/>
  <c r="L3118" i="1" a="1"/>
  <c r="L2776" i="1" a="1"/>
  <c r="L3397" i="1" a="1"/>
  <c r="L1927" i="1" a="1"/>
  <c r="L1065" i="1" a="1"/>
  <c r="L2625" i="1" a="1"/>
  <c r="L2165" i="1" a="1"/>
  <c r="L2474" i="1" a="1"/>
  <c r="L2888" i="1" a="1"/>
  <c r="L2419" i="1" a="1"/>
  <c r="L3353" i="1" a="1"/>
  <c r="L2298" i="1" a="1"/>
  <c r="L2558" i="1" a="1"/>
  <c r="L3000" i="1" a="1"/>
  <c r="L2587" i="1" a="1"/>
  <c r="L1580" i="1" a="1"/>
  <c r="L523" i="1" a="1"/>
  <c r="L1944" i="1" a="1"/>
  <c r="L2729" i="1" a="1"/>
  <c r="L2339" i="1" a="1"/>
  <c r="L2578" i="1" a="1"/>
  <c r="L2081" i="1" a="1"/>
  <c r="L3027" i="1" a="1"/>
  <c r="L1275" i="1" a="1"/>
  <c r="L2627" i="1" a="1"/>
  <c r="L3329" i="1" a="1"/>
  <c r="L1723" i="1" a="1"/>
  <c r="L3014" i="1" a="1"/>
  <c r="L2803" i="1" a="1"/>
  <c r="L3178" i="1" a="1"/>
  <c r="L1965" i="1" a="1"/>
  <c r="L2759" i="1" a="1"/>
  <c r="L3394" i="1" a="1"/>
  <c r="L2728" i="1" a="1"/>
  <c r="L2423" i="1" a="1"/>
  <c r="L2775" i="1" a="1"/>
  <c r="L3021" i="1" a="1"/>
  <c r="L3383" i="1" a="1"/>
  <c r="L3328" i="1" a="1"/>
  <c r="L2195" i="1" a="1"/>
  <c r="L1430" i="1" a="1"/>
  <c r="L2136" i="1" a="1"/>
  <c r="L3044" i="1" a="1"/>
  <c r="L3142" i="1" a="1"/>
  <c r="L2548" i="1" a="1"/>
  <c r="L3288" i="1" a="1"/>
  <c r="L1542" i="1" a="1"/>
  <c r="L3427" i="1" a="1"/>
  <c r="L1750" i="1" a="1"/>
  <c r="L2263" i="1" a="1"/>
  <c r="L1794" i="1" a="1"/>
  <c r="L3456" i="1" a="1"/>
  <c r="L3440" i="1" a="1"/>
  <c r="L2480" i="1" a="1"/>
  <c r="L2740" i="1" a="1"/>
  <c r="L3028" i="1" a="1"/>
  <c r="L2524" i="1" a="1"/>
  <c r="L3232" i="1" a="1"/>
  <c r="L3343" i="1" a="1"/>
  <c r="L594" i="1" a="1"/>
  <c r="L3316" i="1" a="1"/>
  <c r="L3489" i="1" a="1"/>
  <c r="L2875" i="1" a="1"/>
  <c r="L2259" i="1" a="1"/>
  <c r="L3098" i="1" a="1"/>
  <c r="L1208" i="1" a="1"/>
  <c r="L2628" i="1" a="1"/>
  <c r="L3334" i="1" a="1"/>
  <c r="L2291" i="1" a="1"/>
  <c r="L770" i="1" a="1"/>
  <c r="L2328" i="1" a="1"/>
  <c r="L2616" i="1" a="1"/>
  <c r="L2856" i="1" a="1"/>
  <c r="L2687" i="1" a="1"/>
  <c r="L3308" i="1" a="1"/>
  <c r="L3089" i="1" a="1"/>
  <c r="L2779" i="1" a="1"/>
  <c r="L2147" i="1" a="1"/>
  <c r="L3050" i="1" a="1"/>
  <c r="L3158" i="1" a="1"/>
  <c r="L2556" i="1" a="1"/>
  <c r="L3293" i="1" a="1"/>
  <c r="L1773" i="1" a="1"/>
  <c r="L3435" i="1" a="1"/>
  <c r="L1956" i="1" a="1"/>
  <c r="L2309" i="1" a="1"/>
  <c r="L1973" i="1" a="1"/>
  <c r="L1699" i="1" a="1"/>
  <c r="L3468" i="1" a="1"/>
  <c r="L2527" i="1" a="1"/>
  <c r="L2747" i="1" a="1"/>
  <c r="L3034" i="1" a="1"/>
  <c r="L2532" i="1" a="1"/>
  <c r="L593" i="1" a="1"/>
  <c r="L3351" i="1" a="1"/>
  <c r="L1243" i="1" a="1"/>
  <c r="L3376" i="1" a="1"/>
  <c r="L3364" i="1" a="1"/>
  <c r="L2346" i="1" a="1"/>
  <c r="L2099" i="1" a="1"/>
  <c r="L2317" i="1" a="1"/>
  <c r="L2051" i="1" a="1"/>
  <c r="L3002" i="1" a="1"/>
  <c r="L3024" i="1" a="1"/>
  <c r="L2484" i="1" a="1"/>
  <c r="L3205" i="1" a="1"/>
  <c r="L3131" i="1" a="1"/>
  <c r="L3363" i="1" a="1"/>
  <c r="L3303" i="1" a="1"/>
  <c r="L1876" i="1" a="1"/>
  <c r="L3424" i="1" a="1"/>
  <c r="L3170" i="1" a="1"/>
  <c r="L3153" i="1" a="1"/>
  <c r="L997" i="1" a="1"/>
  <c r="L1428" i="1" a="1"/>
  <c r="L2928" i="1" a="1"/>
  <c r="L2387" i="1" a="1"/>
  <c r="L3140" i="1" a="1"/>
  <c r="L1806" i="1" a="1"/>
  <c r="L2692" i="1" a="1"/>
  <c r="L2222" i="1" a="1"/>
  <c r="L2855" i="1" a="1"/>
  <c r="L3146" i="1" a="1"/>
  <c r="L1869" i="1" a="1"/>
  <c r="L2700" i="1" a="1"/>
  <c r="L3370" i="1" a="1"/>
  <c r="L2536" i="1" a="1"/>
  <c r="L2033" i="1" a="1"/>
  <c r="L2592" i="1" a="1"/>
  <c r="L2881" i="1" a="1"/>
  <c r="L3212" i="1" a="1"/>
  <c r="L3127" i="1" a="1"/>
  <c r="L996" i="1" a="1"/>
  <c r="L3400" i="1" a="1"/>
  <c r="L2215" i="1" a="1"/>
  <c r="L536" i="1" a="1"/>
  <c r="L666" i="1" a="1"/>
  <c r="L573" i="1" a="1"/>
  <c r="L1180" i="1" a="1"/>
  <c r="L146" i="1" a="1"/>
  <c r="L1059" i="1" a="1"/>
  <c r="L1598" i="1" a="1"/>
  <c r="L1627" i="1" a="1"/>
  <c r="L670" i="1" a="1"/>
  <c r="L1907" i="1" a="1"/>
  <c r="L2379" i="1" a="1"/>
  <c r="L2605" i="1" a="1"/>
  <c r="L2053" i="1" a="1"/>
  <c r="L2390" i="1" a="1"/>
  <c r="L2285" i="1" a="1"/>
  <c r="L2012" i="1" a="1"/>
  <c r="L3241" i="1" a="1"/>
  <c r="L1861" i="1" a="1"/>
  <c r="L1841" i="1" a="1"/>
  <c r="L2343" i="1" a="1"/>
  <c r="L524" i="1" a="1"/>
  <c r="L1953" i="1" a="1"/>
  <c r="L2730" i="1" a="1"/>
  <c r="L3230" i="1" a="1"/>
  <c r="L3065" i="1" a="1"/>
  <c r="L2034" i="1" a="1"/>
  <c r="L2198" i="1" a="1"/>
  <c r="L2027" i="1" a="1"/>
  <c r="L3252" i="1" a="1"/>
  <c r="L3309" i="1" a="1"/>
  <c r="L1465" i="1" a="1"/>
  <c r="L2153" i="1" a="1"/>
  <c r="L2473" i="1" a="1"/>
  <c r="L1692" i="1" a="1"/>
  <c r="L2257" i="1" a="1"/>
  <c r="L2706" i="1" a="1"/>
  <c r="L2834" i="1" a="1"/>
  <c r="L3198" i="1" a="1"/>
  <c r="L2359" i="1" a="1"/>
  <c r="L2969" i="1" a="1"/>
  <c r="L3457" i="1" a="1"/>
  <c r="L2354" i="1" a="1"/>
  <c r="L2061" i="1" a="1"/>
  <c r="L3007" i="1" a="1"/>
  <c r="L3035" i="1" a="1"/>
  <c r="L2492" i="1" a="1"/>
  <c r="L3221" i="1" a="1"/>
  <c r="L3152" i="1" a="1"/>
  <c r="L3371" i="1" a="1"/>
  <c r="L3311" i="1" a="1"/>
  <c r="L1909" i="1" a="1"/>
  <c r="L3455" i="1" a="1"/>
  <c r="L3213" i="1" a="1"/>
  <c r="L3197" i="1" a="1"/>
  <c r="L1576" i="1" a="1"/>
  <c r="L3174" i="1" a="1"/>
  <c r="L2874" i="1" a="1"/>
  <c r="L3215" i="1" a="1"/>
  <c r="L2158" i="1" a="1"/>
  <c r="L2830" i="1" a="1"/>
  <c r="L3422" i="1" a="1"/>
  <c r="L2898" i="1" a="1"/>
  <c r="L2632" i="1" a="1"/>
  <c r="L2978" i="1" a="1"/>
  <c r="L2163" i="1" a="1"/>
  <c r="L1795" i="1" a="1"/>
  <c r="L3439" i="1" a="1"/>
  <c r="L2648" i="1" a="1"/>
  <c r="L2704" i="1" a="1"/>
  <c r="L2104" i="1" a="1"/>
  <c r="L3083" i="1" a="1"/>
  <c r="L3261" i="1" a="1"/>
  <c r="L3403" i="1" a="1"/>
  <c r="L2152" i="1" a="1"/>
  <c r="L3352" i="1" a="1"/>
  <c r="L2254" i="1" a="1"/>
  <c r="L2151" i="1" a="1"/>
  <c r="L1408" i="1" a="1"/>
  <c r="L2927" i="1" a="1"/>
  <c r="L3283" i="1" a="1"/>
  <c r="L2351" i="1" a="1"/>
  <c r="L2981" i="1" a="1"/>
  <c r="L3462" i="1" a="1"/>
  <c r="L3154" i="1" a="1"/>
  <c r="L2977" i="1" a="1"/>
  <c r="L3234" i="1" a="1"/>
  <c r="L2941" i="1" a="1"/>
  <c r="L2463" i="1" a="1"/>
  <c r="L2245" i="1" a="1"/>
  <c r="L3201" i="1" a="1"/>
  <c r="L2055" i="1" a="1"/>
  <c r="L3190" i="1" a="1"/>
  <c r="L2879" i="1" a="1"/>
  <c r="L3220" i="1" a="1"/>
  <c r="L2890" i="1" a="1"/>
  <c r="L3231" i="1" a="1"/>
  <c r="L2232" i="1" a="1"/>
  <c r="L2862" i="1" a="1"/>
  <c r="L3434" i="1" a="1"/>
  <c r="L2940" i="1" a="1"/>
  <c r="L2742" i="1" a="1"/>
  <c r="L3020" i="1" a="1"/>
  <c r="L2496" i="1" a="1"/>
  <c r="L2056" i="1" a="1"/>
  <c r="L3495" i="1" a="1"/>
  <c r="L2806" i="1" a="1"/>
  <c r="L2882" i="1" a="1"/>
  <c r="L2772" i="1" a="1"/>
  <c r="L621" i="1" a="1"/>
  <c r="L519" i="1" a="1"/>
  <c r="L210" i="1" a="1"/>
  <c r="L313" i="1" a="1"/>
  <c r="L1388" i="1" a="1"/>
  <c r="L1466" i="1" a="1"/>
  <c r="L926" i="1" a="1"/>
  <c r="L1860" i="1" a="1"/>
  <c r="L1588" i="1" a="1"/>
  <c r="L644" i="1" a="1"/>
  <c r="L1952" i="1" a="1"/>
  <c r="L2733" i="1" a="1"/>
  <c r="L2224" i="1" a="1"/>
  <c r="L2518" i="1" a="1"/>
  <c r="L2947" i="1" a="1"/>
  <c r="L2507" i="1" a="1"/>
  <c r="L3333" i="1" a="1"/>
  <c r="L1547" i="1" a="1"/>
  <c r="L2185" i="1" a="1"/>
  <c r="L2497" i="1" a="1"/>
  <c r="L1789" i="1" a="1"/>
  <c r="L2303" i="1" a="1"/>
  <c r="L2145" i="1" a="1"/>
  <c r="L1762" i="1" a="1"/>
  <c r="L3278" i="1" a="1"/>
  <c r="L2107" i="1" a="1"/>
  <c r="L2430" i="1" a="1"/>
  <c r="L2788" i="1" a="1"/>
  <c r="L2286" i="1" a="1"/>
  <c r="L3437" i="1" a="1"/>
  <c r="L1903" i="1" a="1"/>
  <c r="L2370" i="1" a="1"/>
  <c r="L2601" i="1" a="1"/>
  <c r="L2133" i="1" a="1"/>
  <c r="L2450" i="1" a="1"/>
  <c r="L1486" i="1" a="1"/>
  <c r="L2942" i="1" a="1"/>
  <c r="L994" i="1" a="1"/>
  <c r="L2499" i="1" a="1"/>
  <c r="L3225" i="1" a="1"/>
  <c r="L3485" i="1" a="1"/>
  <c r="L2868" i="1" a="1"/>
  <c r="L2250" i="1" a="1"/>
  <c r="L3092" i="1" a="1"/>
  <c r="L1130" i="1" a="1"/>
  <c r="L2620" i="1" a="1"/>
  <c r="L3330" i="1" a="1"/>
  <c r="L2264" i="1" a="1"/>
  <c r="L3499" i="1" a="1"/>
  <c r="L2282" i="1" a="1"/>
  <c r="L2599" i="1" a="1"/>
  <c r="L2787" i="1" a="1"/>
  <c r="L2640" i="1" a="1"/>
  <c r="L3295" i="1" a="1"/>
  <c r="L2988" i="1" a="1"/>
  <c r="L1686" i="1" a="1"/>
  <c r="L2959" i="1" a="1"/>
  <c r="L2944" i="1" a="1"/>
  <c r="L2420" i="1" a="1"/>
  <c r="L3077" i="1" a="1"/>
  <c r="L3486" i="1" a="1"/>
  <c r="L3280" i="1" a="1"/>
  <c r="L3117" i="1" a="1"/>
  <c r="L1087" i="1" a="1"/>
  <c r="L3186" i="1" a="1"/>
  <c r="L2824" i="1" a="1"/>
  <c r="L2688" i="1" a="1"/>
  <c r="L3388" i="1" a="1"/>
  <c r="L1815" i="1" a="1"/>
  <c r="L2842" i="1" a="1"/>
  <c r="L2062" i="1" a="1"/>
  <c r="L3410" i="1" a="1"/>
  <c r="L2551" i="1" a="1"/>
  <c r="L1774" i="1" a="1"/>
  <c r="L3396" i="1" a="1"/>
  <c r="L2448" i="1" a="1"/>
  <c r="L2363" i="1" a="1"/>
  <c r="L2072" i="1" a="1"/>
  <c r="L3012" i="1" a="1"/>
  <c r="L3051" i="1" a="1"/>
  <c r="L2500" i="1" a="1"/>
  <c r="L3237" i="1" a="1"/>
  <c r="L3179" i="1" a="1"/>
  <c r="L3379" i="1" a="1"/>
  <c r="L3319" i="1" a="1"/>
  <c r="L2004" i="1" a="1"/>
  <c r="L3472" i="1" a="1"/>
  <c r="L3238" i="1" a="1"/>
  <c r="L3275" i="1" a="1"/>
  <c r="L1858" i="1" a="1"/>
  <c r="L2225" i="1" a="1"/>
  <c r="L1763" i="1" a="1"/>
  <c r="L2964" i="1" a="1"/>
  <c r="L2960" i="1" a="1"/>
  <c r="L2428" i="1" a="1"/>
  <c r="L3093" i="1" a="1"/>
  <c r="L3490" i="1" a="1"/>
  <c r="L3307" i="1" a="1"/>
  <c r="L3132" i="1" a="1"/>
  <c r="L1302" i="1" a="1"/>
  <c r="L3229" i="1" a="1"/>
  <c r="L2858" i="1" a="1"/>
  <c r="L2735" i="1" a="1"/>
  <c r="L3399" i="1" a="1"/>
  <c r="L1836" i="1" a="1"/>
  <c r="L2860" i="1" a="1"/>
  <c r="L2094" i="1" a="1"/>
  <c r="L3414" i="1" a="1"/>
  <c r="L2568" i="1" a="1"/>
  <c r="L1892" i="1" a="1"/>
  <c r="L3407" i="1" a="1"/>
  <c r="L2576" i="1" a="1"/>
  <c r="L3359" i="1" a="1"/>
  <c r="L3302" i="1" a="1"/>
  <c r="L1877" i="1" a="1"/>
  <c r="L3443" i="1" a="1"/>
  <c r="L1989" i="1" a="1"/>
  <c r="L2336" i="1" a="1"/>
  <c r="L2109" i="1" a="1"/>
  <c r="L1924" i="1" a="1"/>
  <c r="L3487" i="1" a="1"/>
  <c r="L2608" i="1" a="1"/>
  <c r="L2190" i="1" a="1"/>
  <c r="L2848" i="1" a="1"/>
  <c r="L3426" i="1" a="1"/>
  <c r="L2913" i="1" a="1"/>
  <c r="L2679" i="1" a="1"/>
  <c r="L2993" i="1" a="1"/>
  <c r="L2272" i="1" a="1"/>
  <c r="L1893" i="1" a="1"/>
  <c r="L3448" i="1" a="1"/>
  <c r="L2695" i="1" a="1"/>
  <c r="L2780" i="1" a="1"/>
  <c r="L2115" i="1" a="1"/>
  <c r="L3099" i="1" a="1"/>
  <c r="L3270" i="1" a="1"/>
  <c r="L3411" i="1" a="1"/>
  <c r="L2206" i="1" a="1"/>
  <c r="L3384" i="1" a="1"/>
  <c r="L2300" i="1" a="1"/>
  <c r="L3290" i="1" a="1"/>
  <c r="L2021" i="1" a="1"/>
  <c r="L1671" i="1" a="1"/>
  <c r="L2998" i="1" a="1"/>
  <c r="L2796" i="1" a="1"/>
  <c r="L3172" i="1" a="1"/>
  <c r="L1949" i="1" a="1"/>
  <c r="L2752" i="1" a="1"/>
  <c r="L3390" i="1" a="1"/>
  <c r="L2711" i="1" a="1"/>
  <c r="L2374" i="1" a="1"/>
  <c r="L2760" i="1" a="1"/>
  <c r="L3009" i="1" a="1"/>
  <c r="L3372" i="1" a="1"/>
  <c r="L3289" i="1" a="1"/>
  <c r="L2078" i="1" a="1"/>
  <c r="L1170" i="1" a="1"/>
  <c r="L2235" i="1" a="1"/>
  <c r="L1784" i="1" a="1"/>
  <c r="L2970" i="1" a="1"/>
  <c r="L2971" i="1" a="1"/>
  <c r="L2436" i="1" a="1"/>
  <c r="L3366" i="1" a="1"/>
  <c r="L2519" i="1" a="1"/>
  <c r="L1941" i="1" a="1"/>
  <c r="L2575" i="1" a="1"/>
  <c r="L2846" i="1" a="1"/>
  <c r="L3165" i="1" a="1"/>
  <c r="L3101" i="1" a="1"/>
  <c r="L3480" i="1" a="1"/>
  <c r="L3368" i="1" a="1"/>
  <c r="L3137" i="1" a="1"/>
  <c r="L2129" i="1" a="1"/>
  <c r="L1323" i="1" a="1"/>
  <c r="L2916" i="1" a="1"/>
  <c r="L3265" i="1" a="1"/>
  <c r="L2305" i="1" a="1"/>
  <c r="L2949" i="1" a="1"/>
  <c r="L3454" i="1" a="1"/>
  <c r="L3068" i="1" a="1"/>
  <c r="L2919" i="1" a="1"/>
  <c r="L3148" i="1" a="1"/>
  <c r="L2819" i="1" a="1"/>
  <c r="L2373" i="1" a="1"/>
  <c r="L2077" i="1" a="1"/>
  <c r="L3042" i="1" a="1"/>
  <c r="L3159" i="1" a="1"/>
  <c r="L2786" i="1" a="1"/>
  <c r="L2157" i="1" a="1"/>
  <c r="L3055" i="1" a="1"/>
  <c r="L3168" i="1" a="1"/>
  <c r="L2564" i="1" a="1"/>
  <c r="L3430" i="1" a="1"/>
  <c r="L2925" i="1" a="1"/>
  <c r="L2696" i="1" a="1"/>
  <c r="L3005" i="1" a="1"/>
  <c r="L2415" i="1" a="1"/>
  <c r="L1988" i="1" a="1"/>
  <c r="L3476" i="1" a="1"/>
  <c r="L2768" i="1" a="1"/>
  <c r="L2814" i="1" a="1"/>
  <c r="L3109" i="1" a="1"/>
  <c r="L3494" i="1" a="1"/>
  <c r="L3315" i="1" a="1"/>
  <c r="L3175" i="1" a="1"/>
  <c r="L1429" i="1" a="1"/>
  <c r="L3253" i="1" a="1"/>
  <c r="L2946" i="1" a="1"/>
  <c r="L2800" i="1" a="1"/>
  <c r="L3420" i="1" a="1"/>
  <c r="L1957" i="1" a="1"/>
  <c r="L2" i="1" l="1"/>
  <c r="L3496" i="1"/>
  <c r="L3037" i="1"/>
  <c r="L3079" i="1"/>
  <c r="L3360" i="1"/>
  <c r="L3488" i="1"/>
  <c r="L3272" i="1"/>
  <c r="L2994" i="1"/>
  <c r="L2281" i="1"/>
  <c r="L3386" i="1"/>
  <c r="L1933" i="1"/>
  <c r="L2778" i="1"/>
  <c r="L1639" i="1"/>
  <c r="L2321" i="1"/>
  <c r="L1811" i="1"/>
  <c r="L2505" i="1"/>
  <c r="L2196" i="1"/>
  <c r="L1690" i="1"/>
  <c r="L3405" i="1"/>
  <c r="L2790" i="1"/>
  <c r="L2082" i="1"/>
  <c r="L3128" i="1"/>
  <c r="L2331" i="1"/>
  <c r="L2654" i="1"/>
  <c r="L2398" i="1"/>
  <c r="L1497" i="1"/>
  <c r="L2064" i="1"/>
  <c r="L2313" i="1"/>
  <c r="L2820" i="1"/>
  <c r="L2442" i="1"/>
  <c r="L2123" i="1"/>
  <c r="L2785" i="1"/>
  <c r="L2529" i="1"/>
  <c r="L2074" i="1"/>
  <c r="L2228" i="1"/>
  <c r="L1418" i="1"/>
  <c r="L1754" i="1"/>
  <c r="L2443" i="1"/>
  <c r="L2904" i="1"/>
  <c r="L2486" i="1"/>
  <c r="L2181" i="1"/>
  <c r="L2637" i="1"/>
  <c r="L1225" i="1"/>
  <c r="L1939" i="1"/>
  <c r="L2002" i="1"/>
  <c r="L1886" i="1"/>
  <c r="L1817" i="1"/>
  <c r="L817" i="1"/>
  <c r="L608" i="1"/>
  <c r="L1363" i="1"/>
  <c r="L1357" i="1"/>
  <c r="L1681" i="1"/>
  <c r="L863" i="1"/>
  <c r="L1555" i="1"/>
  <c r="L1401" i="1"/>
  <c r="L1124" i="1"/>
  <c r="L1597" i="1"/>
  <c r="L1053" i="1"/>
  <c r="L1137" i="1"/>
  <c r="L690" i="1"/>
  <c r="L1786" i="1"/>
  <c r="L1513" i="1"/>
  <c r="L1310" i="1"/>
  <c r="L1641" i="1"/>
  <c r="L1111" i="1"/>
  <c r="L1209" i="1"/>
  <c r="L764" i="1"/>
  <c r="L643" i="1"/>
  <c r="L1727" i="1"/>
  <c r="L1707" i="1"/>
  <c r="L1476" i="1"/>
  <c r="L1634" i="1"/>
  <c r="L1230" i="1"/>
  <c r="L1621" i="1"/>
  <c r="L622" i="1"/>
  <c r="L715" i="1"/>
  <c r="L242" i="1"/>
  <c r="L3344" i="1"/>
  <c r="L2672" i="1"/>
  <c r="L3267" i="1"/>
  <c r="L3196" i="1"/>
  <c r="L3029" i="1"/>
  <c r="L892" i="1"/>
  <c r="L1592" i="1"/>
  <c r="L3473" i="1"/>
  <c r="L3033" i="1"/>
  <c r="L1711" i="1"/>
  <c r="L2124" i="1"/>
  <c r="L2289" i="1"/>
  <c r="L1768" i="1"/>
  <c r="L2745" i="1"/>
  <c r="L2489" i="1"/>
  <c r="L1976" i="1"/>
  <c r="L2175" i="1"/>
  <c r="L969" i="1"/>
  <c r="L1529" i="1"/>
  <c r="L1612" i="1"/>
  <c r="L1980" i="1"/>
  <c r="L2267" i="1"/>
  <c r="L2376" i="1"/>
  <c r="L2043" i="1"/>
  <c r="L2597" i="1"/>
  <c r="L2365" i="1"/>
  <c r="L1899" i="1"/>
  <c r="L1296" i="1"/>
  <c r="L3129" i="1"/>
  <c r="L2451" i="1"/>
  <c r="L3259" i="1"/>
  <c r="L2910" i="1"/>
  <c r="L833" i="1"/>
  <c r="L2490" i="1"/>
  <c r="L1985" i="1"/>
  <c r="L2187" i="1"/>
  <c r="L2769" i="1"/>
  <c r="L2024" i="1"/>
  <c r="L1332" i="1"/>
  <c r="L1660" i="1"/>
  <c r="L2815" i="1"/>
  <c r="L3139" i="1"/>
  <c r="L2662" i="1"/>
  <c r="L1680" i="1"/>
  <c r="L3356" i="1"/>
  <c r="L2719" i="1"/>
  <c r="L3025" i="1"/>
  <c r="L2957" i="1"/>
  <c r="L1925" i="1"/>
  <c r="L2273" i="1"/>
  <c r="L2671" i="1"/>
  <c r="L2495" i="1"/>
  <c r="L3100" i="1"/>
  <c r="L1816" i="1"/>
  <c r="L3355" i="1"/>
  <c r="L3189" i="1"/>
  <c r="L3019" i="1"/>
  <c r="L2040" i="1"/>
  <c r="L1804" i="1"/>
  <c r="L1969" i="1"/>
  <c r="L802" i="1"/>
  <c r="L2361" i="1"/>
  <c r="L1863" i="1"/>
  <c r="L477" i="1"/>
  <c r="L3341" i="1"/>
  <c r="L2651" i="1"/>
  <c r="L1523" i="1"/>
  <c r="L3043" i="1"/>
  <c r="L2113" i="1"/>
  <c r="L2590" i="1"/>
  <c r="L2280" i="1"/>
  <c r="L2362" i="1"/>
  <c r="L1043" i="1"/>
  <c r="L2060" i="1"/>
  <c r="L2239" i="1"/>
  <c r="L1648" i="1"/>
  <c r="L2721" i="1"/>
  <c r="L2465" i="1"/>
  <c r="L1928" i="1"/>
  <c r="L2143" i="1"/>
  <c r="L2023" i="1"/>
  <c r="L1393" i="1"/>
  <c r="L1884" i="1"/>
  <c r="L2177" i="1"/>
  <c r="L2326" i="1"/>
  <c r="L1821" i="1"/>
  <c r="L2509" i="1"/>
  <c r="L2201" i="1"/>
  <c r="L1696" i="1"/>
  <c r="L1009" i="1"/>
  <c r="L1720" i="1"/>
  <c r="L1700" i="1"/>
  <c r="L1467" i="1"/>
  <c r="L1630" i="1"/>
  <c r="L1221" i="1"/>
  <c r="L1145" i="1"/>
  <c r="L1617" i="1"/>
  <c r="L597" i="1"/>
  <c r="L683" i="1"/>
  <c r="L476" i="1"/>
  <c r="L990" i="1"/>
  <c r="L1489" i="1"/>
  <c r="L1404" i="1"/>
  <c r="L586" i="1"/>
  <c r="L902" i="1"/>
  <c r="L832" i="1"/>
  <c r="L1097" i="1"/>
  <c r="L1125" i="1"/>
  <c r="L322" i="1"/>
  <c r="L1470" i="1"/>
  <c r="L748" i="1"/>
  <c r="L1024" i="1"/>
  <c r="L357" i="1"/>
  <c r="L185" i="1"/>
  <c r="L925" i="1"/>
  <c r="L705" i="1"/>
  <c r="L710" i="1"/>
  <c r="L3391" i="1"/>
  <c r="L2972" i="1"/>
  <c r="L2400" i="1"/>
  <c r="L2364" i="1"/>
  <c r="L2652" i="1"/>
  <c r="L3114" i="1"/>
  <c r="L2891" i="1"/>
  <c r="L3409" i="1"/>
  <c r="L2808" i="1"/>
  <c r="L3219" i="1"/>
  <c r="L2722" i="1"/>
  <c r="L1937" i="1"/>
  <c r="L1440" i="1"/>
  <c r="L2681" i="1"/>
  <c r="L2425" i="1"/>
  <c r="L1778" i="1"/>
  <c r="L2089" i="1"/>
  <c r="L1983" i="1"/>
  <c r="L1141" i="1"/>
  <c r="L1414" i="1"/>
  <c r="L3300" i="1"/>
  <c r="L1407" i="1"/>
  <c r="L2025" i="1"/>
  <c r="L1664" i="1"/>
  <c r="L2469" i="1"/>
  <c r="L2148" i="1"/>
  <c r="L1425" i="1"/>
  <c r="L3433" i="1"/>
  <c r="L2872" i="1"/>
  <c r="L2249" i="1"/>
  <c r="L3166" i="1"/>
  <c r="L2770" i="1"/>
  <c r="L2682" i="1"/>
  <c r="L2426" i="1"/>
  <c r="L1822" i="1"/>
  <c r="L2101" i="1"/>
  <c r="L2641" i="1"/>
  <c r="L1259" i="1"/>
  <c r="L1943" i="1"/>
  <c r="L2018" i="1"/>
  <c r="L2539" i="1"/>
  <c r="L2968" i="1"/>
  <c r="L2534" i="1"/>
  <c r="L2252" i="1"/>
  <c r="L2749" i="1"/>
  <c r="L1984" i="1"/>
  <c r="L2095" i="1"/>
  <c r="L1987" i="1"/>
  <c r="L1162" i="1"/>
  <c r="L1424" i="1"/>
  <c r="L1682" i="1"/>
  <c r="L1659" i="1"/>
  <c r="L1417" i="1"/>
  <c r="L1614" i="1"/>
  <c r="L1156" i="1"/>
  <c r="L1102" i="1"/>
  <c r="L1601" i="1"/>
  <c r="L1048" i="1"/>
  <c r="L961" i="1"/>
  <c r="L1167" i="1"/>
  <c r="L457" i="1"/>
  <c r="L564" i="1"/>
  <c r="L620" i="1"/>
  <c r="L1491" i="1"/>
  <c r="L1619" i="1"/>
  <c r="L1337" i="1"/>
  <c r="L1594" i="1"/>
  <c r="L1002" i="1"/>
  <c r="L1049" i="1"/>
  <c r="L1581" i="1"/>
  <c r="L937" i="1"/>
  <c r="L1031" i="1"/>
  <c r="L916" i="1"/>
  <c r="L1115" i="1"/>
  <c r="L1088" i="1"/>
  <c r="L656" i="1"/>
  <c r="L82" i="1"/>
  <c r="L588" i="1"/>
  <c r="L2022" i="1"/>
  <c r="L1381" i="1"/>
  <c r="L1579" i="1"/>
  <c r="L1272" i="1"/>
  <c r="L1574" i="1"/>
  <c r="L900" i="1"/>
  <c r="L950" i="1"/>
  <c r="L1561" i="1"/>
  <c r="L841" i="1"/>
  <c r="L974" i="1"/>
  <c r="L862" i="1"/>
  <c r="L1089" i="1"/>
  <c r="L1010" i="1"/>
  <c r="L610" i="1"/>
  <c r="L716" i="1"/>
  <c r="L385" i="1"/>
  <c r="L1688" i="1"/>
  <c r="L1667" i="1"/>
  <c r="L1433" i="1"/>
  <c r="L1432" i="1"/>
  <c r="L1733" i="1"/>
  <c r="L1258" i="1"/>
  <c r="L489" i="1"/>
  <c r="L813" i="1"/>
  <c r="L648" i="1"/>
  <c r="L330" i="1"/>
  <c r="L689" i="1"/>
  <c r="L859" i="1"/>
  <c r="L568" i="1"/>
  <c r="L639" i="1"/>
  <c r="L169" i="1"/>
  <c r="L238" i="1"/>
  <c r="L386" i="1"/>
  <c r="L3121" i="1"/>
  <c r="L2826" i="1"/>
  <c r="L3041" i="1"/>
  <c r="L3446" i="1"/>
  <c r="L2917" i="1"/>
  <c r="L2287" i="1"/>
  <c r="L3251" i="1"/>
  <c r="L2906" i="1"/>
  <c r="L1044" i="1"/>
  <c r="L2108" i="1"/>
  <c r="L2141" i="1"/>
  <c r="L3304" i="1"/>
  <c r="L3286" i="1"/>
  <c r="L2503" i="1"/>
  <c r="L2098" i="1"/>
  <c r="L3335" i="1"/>
  <c r="L3395" i="1"/>
  <c r="L3216" i="1"/>
  <c r="L3256" i="1"/>
  <c r="L2516" i="1"/>
  <c r="L3067" i="1"/>
  <c r="L3023" i="1"/>
  <c r="L2093" i="1"/>
  <c r="L2381" i="1"/>
  <c r="L2623" i="1"/>
  <c r="L2567" i="1"/>
  <c r="L3428" i="1"/>
  <c r="L3492" i="1"/>
  <c r="L2046" i="1"/>
  <c r="L2935" i="1"/>
  <c r="L2615" i="1"/>
  <c r="L2870" i="1"/>
  <c r="L3418" i="1"/>
  <c r="L2839" i="1"/>
  <c r="L3228" i="1"/>
  <c r="L2431" i="1"/>
  <c r="L2584" i="1"/>
  <c r="L3084" i="1"/>
  <c r="L3392" i="1"/>
  <c r="L3294" i="1"/>
  <c r="L3110" i="1"/>
  <c r="L2476" i="1"/>
  <c r="L2996" i="1"/>
  <c r="L2308" i="1"/>
  <c r="L2546" i="1"/>
  <c r="L2176" i="1"/>
  <c r="L2633" i="1"/>
  <c r="L1150" i="1"/>
  <c r="L1935" i="1"/>
  <c r="L3469" i="1"/>
  <c r="L3017" i="1"/>
  <c r="L2395" i="1"/>
  <c r="L3214" i="1"/>
  <c r="L2866" i="1"/>
  <c r="L2718" i="1"/>
  <c r="L2462" i="1"/>
  <c r="L1929" i="1"/>
  <c r="L2149" i="1"/>
  <c r="L2611" i="1"/>
  <c r="L3016" i="1"/>
  <c r="L2570" i="1"/>
  <c r="L2325" i="1"/>
  <c r="L2849" i="1"/>
  <c r="L2593" i="1"/>
  <c r="L2279" i="1"/>
  <c r="L2356" i="1"/>
  <c r="L1755" i="1"/>
  <c r="L1895" i="1"/>
  <c r="L1819" i="1"/>
  <c r="L2699" i="1"/>
  <c r="L3075" i="1"/>
  <c r="L2614" i="1"/>
  <c r="L1022" i="1"/>
  <c r="L2765" i="1"/>
  <c r="L2016" i="1"/>
  <c r="L1311" i="1"/>
  <c r="L1652" i="1"/>
  <c r="L1950" i="1"/>
  <c r="L957" i="1"/>
  <c r="L1359" i="1"/>
  <c r="L1061" i="1"/>
  <c r="L1448" i="1"/>
  <c r="L1530" i="1"/>
  <c r="L1745" i="1"/>
  <c r="L1431" i="1"/>
  <c r="L991" i="1"/>
  <c r="L1930" i="1"/>
  <c r="L1306" i="1"/>
  <c r="L1422" i="1"/>
  <c r="L1725" i="1"/>
  <c r="L1250" i="1"/>
  <c r="L290" i="1"/>
  <c r="L797" i="1"/>
  <c r="L1974" i="1"/>
  <c r="L1423" i="1"/>
  <c r="L1494" i="1"/>
  <c r="L501" i="1"/>
  <c r="L193" i="1"/>
  <c r="L738" i="1"/>
  <c r="L882" i="1"/>
  <c r="L572" i="1"/>
  <c r="L871" i="1"/>
  <c r="L3202" i="1"/>
  <c r="L2897" i="1"/>
  <c r="L2727" i="1"/>
  <c r="L1387" i="1"/>
  <c r="L3346" i="1"/>
  <c r="L1451" i="1"/>
  <c r="L2314" i="1"/>
  <c r="L3501" i="1"/>
  <c r="L3264" i="1"/>
  <c r="L2403" i="1"/>
  <c r="L2878" i="1"/>
  <c r="L2466" i="1"/>
  <c r="L2155" i="1"/>
  <c r="L2809" i="1"/>
  <c r="L2553" i="1"/>
  <c r="L2170" i="1"/>
  <c r="L2274" i="1"/>
  <c r="L1583" i="1"/>
  <c r="L1830" i="1"/>
  <c r="L1765" i="1"/>
  <c r="L2491" i="1"/>
  <c r="L2936" i="1"/>
  <c r="L2510" i="1"/>
  <c r="L2213" i="1"/>
  <c r="L2725" i="1"/>
  <c r="L1936" i="1"/>
  <c r="L257" i="1"/>
  <c r="L1572" i="1"/>
  <c r="L3305" i="1"/>
  <c r="L2579" i="1"/>
  <c r="L3227" i="1"/>
  <c r="L2995" i="1"/>
  <c r="L1847" i="1"/>
  <c r="L2554" i="1"/>
  <c r="L2182" i="1"/>
  <c r="L2293" i="1"/>
  <c r="L970" i="1"/>
  <c r="L2375" i="1"/>
  <c r="L2036" i="1"/>
  <c r="L672" i="1"/>
  <c r="L3269" i="1"/>
  <c r="L3115" i="1"/>
  <c r="L1684" i="1"/>
  <c r="L2102" i="1"/>
  <c r="L1779" i="1"/>
  <c r="L2493" i="1"/>
  <c r="L2283" i="1"/>
  <c r="L1599" i="1"/>
  <c r="L1846" i="1"/>
  <c r="L1771" i="1"/>
  <c r="L1998" i="1"/>
  <c r="L560" i="1"/>
  <c r="L1316" i="1"/>
  <c r="L1016" i="1"/>
  <c r="L1427" i="1"/>
  <c r="L1498" i="1"/>
  <c r="L1729" i="1"/>
  <c r="L1410" i="1"/>
  <c r="L1058" i="1"/>
  <c r="L1142" i="1"/>
  <c r="L696" i="1"/>
  <c r="L959" i="1"/>
  <c r="L562" i="1"/>
  <c r="L1914" i="1"/>
  <c r="L1855" i="1"/>
  <c r="L1160" i="1"/>
  <c r="L901" i="1"/>
  <c r="L1400" i="1"/>
  <c r="L1457" i="1"/>
  <c r="L1709" i="1"/>
  <c r="L1383" i="1"/>
  <c r="L1224" i="1"/>
  <c r="L413" i="1"/>
  <c r="L34" i="1"/>
  <c r="L756" i="1"/>
  <c r="L746" i="1"/>
  <c r="L816" i="1"/>
  <c r="L258" i="1"/>
  <c r="L2334" i="1"/>
  <c r="L2180" i="1"/>
  <c r="L1020" i="1"/>
  <c r="L1538" i="1"/>
  <c r="L1620" i="1"/>
  <c r="L1870" i="1"/>
  <c r="L1796" i="1"/>
  <c r="L129" i="1"/>
  <c r="L397" i="1"/>
  <c r="L1342" i="1"/>
  <c r="L1293" i="1"/>
  <c r="L1665" i="1"/>
  <c r="L1324" i="1"/>
  <c r="L601" i="1"/>
  <c r="L909" i="1"/>
  <c r="L836" i="1"/>
  <c r="L831" i="1"/>
  <c r="L1318" i="1"/>
  <c r="L1802" i="1"/>
  <c r="L1769" i="1"/>
  <c r="L1522" i="1"/>
  <c r="L1658" i="1"/>
  <c r="L1315" i="1"/>
  <c r="L1255" i="1"/>
  <c r="L1645" i="1"/>
  <c r="L1298" i="1"/>
  <c r="L1117" i="1"/>
  <c r="L1100" i="1"/>
  <c r="L1218" i="1"/>
  <c r="L380" i="1"/>
  <c r="L33" i="1"/>
  <c r="L711" i="1"/>
  <c r="L791" i="1"/>
  <c r="L1140" i="1"/>
  <c r="L1746" i="1"/>
  <c r="L1726" i="1"/>
  <c r="L1481" i="1"/>
  <c r="L1638" i="1"/>
  <c r="L1239" i="1"/>
  <c r="L1184" i="1"/>
  <c r="L1625" i="1"/>
  <c r="L1183" i="1"/>
  <c r="L1090" i="1"/>
  <c r="L1025" i="1"/>
  <c r="L1177" i="1"/>
  <c r="L1213" i="1"/>
  <c r="L732" i="1"/>
  <c r="L629" i="1"/>
  <c r="L735" i="1"/>
  <c r="L1874" i="1"/>
  <c r="L1801" i="1"/>
  <c r="L669" i="1"/>
  <c r="L1618" i="1"/>
  <c r="L1113" i="1"/>
  <c r="L1080" i="1"/>
  <c r="L980" i="1"/>
  <c r="L1172" i="1"/>
  <c r="L508" i="1"/>
  <c r="L614" i="1"/>
  <c r="L114" i="1"/>
  <c r="L923" i="1"/>
  <c r="L305" i="1"/>
  <c r="L122" i="1"/>
  <c r="L504" i="1"/>
  <c r="L355" i="1"/>
  <c r="L450" i="1"/>
  <c r="L1751" i="1"/>
  <c r="L3285" i="1"/>
  <c r="L3347" i="1"/>
  <c r="L3094" i="1"/>
  <c r="L3173" i="1"/>
  <c r="L2468" i="1"/>
  <c r="L3008" i="1"/>
  <c r="L2991" i="1"/>
  <c r="L2028" i="1"/>
  <c r="L2299" i="1"/>
  <c r="L3180" i="1"/>
  <c r="L3380" i="1"/>
  <c r="L2864" i="1"/>
  <c r="L2945" i="1"/>
  <c r="L2680" i="1"/>
  <c r="L2382" i="1"/>
  <c r="L1244" i="1"/>
  <c r="L2337" i="1"/>
  <c r="L3342" i="1"/>
  <c r="L2644" i="1"/>
  <c r="L1409" i="1"/>
  <c r="L3108" i="1"/>
  <c r="L2277" i="1"/>
  <c r="L2886" i="1"/>
  <c r="L3497" i="1"/>
  <c r="L3367" i="1"/>
  <c r="L2607" i="1"/>
  <c r="L2755" i="1"/>
  <c r="L3164" i="1"/>
  <c r="L893" i="1"/>
  <c r="L3105" i="1"/>
  <c r="L3271" i="1"/>
  <c r="L3482" i="1"/>
  <c r="L3061" i="1"/>
  <c r="L2412" i="1"/>
  <c r="L2923" i="1"/>
  <c r="L2954" i="1"/>
  <c r="L1656" i="1"/>
  <c r="L2204" i="1"/>
  <c r="L2385" i="1"/>
  <c r="L2048" i="1"/>
  <c r="L2537" i="1"/>
  <c r="L2242" i="1"/>
  <c r="L1766" i="1"/>
  <c r="L3373" i="1"/>
  <c r="L1916" i="1"/>
  <c r="L2199" i="1"/>
  <c r="L2344" i="1"/>
  <c r="L1843" i="1"/>
  <c r="L2773" i="1"/>
  <c r="L2823" i="1"/>
  <c r="L2126" i="1"/>
  <c r="L3210" i="1"/>
  <c r="L2867" i="1"/>
  <c r="L3147" i="1"/>
  <c r="L1857" i="1"/>
  <c r="L2032" i="1"/>
  <c r="L1355" i="1"/>
  <c r="L2409" i="1"/>
  <c r="L2068" i="1"/>
  <c r="L1055" i="1"/>
  <c r="L3145" i="1"/>
  <c r="L3268" i="1"/>
  <c r="L1128" i="1"/>
  <c r="L1993" i="1"/>
  <c r="L1600" i="1"/>
  <c r="L2709" i="1"/>
  <c r="L2453" i="1"/>
  <c r="L1904" i="1"/>
  <c r="L2127" i="1"/>
  <c r="L2011" i="1"/>
  <c r="L1297" i="1"/>
  <c r="L1510" i="1"/>
  <c r="L3136" i="1"/>
  <c r="L1710" i="1"/>
  <c r="L2118" i="1"/>
  <c r="L1496" i="1"/>
  <c r="L2433" i="1"/>
  <c r="L2100" i="1"/>
  <c r="L1217" i="1"/>
  <c r="L2635" i="1"/>
  <c r="L3032" i="1"/>
  <c r="L2582" i="1"/>
  <c r="L2348" i="1"/>
  <c r="L2669" i="1"/>
  <c r="L1704" i="1"/>
  <c r="L1971" i="1"/>
  <c r="L1382" i="1"/>
  <c r="L1139" i="1"/>
  <c r="L1146" i="1"/>
  <c r="L703" i="1"/>
  <c r="L1488" i="1"/>
  <c r="L1233" i="1"/>
  <c r="L534" i="1"/>
  <c r="L98" i="1"/>
  <c r="L765" i="1"/>
  <c r="L773" i="1"/>
  <c r="L820" i="1"/>
  <c r="L799" i="1"/>
  <c r="L1033" i="1"/>
  <c r="L1391" i="1"/>
  <c r="L1093" i="1"/>
  <c r="L1471" i="1"/>
  <c r="L1553" i="1"/>
  <c r="L1757" i="1"/>
  <c r="L1447" i="1"/>
  <c r="L1282" i="1"/>
  <c r="L709" i="1"/>
  <c r="L687" i="1"/>
  <c r="L992" i="1"/>
  <c r="L861" i="1"/>
  <c r="L864" i="1"/>
  <c r="L1015" i="1"/>
  <c r="L595" i="1"/>
  <c r="L1942" i="1"/>
  <c r="L713" i="1"/>
  <c r="L1338" i="1"/>
  <c r="L1039" i="1"/>
  <c r="L1438" i="1"/>
  <c r="L1516" i="1"/>
  <c r="L1737" i="1"/>
  <c r="L1420" i="1"/>
  <c r="L1262" i="1"/>
  <c r="L640" i="1"/>
  <c r="L513" i="1"/>
  <c r="L934" i="1"/>
  <c r="L821" i="1"/>
  <c r="L844" i="1"/>
  <c r="L975" i="1"/>
  <c r="L400" i="1"/>
  <c r="L1537" i="1"/>
  <c r="L1635" i="1"/>
  <c r="L1369" i="1"/>
  <c r="L1602" i="1"/>
  <c r="L1060" i="1"/>
  <c r="L1070" i="1"/>
  <c r="L1589" i="1"/>
  <c r="L988" i="1"/>
  <c r="L1042" i="1"/>
  <c r="L929" i="1"/>
  <c r="L1126" i="1"/>
  <c r="L1120" i="1"/>
  <c r="L680" i="1"/>
  <c r="L209" i="1"/>
  <c r="L2967" i="1"/>
  <c r="L2930" i="1"/>
  <c r="L1837" i="1"/>
  <c r="L2227" i="1"/>
  <c r="L2624" i="1"/>
  <c r="L3106" i="1"/>
  <c r="L2807" i="1"/>
  <c r="L3026" i="1"/>
  <c r="L3442" i="1"/>
  <c r="L2901" i="1"/>
  <c r="L2278" i="1"/>
  <c r="L3242" i="1"/>
  <c r="L2900" i="1"/>
  <c r="L945" i="1"/>
  <c r="L2097" i="1"/>
  <c r="L2723" i="1"/>
  <c r="L1932" i="1"/>
  <c r="L3091" i="1"/>
  <c r="L2209" i="1"/>
  <c r="L2626" i="1"/>
  <c r="L2353" i="1"/>
  <c r="L1151" i="1"/>
  <c r="L1853" i="1"/>
  <c r="L2521" i="1"/>
  <c r="L2217" i="1"/>
  <c r="L1728" i="1"/>
  <c r="L2683" i="1"/>
  <c r="L3064" i="1"/>
  <c r="L2606" i="1"/>
  <c r="L734" i="1"/>
  <c r="L2693" i="1"/>
  <c r="L1872" i="1"/>
  <c r="L1995" i="1"/>
  <c r="L3471" i="1"/>
  <c r="L1838" i="1"/>
  <c r="L3239" i="1"/>
  <c r="L3312" i="1"/>
  <c r="L3276" i="1"/>
  <c r="L3262" i="1"/>
  <c r="L3045" i="1"/>
  <c r="L2902" i="1"/>
  <c r="L1624" i="1"/>
  <c r="L1940" i="1"/>
  <c r="L3324" i="1"/>
  <c r="L2720" i="1"/>
  <c r="L2664" i="1"/>
  <c r="L2732" i="1"/>
  <c r="L3167" i="1"/>
  <c r="L2987" i="1"/>
  <c r="L424" i="1"/>
  <c r="L920" i="1"/>
  <c r="L2761" i="1"/>
  <c r="L2008" i="1"/>
  <c r="L1290" i="1"/>
  <c r="L1644" i="1"/>
  <c r="L3255" i="1"/>
  <c r="L2523" i="1"/>
  <c r="L3072" i="1"/>
  <c r="L2958" i="1"/>
  <c r="L1623" i="1"/>
  <c r="L2526" i="1"/>
  <c r="L2070" i="1"/>
  <c r="L2234" i="1"/>
  <c r="L3187" i="1"/>
  <c r="L2698" i="1"/>
  <c r="L1889" i="1"/>
  <c r="L1312" i="1"/>
  <c r="L2657" i="1"/>
  <c r="L2401" i="1"/>
  <c r="L1514" i="1"/>
  <c r="L2057" i="1"/>
  <c r="L1959" i="1"/>
  <c r="L984" i="1"/>
  <c r="L1076" i="1"/>
  <c r="L3250" i="1"/>
  <c r="L691" i="1"/>
  <c r="L1977" i="1"/>
  <c r="L866" i="1"/>
  <c r="L2366" i="1"/>
  <c r="L2029" i="1"/>
  <c r="L561" i="1"/>
  <c r="L2014" i="1"/>
  <c r="L1317" i="1"/>
  <c r="L1563" i="1"/>
  <c r="L1256" i="1"/>
  <c r="L1566" i="1"/>
  <c r="L858" i="1"/>
  <c r="L912" i="1"/>
  <c r="L1552" i="1"/>
  <c r="L694" i="1"/>
  <c r="L818" i="1"/>
  <c r="L1651" i="1"/>
  <c r="L1610" i="1"/>
  <c r="L1091" i="1"/>
  <c r="L1026" i="1"/>
  <c r="L954" i="1"/>
  <c r="L1152" i="1"/>
  <c r="L1307" i="1"/>
  <c r="L1764" i="1"/>
  <c r="L1654" i="1"/>
  <c r="L1247" i="1"/>
  <c r="L1292" i="1"/>
  <c r="L1084" i="1"/>
  <c r="L348" i="1"/>
  <c r="L679" i="1"/>
  <c r="L999" i="1"/>
  <c r="L581" i="1"/>
  <c r="L2479" i="1"/>
  <c r="L3095" i="1"/>
  <c r="L3047" i="1"/>
  <c r="L3474" i="1"/>
  <c r="L2396" i="1"/>
  <c r="L2943" i="1"/>
  <c r="L2183" i="1"/>
  <c r="L3345" i="1"/>
  <c r="L2659" i="1"/>
  <c r="L3048" i="1"/>
  <c r="L2594" i="1"/>
  <c r="L2371" i="1"/>
  <c r="L2873" i="1"/>
  <c r="L2617" i="1"/>
  <c r="L2329" i="1"/>
  <c r="L918" i="1"/>
  <c r="L1820" i="1"/>
  <c r="L1919" i="1"/>
  <c r="L1851" i="1"/>
  <c r="L2751" i="1"/>
  <c r="L3107" i="1"/>
  <c r="L2638" i="1"/>
  <c r="L1313" i="1"/>
  <c r="L2853" i="1"/>
  <c r="L2288" i="1"/>
  <c r="L1767" i="1"/>
  <c r="L1824" i="1"/>
  <c r="L3369" i="1"/>
  <c r="L2707" i="1"/>
  <c r="L1900" i="1"/>
  <c r="L3080" i="1"/>
  <c r="L2188" i="1"/>
  <c r="L2618" i="1"/>
  <c r="L2335" i="1"/>
  <c r="L1066" i="1"/>
  <c r="L1832" i="1"/>
  <c r="L2513" i="1"/>
  <c r="L2207" i="1"/>
  <c r="L1703" i="1"/>
  <c r="L3413" i="1"/>
  <c r="L2146" i="1"/>
  <c r="L2349" i="1"/>
  <c r="L2406" i="1"/>
  <c r="L2075" i="1"/>
  <c r="L2621" i="1"/>
  <c r="L1021" i="1"/>
  <c r="L1831" i="1"/>
  <c r="L1923" i="1"/>
  <c r="L1856" i="1"/>
  <c r="L1371" i="1"/>
  <c r="L1234" i="1"/>
  <c r="L1509" i="1"/>
  <c r="L1194" i="1"/>
  <c r="L1544" i="1"/>
  <c r="L794" i="1"/>
  <c r="L702" i="1"/>
  <c r="L1520" i="1"/>
  <c r="L1254" i="1"/>
  <c r="L464" i="1"/>
  <c r="L805" i="1"/>
  <c r="L634" i="1"/>
  <c r="L266" i="1"/>
  <c r="L1978" i="1"/>
  <c r="L1118" i="1"/>
  <c r="L1434" i="1"/>
  <c r="L1135" i="1"/>
  <c r="L1503" i="1"/>
  <c r="L606" i="1"/>
  <c r="L542" i="1"/>
  <c r="L1479" i="1"/>
  <c r="L321" i="1"/>
  <c r="L757" i="1"/>
  <c r="L774" i="1"/>
  <c r="L1030" i="1"/>
  <c r="L889" i="1"/>
  <c r="L373" i="1"/>
  <c r="L444" i="1"/>
  <c r="L659" i="1"/>
  <c r="L1958" i="1"/>
  <c r="L1008" i="1"/>
  <c r="L1380" i="1"/>
  <c r="L1082" i="1"/>
  <c r="L1462" i="1"/>
  <c r="L1548" i="1"/>
  <c r="L1753" i="1"/>
  <c r="L1442" i="1"/>
  <c r="L1278" i="1"/>
  <c r="L698" i="1"/>
  <c r="L652" i="1"/>
  <c r="L973" i="1"/>
  <c r="L853" i="1"/>
  <c r="L860" i="1"/>
  <c r="L1007" i="1"/>
  <c r="L579" i="1"/>
  <c r="L1251" i="1"/>
  <c r="L1518" i="1"/>
  <c r="L1203" i="1"/>
  <c r="L1166" i="1"/>
  <c r="L1605" i="1"/>
  <c r="L1063" i="1"/>
  <c r="L1147" i="1"/>
  <c r="L701" i="1"/>
  <c r="L967" i="1"/>
  <c r="L368" i="1"/>
  <c r="L469" i="1"/>
  <c r="L795" i="1"/>
  <c r="L377" i="1"/>
  <c r="L575" i="1"/>
  <c r="L483" i="1"/>
  <c r="L110" i="1"/>
  <c r="L2951" i="1"/>
  <c r="L2703" i="1"/>
  <c r="L2173" i="1"/>
  <c r="L2647" i="1"/>
  <c r="L3382" i="1"/>
  <c r="L2724" i="1"/>
  <c r="L1917" i="1"/>
  <c r="L3162" i="1"/>
  <c r="L2771" i="1"/>
  <c r="L2976" i="1"/>
  <c r="L1607" i="1"/>
  <c r="L3277" i="1"/>
  <c r="L2432" i="1"/>
  <c r="L2591" i="1"/>
  <c r="L3073" i="1"/>
  <c r="L3258" i="1"/>
  <c r="L3004" i="1"/>
  <c r="L3181" i="1"/>
  <c r="L3470" i="1"/>
  <c r="L3013" i="1"/>
  <c r="L2369" i="1"/>
  <c r="L3297" i="1"/>
  <c r="L2938" i="1"/>
  <c r="L1560" i="1"/>
  <c r="L2172" i="1"/>
  <c r="L3263" i="1"/>
  <c r="L3423" i="1"/>
  <c r="L3010" i="1"/>
  <c r="L3074" i="1"/>
  <c r="L2762" i="1"/>
  <c r="L2464" i="1"/>
  <c r="L1672" i="1"/>
  <c r="L2408" i="1"/>
  <c r="L3354" i="1"/>
  <c r="L2668" i="1"/>
  <c r="L1687" i="1"/>
  <c r="L3124" i="1"/>
  <c r="L2332" i="1"/>
  <c r="L2907" i="1"/>
  <c r="L1300" i="1"/>
  <c r="L1377" i="1"/>
  <c r="L2793" i="1"/>
  <c r="L2106" i="1"/>
  <c r="L1477" i="1"/>
  <c r="L1715" i="1"/>
  <c r="L2715" i="1"/>
  <c r="L3086" i="1"/>
  <c r="L2622" i="1"/>
  <c r="L1109" i="1"/>
  <c r="L1108" i="1"/>
  <c r="L919" i="1"/>
  <c r="L249" i="1"/>
  <c r="L1894" i="1"/>
  <c r="L1828" i="1"/>
  <c r="L905" i="1"/>
  <c r="L658" i="1"/>
  <c r="L1374" i="1"/>
  <c r="L1389" i="1"/>
  <c r="L1689" i="1"/>
  <c r="L1356" i="1"/>
  <c r="L1187" i="1"/>
  <c r="L1223" i="1"/>
  <c r="L1273" i="1"/>
  <c r="L686" i="1"/>
  <c r="L662" i="1"/>
  <c r="L796" i="1"/>
  <c r="L879" i="1"/>
  <c r="L487" i="1"/>
  <c r="L618" i="1"/>
  <c r="L1327" i="1"/>
  <c r="L1029" i="1"/>
  <c r="L1507" i="1"/>
  <c r="L1415" i="1"/>
  <c r="L626" i="1"/>
  <c r="L928" i="1"/>
  <c r="L840" i="1"/>
  <c r="L839" i="1"/>
  <c r="L565" i="1"/>
  <c r="L987" i="1"/>
  <c r="L660" i="1"/>
  <c r="L448" i="1"/>
  <c r="L392" i="1"/>
  <c r="L419" i="1"/>
  <c r="L514" i="1"/>
  <c r="L2488" i="1"/>
  <c r="L2174" i="1"/>
  <c r="L3475" i="1"/>
  <c r="L2131" i="1"/>
  <c r="L3318" i="1"/>
  <c r="L2596" i="1"/>
  <c r="L3257" i="1"/>
  <c r="L3076" i="1"/>
  <c r="L2200" i="1"/>
  <c r="L2836" i="1"/>
  <c r="L2310" i="1"/>
  <c r="L2392" i="1"/>
  <c r="L3375" i="1"/>
  <c r="L3436" i="1"/>
  <c r="L1640" i="1"/>
  <c r="L2863" i="1"/>
  <c r="L2504" i="1"/>
  <c r="L2782" i="1"/>
  <c r="L3406" i="1"/>
  <c r="L2791" i="1"/>
  <c r="L2013" i="1"/>
  <c r="L3194" i="1"/>
  <c r="L2835" i="1"/>
  <c r="L3078" i="1"/>
  <c r="L1793" i="1"/>
  <c r="L2399" i="1"/>
  <c r="L3408" i="1"/>
  <c r="L3416" i="1"/>
  <c r="L1469" i="1"/>
  <c r="L2236" i="1"/>
  <c r="L1301" i="1"/>
  <c r="L3419" i="1"/>
  <c r="L894" i="1"/>
  <c r="L3279" i="1"/>
  <c r="L2540" i="1"/>
  <c r="L3120" i="1"/>
  <c r="L3039" i="1"/>
  <c r="L2125" i="1"/>
  <c r="L2754" i="1"/>
  <c r="L2514" i="1"/>
  <c r="L2219" i="1"/>
  <c r="L2665" i="1"/>
  <c r="L1679" i="1"/>
  <c r="L1967" i="1"/>
  <c r="L1339" i="1"/>
  <c r="L2459" i="1"/>
  <c r="L2915" i="1"/>
  <c r="L2494" i="1"/>
  <c r="L2192" i="1"/>
  <c r="L2837" i="1"/>
  <c r="L2581" i="1"/>
  <c r="L2256" i="1"/>
  <c r="L2333" i="1"/>
  <c r="L1691" i="1"/>
  <c r="L1883" i="1"/>
  <c r="L1803" i="1"/>
  <c r="L2547" i="1"/>
  <c r="L2974" i="1"/>
  <c r="L2538" i="1"/>
  <c r="L2261" i="1"/>
  <c r="L2689" i="1"/>
  <c r="L1842" i="1"/>
  <c r="L1991" i="1"/>
  <c r="L1628" i="1"/>
  <c r="L1365" i="1"/>
  <c r="L2092" i="1"/>
  <c r="L2262" i="1"/>
  <c r="L1376" i="1"/>
  <c r="L2413" i="1"/>
  <c r="L2073" i="1"/>
  <c r="L1077" i="1"/>
  <c r="L1982" i="1"/>
  <c r="L1444" i="1"/>
  <c r="L1512" i="1"/>
  <c r="L577" i="1"/>
  <c r="L962" i="1"/>
  <c r="L1037" i="1"/>
  <c r="L922" i="1"/>
  <c r="L1121" i="1"/>
  <c r="L1104" i="1"/>
  <c r="L674" i="1"/>
  <c r="L528" i="1"/>
  <c r="L1898" i="1"/>
  <c r="L1732" i="1"/>
  <c r="L1490" i="1"/>
  <c r="L1642" i="1"/>
  <c r="L1294" i="1"/>
  <c r="L1193" i="1"/>
  <c r="L1629" i="1"/>
  <c r="L1220" i="1"/>
  <c r="L1095" i="1"/>
  <c r="L1036" i="1"/>
  <c r="L1186" i="1"/>
  <c r="L1222" i="1"/>
  <c r="L741" i="1"/>
  <c r="L636" i="1"/>
  <c r="L753" i="1"/>
  <c r="L906" i="1"/>
  <c r="L1695" i="1"/>
  <c r="L1675" i="1"/>
  <c r="L1449" i="1"/>
  <c r="L1622" i="1"/>
  <c r="L1175" i="1"/>
  <c r="L1123" i="1"/>
  <c r="L1609" i="1"/>
  <c r="L1112" i="1"/>
  <c r="L1069" i="1"/>
  <c r="L986" i="1"/>
  <c r="L1153" i="1"/>
  <c r="L1181" i="1"/>
  <c r="L706" i="1"/>
  <c r="L538" i="1"/>
  <c r="L628" i="1"/>
  <c r="L1922" i="1"/>
  <c r="L1865" i="1"/>
  <c r="L1215" i="1"/>
  <c r="L952" i="1"/>
  <c r="L1411" i="1"/>
  <c r="L1475" i="1"/>
  <c r="L1717" i="1"/>
  <c r="L1394" i="1"/>
  <c r="L1242" i="1"/>
  <c r="L552" i="1"/>
  <c r="L162" i="1"/>
  <c r="L877" i="1"/>
  <c r="L781" i="1"/>
  <c r="L824" i="1"/>
  <c r="L465" i="1"/>
  <c r="L2774" i="1"/>
  <c r="L3207" i="1"/>
  <c r="L2383" i="1"/>
  <c r="L2456" i="1"/>
  <c r="L2471" i="1"/>
  <c r="L2120" i="1"/>
  <c r="L3467" i="1"/>
  <c r="L2045" i="1"/>
  <c r="L3314" i="1"/>
  <c r="L2588" i="1"/>
  <c r="L3243" i="1"/>
  <c r="L3071" i="1"/>
  <c r="L2189" i="1"/>
  <c r="L2818" i="1"/>
  <c r="L3377" i="1"/>
  <c r="L2467" i="1"/>
  <c r="L3273" i="1"/>
  <c r="L2920" i="1"/>
  <c r="L1206" i="1"/>
  <c r="L2498" i="1"/>
  <c r="L2001" i="1"/>
  <c r="L2197" i="1"/>
  <c r="L2777" i="1"/>
  <c r="L2042" i="1"/>
  <c r="L1375" i="1"/>
  <c r="L1676" i="1"/>
  <c r="L1826" i="1"/>
  <c r="L2156" i="1"/>
  <c r="L2312" i="1"/>
  <c r="L1533" i="1"/>
  <c r="L2437" i="1"/>
  <c r="L2105" i="1"/>
  <c r="L2517" i="1"/>
  <c r="L2031" i="1"/>
  <c r="L2212" i="1"/>
  <c r="L1354" i="1"/>
  <c r="L1722" i="1"/>
  <c r="L1668" i="1"/>
  <c r="L2178" i="1"/>
  <c r="L2386" i="1"/>
  <c r="L2410" i="1"/>
  <c r="L2080" i="1"/>
  <c r="L2561" i="1"/>
  <c r="L2292" i="1"/>
  <c r="L1862" i="1"/>
  <c r="L1435" i="1"/>
  <c r="L3203" i="1"/>
  <c r="L2710" i="1"/>
  <c r="L1913" i="1"/>
  <c r="L2797" i="1"/>
  <c r="L2122" i="1"/>
  <c r="L1495" i="1"/>
  <c r="L1734" i="1"/>
  <c r="L1818" i="1"/>
  <c r="L1531" i="1"/>
  <c r="L1320" i="1"/>
  <c r="L1649" i="1"/>
  <c r="L449" i="1"/>
  <c r="L766" i="1"/>
  <c r="L782" i="1"/>
  <c r="L1035" i="1"/>
  <c r="L908" i="1"/>
  <c r="L389" i="1"/>
  <c r="L927" i="1"/>
  <c r="L1413" i="1"/>
  <c r="L1587" i="1"/>
  <c r="L1280" i="1"/>
  <c r="L1578" i="1"/>
  <c r="L913" i="1"/>
  <c r="L976" i="1"/>
  <c r="L1565" i="1"/>
  <c r="L857" i="1"/>
  <c r="L981" i="1"/>
  <c r="L870" i="1"/>
  <c r="L1094" i="1"/>
  <c r="L1017" i="1"/>
  <c r="L617" i="1"/>
  <c r="L726" i="1"/>
  <c r="L429" i="1"/>
  <c r="L2006" i="1"/>
  <c r="L1267" i="1"/>
  <c r="L1527" i="1"/>
  <c r="L1240" i="1"/>
  <c r="L1558" i="1"/>
  <c r="L826" i="1"/>
  <c r="L742" i="1"/>
  <c r="L1534" i="1"/>
  <c r="L777" i="1"/>
  <c r="L936" i="1"/>
  <c r="L830" i="1"/>
  <c r="L1067" i="1"/>
  <c r="L972" i="1"/>
  <c r="L566" i="1"/>
  <c r="L673" i="1"/>
  <c r="L473" i="1"/>
  <c r="L1834" i="1"/>
  <c r="L1780" i="1"/>
  <c r="L1540" i="1"/>
  <c r="L1666" i="1"/>
  <c r="L1326" i="1"/>
  <c r="L1271" i="1"/>
  <c r="L1653" i="1"/>
  <c r="L1308" i="1"/>
  <c r="L1127" i="1"/>
  <c r="L1132" i="1"/>
  <c r="L1232" i="1"/>
  <c r="L437" i="1"/>
  <c r="L161" i="1"/>
  <c r="L736" i="1"/>
  <c r="L763" i="1"/>
  <c r="L3479" i="1"/>
  <c r="L2956" i="1"/>
  <c r="L3057" i="1"/>
  <c r="L3348" i="1"/>
  <c r="L1698" i="1"/>
  <c r="L3244" i="1"/>
  <c r="L3339" i="1"/>
  <c r="L3062" i="1"/>
  <c r="L3157" i="1"/>
  <c r="L2460" i="1"/>
  <c r="L3003" i="1"/>
  <c r="L2986" i="1"/>
  <c r="L1848" i="1"/>
  <c r="L2290" i="1"/>
  <c r="L3161" i="1"/>
  <c r="L2295" i="1"/>
  <c r="L3176" i="1"/>
  <c r="L2795" i="1"/>
  <c r="L2690" i="1"/>
  <c r="L2434" i="1"/>
  <c r="L1873" i="1"/>
  <c r="L2112" i="1"/>
  <c r="L2649" i="1"/>
  <c r="L1397" i="1"/>
  <c r="L1951" i="1"/>
  <c r="L752" i="1"/>
  <c r="L3235" i="1"/>
  <c r="L2734" i="1"/>
  <c r="L1961" i="1"/>
  <c r="L2821" i="1"/>
  <c r="L2218" i="1"/>
  <c r="L1631" i="1"/>
  <c r="L1781" i="1"/>
  <c r="L3337" i="1"/>
  <c r="L2643" i="1"/>
  <c r="L1450" i="1"/>
  <c r="L3038" i="1"/>
  <c r="L2103" i="1"/>
  <c r="L2586" i="1"/>
  <c r="L2271" i="1"/>
  <c r="L2357" i="1"/>
  <c r="L1731" i="1"/>
  <c r="L2481" i="1"/>
  <c r="L2164" i="1"/>
  <c r="L1483" i="1"/>
  <c r="L3445" i="1"/>
  <c r="L2921" i="1"/>
  <c r="L2304" i="1"/>
  <c r="L3182" i="1"/>
  <c r="L1446" i="1"/>
  <c r="L3246" i="1"/>
  <c r="L2515" i="1"/>
  <c r="L3040" i="1"/>
  <c r="L2952" i="1"/>
  <c r="L1591" i="1"/>
  <c r="L2522" i="1"/>
  <c r="L2054" i="1"/>
  <c r="L2229" i="1"/>
  <c r="L2865" i="1"/>
  <c r="L2311" i="1"/>
  <c r="L1799" i="1"/>
  <c r="L1840" i="1"/>
  <c r="L3381" i="1"/>
  <c r="L2731" i="1"/>
  <c r="L1948" i="1"/>
  <c r="L3096" i="1"/>
  <c r="L2220" i="1"/>
  <c r="L2630" i="1"/>
  <c r="L2358" i="1"/>
  <c r="L1226" i="1"/>
  <c r="L1864" i="1"/>
  <c r="L2781" i="1"/>
  <c r="L2525" i="1"/>
  <c r="L2058" i="1"/>
  <c r="L2223" i="1"/>
  <c r="L1396" i="1"/>
  <c r="L1735" i="1"/>
  <c r="L1683" i="1"/>
  <c r="L1759" i="1"/>
  <c r="L1499" i="1"/>
  <c r="L1299" i="1"/>
  <c r="L1633" i="1"/>
  <c r="L1286" i="1"/>
  <c r="L720" i="1"/>
  <c r="L719" i="1"/>
  <c r="L998" i="1"/>
  <c r="L869" i="1"/>
  <c r="L868" i="1"/>
  <c r="L493" i="1"/>
  <c r="L2010" i="1"/>
  <c r="L1283" i="1"/>
  <c r="L1536" i="1"/>
  <c r="L1248" i="1"/>
  <c r="L1562" i="1"/>
  <c r="L842" i="1"/>
  <c r="L886" i="1"/>
  <c r="L1543" i="1"/>
  <c r="L793" i="1"/>
  <c r="L942" i="1"/>
  <c r="L838" i="1"/>
  <c r="L1073" i="1"/>
  <c r="L978" i="1"/>
  <c r="L574" i="1"/>
  <c r="L684" i="1"/>
  <c r="L516" i="1"/>
  <c r="L1990" i="1"/>
  <c r="L1179" i="1"/>
  <c r="L1463" i="1"/>
  <c r="L1176" i="1"/>
  <c r="L1526" i="1"/>
  <c r="L761" i="1"/>
  <c r="L657" i="1"/>
  <c r="L1502" i="1"/>
  <c r="L605" i="1"/>
  <c r="L885" i="1"/>
  <c r="L798" i="1"/>
  <c r="L1046" i="1"/>
  <c r="L921" i="1"/>
  <c r="L420" i="1"/>
  <c r="L589" i="1"/>
  <c r="L138" i="1"/>
  <c r="L1075" i="1"/>
  <c r="L1114" i="1"/>
  <c r="L1390" i="1"/>
  <c r="L1437" i="1"/>
  <c r="L1701" i="1"/>
  <c r="L1372" i="1"/>
  <c r="L1210" i="1"/>
  <c r="L349" i="1"/>
  <c r="L1285" i="1"/>
  <c r="L718" i="1"/>
  <c r="L728" i="1"/>
  <c r="L808" i="1"/>
  <c r="L903" i="1"/>
  <c r="L121" i="1"/>
  <c r="L1003" i="1"/>
  <c r="L730" i="1"/>
  <c r="L511" i="1"/>
  <c r="L233" i="1"/>
  <c r="L402" i="1"/>
  <c r="L135" i="1"/>
  <c r="L531" i="1"/>
  <c r="L485" i="1"/>
  <c r="L447" i="1"/>
  <c r="L38" i="1"/>
  <c r="L229" i="1"/>
  <c r="L654" i="1"/>
  <c r="L1011" i="1"/>
  <c r="L744" i="1"/>
  <c r="L521" i="1"/>
  <c r="L460" i="1"/>
  <c r="L443" i="1"/>
  <c r="L30" i="1"/>
  <c r="L221" i="1"/>
  <c r="L86" i="1"/>
  <c r="L277" i="1"/>
  <c r="L23" i="1"/>
  <c r="L275" i="1"/>
  <c r="L184" i="1"/>
  <c r="L15" i="1"/>
  <c r="L164" i="1"/>
  <c r="L251" i="1"/>
  <c r="L301" i="1"/>
  <c r="L71" i="1"/>
  <c r="L421" i="1"/>
  <c r="L6" i="1"/>
  <c r="L32" i="1"/>
  <c r="L2645" i="1"/>
  <c r="L2384" i="1"/>
  <c r="L1333" i="1"/>
  <c r="L2041" i="1"/>
  <c r="L1947" i="1"/>
  <c r="L714" i="1"/>
  <c r="L2822" i="1"/>
  <c r="L3144" i="1"/>
  <c r="L2666" i="1"/>
  <c r="L1706" i="1"/>
  <c r="L2817" i="1"/>
  <c r="L2202" i="1"/>
  <c r="L1615" i="1"/>
  <c r="L1776" i="1"/>
  <c r="L2368" i="1"/>
  <c r="L2852" i="1"/>
  <c r="L2454" i="1"/>
  <c r="L2139" i="1"/>
  <c r="L2541" i="1"/>
  <c r="L2251" i="1"/>
  <c r="L1782" i="1"/>
  <c r="L1328" i="1"/>
  <c r="L1775" i="1"/>
  <c r="L1662" i="1"/>
  <c r="L1263" i="1"/>
  <c r="L1303" i="1"/>
  <c r="L1122" i="1"/>
  <c r="L1116" i="1"/>
  <c r="L1227" i="1"/>
  <c r="L412" i="1"/>
  <c r="L97" i="1"/>
  <c r="L727" i="1"/>
  <c r="L2026" i="1"/>
  <c r="L1833" i="1"/>
  <c r="L930" i="1"/>
  <c r="L682" i="1"/>
  <c r="L1379" i="1"/>
  <c r="L1405" i="1"/>
  <c r="L1693" i="1"/>
  <c r="L1362" i="1"/>
  <c r="L1192" i="1"/>
  <c r="L1228" i="1"/>
  <c r="L1277" i="1"/>
  <c r="L697" i="1"/>
  <c r="L675" i="1"/>
  <c r="L800" i="1"/>
  <c r="L887" i="1"/>
  <c r="L503" i="1"/>
  <c r="L1878" i="1"/>
  <c r="L1807" i="1"/>
  <c r="L751" i="1"/>
  <c r="L543" i="1"/>
  <c r="L1352" i="1"/>
  <c r="L1325" i="1"/>
  <c r="L1673" i="1"/>
  <c r="L1335" i="1"/>
  <c r="L1154" i="1"/>
  <c r="L1191" i="1"/>
  <c r="L1257" i="1"/>
  <c r="L625" i="1"/>
  <c r="L532" i="1"/>
  <c r="L780" i="1"/>
  <c r="L847" i="1"/>
  <c r="L1986" i="1"/>
  <c r="L1161" i="1"/>
  <c r="L1454" i="1"/>
  <c r="L1157" i="1"/>
  <c r="L1517" i="1"/>
  <c r="L743" i="1"/>
  <c r="L632" i="1"/>
  <c r="L1493" i="1"/>
  <c r="L541" i="1"/>
  <c r="L878" i="1"/>
  <c r="L790" i="1"/>
  <c r="L1041" i="1"/>
  <c r="L914" i="1"/>
  <c r="L405" i="1"/>
  <c r="L74" i="1"/>
  <c r="L3452" i="1"/>
  <c r="L1724" i="1"/>
  <c r="L3217" i="1"/>
  <c r="L3299" i="1"/>
  <c r="L2908" i="1"/>
  <c r="L2656" i="1"/>
  <c r="L2142" i="1"/>
  <c r="L2600" i="1"/>
  <c r="L3378" i="1"/>
  <c r="L2716" i="1"/>
  <c r="L1901" i="1"/>
  <c r="L3156" i="1"/>
  <c r="L2764" i="1"/>
  <c r="L2966" i="1"/>
  <c r="L1575" i="1"/>
  <c r="L2595" i="1"/>
  <c r="L692" i="1"/>
  <c r="L3006" i="1"/>
  <c r="L2039" i="1"/>
  <c r="L2562" i="1"/>
  <c r="L2214" i="1"/>
  <c r="L2307" i="1"/>
  <c r="L1189" i="1"/>
  <c r="L2393" i="1"/>
  <c r="L2047" i="1"/>
  <c r="L933" i="1"/>
  <c r="L2427" i="1"/>
  <c r="L2894" i="1"/>
  <c r="L2478" i="1"/>
  <c r="L2171" i="1"/>
  <c r="L2565" i="1"/>
  <c r="L2301" i="1"/>
  <c r="L1867" i="1"/>
  <c r="L3465" i="1"/>
  <c r="L3001" i="1"/>
  <c r="L2377" i="1"/>
  <c r="L3208" i="1"/>
  <c r="L2859" i="1"/>
  <c r="L2714" i="1"/>
  <c r="L2458" i="1"/>
  <c r="L1921" i="1"/>
  <c r="L2144" i="1"/>
  <c r="L2737" i="1"/>
  <c r="L1960" i="1"/>
  <c r="L801" i="1"/>
  <c r="L1596" i="1"/>
  <c r="L3317" i="1"/>
  <c r="L2603" i="1"/>
  <c r="L944" i="1"/>
  <c r="L3011" i="1"/>
  <c r="L2049" i="1"/>
  <c r="L2566" i="1"/>
  <c r="L2230" i="1"/>
  <c r="L2316" i="1"/>
  <c r="L1632" i="1"/>
  <c r="L2717" i="1"/>
  <c r="L2461" i="1"/>
  <c r="L1920" i="1"/>
  <c r="L2137" i="1"/>
  <c r="L2019" i="1"/>
  <c r="L1361" i="1"/>
  <c r="L1528" i="1"/>
  <c r="L1054" i="1"/>
  <c r="L1103" i="1"/>
  <c r="L66" i="1"/>
  <c r="L1456" i="1"/>
  <c r="L1201" i="1"/>
  <c r="L1237" i="1"/>
  <c r="L1281" i="1"/>
  <c r="L708" i="1"/>
  <c r="L707" i="1"/>
  <c r="L804" i="1"/>
  <c r="L611" i="1"/>
  <c r="L1946" i="1"/>
  <c r="L880" i="1"/>
  <c r="L1348" i="1"/>
  <c r="L1050" i="1"/>
  <c r="L1443" i="1"/>
  <c r="L1521" i="1"/>
  <c r="L1741" i="1"/>
  <c r="L1426" i="1"/>
  <c r="L1266" i="1"/>
  <c r="L665" i="1"/>
  <c r="L533" i="1"/>
  <c r="L941" i="1"/>
  <c r="L829" i="1"/>
  <c r="L848" i="1"/>
  <c r="L983" i="1"/>
  <c r="L453" i="1"/>
  <c r="L1926" i="1"/>
  <c r="L364" i="1"/>
  <c r="L1295" i="1"/>
  <c r="L965" i="1"/>
  <c r="L1416" i="1"/>
  <c r="L1484" i="1"/>
  <c r="L1721" i="1"/>
  <c r="L1399" i="1"/>
  <c r="L1246" i="1"/>
  <c r="L570" i="1"/>
  <c r="L226" i="1"/>
  <c r="L896" i="1"/>
  <c r="L1235" i="1"/>
  <c r="L3401" i="1"/>
  <c r="L2783" i="1"/>
  <c r="L2050" i="1"/>
  <c r="L3123" i="1"/>
  <c r="L2322" i="1"/>
  <c r="L2650" i="1"/>
  <c r="L2394" i="1"/>
  <c r="L1460" i="1"/>
  <c r="L2059" i="1"/>
  <c r="L2609" i="1"/>
  <c r="L2388" i="1"/>
  <c r="L1911" i="1"/>
  <c r="L1392" i="1"/>
  <c r="L3177" i="1"/>
  <c r="L2475" i="1"/>
  <c r="L3282" i="1"/>
  <c r="L2926" i="1"/>
  <c r="L1322" i="1"/>
  <c r="L2502" i="1"/>
  <c r="L2009" i="1"/>
  <c r="L2203" i="1"/>
  <c r="L1291" i="1"/>
  <c r="L2653" i="1"/>
  <c r="L2397" i="1"/>
  <c r="L1459" i="1"/>
  <c r="L2052" i="1"/>
  <c r="L1955" i="1"/>
  <c r="L958" i="1"/>
  <c r="L1198" i="1"/>
  <c r="L1739" i="1"/>
  <c r="L1646" i="1"/>
  <c r="L1202" i="1"/>
  <c r="L1229" i="1"/>
  <c r="L1101" i="1"/>
  <c r="L1052" i="1"/>
  <c r="L1195" i="1"/>
  <c r="L1231" i="1"/>
  <c r="L750" i="1"/>
  <c r="L661" i="1"/>
  <c r="L57" i="1"/>
  <c r="L1882" i="1"/>
  <c r="L1812" i="1"/>
  <c r="L785" i="1"/>
  <c r="L578" i="1"/>
  <c r="L1358" i="1"/>
  <c r="L1341" i="1"/>
  <c r="L1677" i="1"/>
  <c r="L1340" i="1"/>
  <c r="L1159" i="1"/>
  <c r="L1196" i="1"/>
  <c r="L1261" i="1"/>
  <c r="L650" i="1"/>
  <c r="L598" i="1"/>
  <c r="L784" i="1"/>
  <c r="L855" i="1"/>
  <c r="L1350" i="1"/>
  <c r="L1850" i="1"/>
  <c r="L1785" i="1"/>
  <c r="L1545" i="1"/>
  <c r="L1670" i="1"/>
  <c r="L1331" i="1"/>
  <c r="L1279" i="1"/>
  <c r="L1657" i="1"/>
  <c r="L1314" i="1"/>
  <c r="L1133" i="1"/>
  <c r="L1148" i="1"/>
  <c r="L1241" i="1"/>
  <c r="L2802" i="1"/>
  <c r="L2694" i="1"/>
  <c r="L2438" i="1"/>
  <c r="L1881" i="1"/>
  <c r="L2117" i="1"/>
  <c r="L2845" i="1"/>
  <c r="L2589" i="1"/>
  <c r="L2270" i="1"/>
  <c r="L2347" i="1"/>
  <c r="L1742" i="1"/>
  <c r="L1891" i="1"/>
  <c r="L1813" i="1"/>
  <c r="L1966" i="1"/>
  <c r="L1402" i="1"/>
  <c r="L1480" i="1"/>
  <c r="L1761" i="1"/>
  <c r="L873" i="1"/>
  <c r="L1000" i="1"/>
  <c r="L884" i="1"/>
  <c r="L1099" i="1"/>
  <c r="L1040" i="1"/>
  <c r="L624" i="1"/>
  <c r="L740" i="1"/>
  <c r="L932" i="1"/>
  <c r="L1714" i="1"/>
  <c r="L1694" i="1"/>
  <c r="L1458" i="1"/>
  <c r="L1626" i="1"/>
  <c r="L1212" i="1"/>
  <c r="L1134" i="1"/>
  <c r="L1613" i="1"/>
  <c r="L1144" i="1"/>
  <c r="L1074" i="1"/>
  <c r="L993" i="1"/>
  <c r="L1158" i="1"/>
  <c r="L1190" i="1"/>
  <c r="L712" i="1"/>
  <c r="L556" i="1"/>
  <c r="L653" i="1"/>
  <c r="L786" i="1"/>
  <c r="L1546" i="1"/>
  <c r="L1643" i="1"/>
  <c r="L1385" i="1"/>
  <c r="L1606" i="1"/>
  <c r="L1092" i="1"/>
  <c r="L1081" i="1"/>
  <c r="L1593" i="1"/>
  <c r="L1001" i="1"/>
  <c r="L1047" i="1"/>
  <c r="L948" i="1"/>
  <c r="L1131" i="1"/>
  <c r="L995" i="1"/>
  <c r="L480" i="1"/>
  <c r="L427" i="1"/>
  <c r="L189" i="1"/>
  <c r="L391" i="1"/>
  <c r="L85" i="1"/>
  <c r="L300" i="1"/>
  <c r="L44" i="1"/>
  <c r="L131" i="1"/>
  <c r="L296" i="1"/>
  <c r="L40" i="1"/>
  <c r="L127" i="1"/>
  <c r="L276" i="1"/>
  <c r="L20" i="1"/>
  <c r="L107" i="1"/>
  <c r="L779" i="1"/>
  <c r="L623" i="1"/>
  <c r="L105" i="1"/>
  <c r="L206" i="1"/>
  <c r="L370" i="1"/>
  <c r="L263" i="1"/>
  <c r="L369" i="1"/>
  <c r="L571" i="1"/>
  <c r="L479" i="1"/>
  <c r="L102" i="1"/>
  <c r="L293" i="1"/>
  <c r="L55" i="1"/>
  <c r="L678" i="1"/>
  <c r="L851" i="1"/>
  <c r="L550" i="1"/>
  <c r="L631" i="1"/>
  <c r="L137" i="1"/>
  <c r="L222" i="1"/>
  <c r="L378" i="1"/>
  <c r="L375" i="1"/>
  <c r="L470" i="1"/>
  <c r="L320" i="1"/>
  <c r="L284" i="1"/>
  <c r="L28" i="1"/>
  <c r="L115" i="1"/>
  <c r="L280" i="1"/>
  <c r="L24" i="1"/>
  <c r="L111" i="1"/>
  <c r="L260" i="1"/>
  <c r="L4" i="1"/>
  <c r="L91" i="1"/>
  <c r="L891" i="1"/>
  <c r="L49" i="1"/>
  <c r="L671" i="1"/>
  <c r="L297" i="1"/>
  <c r="L302" i="1"/>
  <c r="L418" i="1"/>
  <c r="L112" i="1"/>
  <c r="L563" i="1"/>
  <c r="L544" i="1"/>
  <c r="L463" i="1"/>
  <c r="L70" i="1"/>
  <c r="L261" i="1"/>
  <c r="L695" i="1"/>
  <c r="L1027" i="1"/>
  <c r="L771" i="1"/>
  <c r="L554" i="1"/>
  <c r="L535" i="1"/>
  <c r="L459" i="1"/>
  <c r="L62" i="1"/>
  <c r="L253" i="1"/>
  <c r="L423" i="1"/>
  <c r="L518" i="1"/>
  <c r="L181" i="1"/>
  <c r="L109" i="1"/>
  <c r="L140" i="1"/>
  <c r="L227" i="1"/>
  <c r="L101" i="1"/>
  <c r="L136" i="1"/>
  <c r="L223" i="1"/>
  <c r="L308" i="1"/>
  <c r="L139" i="1"/>
  <c r="L789" i="1"/>
  <c r="L828" i="1"/>
  <c r="L943" i="1"/>
  <c r="L509" i="1"/>
  <c r="L1758" i="1"/>
  <c r="L1650" i="1"/>
  <c r="L1304" i="1"/>
  <c r="L1211" i="1"/>
  <c r="L1637" i="1"/>
  <c r="L1238" i="1"/>
  <c r="L1106" i="1"/>
  <c r="L1068" i="1"/>
  <c r="L1200" i="1"/>
  <c r="L1236" i="1"/>
  <c r="L755" i="1"/>
  <c r="L668" i="1"/>
  <c r="L775" i="1"/>
  <c r="L432" i="1"/>
  <c r="L939" i="1"/>
  <c r="L481" i="1"/>
  <c r="L186" i="1"/>
  <c r="L435" i="1"/>
  <c r="L205" i="1"/>
  <c r="L546" i="1"/>
  <c r="L234" i="1"/>
  <c r="L548" i="1"/>
  <c r="L383" i="1"/>
  <c r="L478" i="1"/>
  <c r="L21" i="1"/>
  <c r="L306" i="1"/>
  <c r="L947" i="1"/>
  <c r="L517" i="1"/>
  <c r="L218" i="1"/>
  <c r="L539" i="1"/>
  <c r="L379" i="1"/>
  <c r="L474" i="1"/>
  <c r="L407" i="1"/>
  <c r="L502" i="1"/>
  <c r="L149" i="1"/>
  <c r="L316" i="1"/>
  <c r="L147" i="1"/>
  <c r="L56" i="1"/>
  <c r="L29" i="1"/>
  <c r="L100" i="1"/>
  <c r="L187" i="1"/>
  <c r="L173" i="1"/>
  <c r="L580" i="1"/>
  <c r="L217" i="1"/>
  <c r="L398" i="1"/>
  <c r="L119" i="1"/>
  <c r="L867" i="1"/>
  <c r="L647" i="1"/>
  <c r="L254" i="1"/>
  <c r="L272" i="1"/>
  <c r="L182" i="1"/>
  <c r="L128" i="1"/>
  <c r="L236" i="1"/>
  <c r="L323" i="1"/>
  <c r="L67" i="1"/>
  <c r="L232" i="1"/>
  <c r="L319" i="1"/>
  <c r="L63" i="1"/>
  <c r="L212" i="1"/>
  <c r="L299" i="1"/>
  <c r="L43" i="1"/>
  <c r="L177" i="1"/>
  <c r="L553" i="1"/>
  <c r="L467" i="1"/>
  <c r="L78" i="1"/>
  <c r="L269" i="1"/>
  <c r="L7" i="1"/>
  <c r="L441" i="1"/>
  <c r="L384" i="1"/>
  <c r="L415" i="1"/>
  <c r="L510" i="1"/>
  <c r="L165" i="1"/>
  <c r="L745" i="1"/>
  <c r="L404" i="1"/>
  <c r="L787" i="1"/>
  <c r="L361" i="1"/>
  <c r="L567" i="1"/>
  <c r="L475" i="1"/>
  <c r="L94" i="1"/>
  <c r="L285" i="1"/>
  <c r="L278" i="1"/>
  <c r="L406" i="1"/>
  <c r="L64" i="1"/>
  <c r="L220" i="1"/>
  <c r="L307" i="1"/>
  <c r="L51" i="1"/>
  <c r="L216" i="1"/>
  <c r="L303" i="1"/>
  <c r="L47" i="1"/>
  <c r="L196" i="1"/>
  <c r="L283" i="1"/>
  <c r="L27" i="1"/>
  <c r="L827" i="1"/>
  <c r="L468" i="1"/>
  <c r="L607" i="1"/>
  <c r="L41" i="1"/>
  <c r="L174" i="1"/>
  <c r="L354" i="1"/>
  <c r="L199" i="1"/>
  <c r="L298" i="1"/>
  <c r="L352" i="1"/>
  <c r="L399" i="1"/>
  <c r="L494" i="1"/>
  <c r="L125" i="1"/>
  <c r="L496" i="1"/>
  <c r="L963" i="1"/>
  <c r="L596" i="1"/>
  <c r="L282" i="1"/>
  <c r="L344" i="1"/>
  <c r="L395" i="1"/>
  <c r="L490" i="1"/>
  <c r="L117" i="1"/>
  <c r="L359" i="1"/>
  <c r="L454" i="1"/>
  <c r="L256" i="1"/>
  <c r="L332" i="1"/>
  <c r="L76" i="1"/>
  <c r="L163" i="1"/>
  <c r="L328" i="1"/>
  <c r="L72" i="1"/>
  <c r="L159" i="1"/>
  <c r="L180" i="1"/>
  <c r="L11" i="1"/>
  <c r="L551" i="1"/>
  <c r="L225" i="1"/>
  <c r="L754" i="1"/>
  <c r="L815" i="1"/>
  <c r="L1970" i="1"/>
  <c r="L1412" i="1"/>
  <c r="L1586" i="1"/>
  <c r="L964" i="1"/>
  <c r="L1014" i="1"/>
  <c r="L1573" i="1"/>
  <c r="L898" i="1"/>
  <c r="L1006" i="1"/>
  <c r="L890" i="1"/>
  <c r="L1105" i="1"/>
  <c r="L1056" i="1"/>
  <c r="L642" i="1"/>
  <c r="L758" i="1"/>
  <c r="L545" i="1"/>
  <c r="L731" i="1"/>
  <c r="L875" i="1"/>
  <c r="L584" i="1"/>
  <c r="L655" i="1"/>
  <c r="L270" i="1"/>
  <c r="L304" i="1"/>
  <c r="L17" i="1"/>
  <c r="L667" i="1"/>
  <c r="L281" i="1"/>
  <c r="L294" i="1"/>
  <c r="L414" i="1"/>
  <c r="L96" i="1"/>
  <c r="L721" i="1"/>
  <c r="L883" i="1"/>
  <c r="L592" i="1"/>
  <c r="L663" i="1"/>
  <c r="L265" i="1"/>
  <c r="L286" i="1"/>
  <c r="L410" i="1"/>
  <c r="L342" i="1"/>
  <c r="L438" i="1"/>
  <c r="L192" i="1"/>
  <c r="L188" i="1"/>
  <c r="L19" i="1"/>
  <c r="L271" i="1"/>
  <c r="L292" i="1"/>
  <c r="L36" i="1"/>
  <c r="L123" i="1"/>
  <c r="L240" i="1"/>
  <c r="L505" i="1"/>
  <c r="L431" i="1"/>
  <c r="L197" i="1"/>
  <c r="L604" i="1"/>
  <c r="L699" i="1"/>
  <c r="L408" i="1"/>
  <c r="L522" i="1"/>
  <c r="L16" i="1"/>
  <c r="L486" i="1"/>
  <c r="L215" i="1"/>
  <c r="L172" i="1"/>
  <c r="L259" i="1"/>
  <c r="L3" i="1"/>
  <c r="L168" i="1"/>
  <c r="L255" i="1"/>
  <c r="L3484" i="1"/>
  <c r="L148" i="1"/>
  <c r="L235" i="1"/>
  <c r="L372" i="1"/>
  <c r="L345" i="1"/>
  <c r="L360" i="1"/>
  <c r="L403" i="1"/>
  <c r="L498" i="1"/>
  <c r="L141" i="1"/>
  <c r="L273" i="1"/>
  <c r="L106" i="1"/>
  <c r="L497" i="1"/>
  <c r="L351" i="1"/>
  <c r="L446" i="1"/>
  <c r="L224" i="1"/>
  <c r="L547" i="1"/>
  <c r="L979" i="1"/>
  <c r="L646" i="1"/>
  <c r="L416" i="1"/>
  <c r="L376" i="1"/>
  <c r="L411" i="1"/>
  <c r="L506" i="1"/>
  <c r="L157" i="1"/>
  <c r="L150" i="1"/>
  <c r="L341" i="1"/>
  <c r="L151" i="1"/>
  <c r="L156" i="1"/>
  <c r="L243" i="1"/>
  <c r="L133" i="1"/>
  <c r="L152" i="1"/>
  <c r="L239" i="1"/>
  <c r="L93" i="1"/>
  <c r="L132" i="1"/>
  <c r="L219" i="1"/>
  <c r="L1019" i="1"/>
  <c r="L762" i="1"/>
  <c r="L540" i="1"/>
  <c r="L492" i="1"/>
  <c r="L451" i="1"/>
  <c r="L46" i="1"/>
  <c r="L237" i="1"/>
  <c r="L145" i="1"/>
  <c r="L42" i="1"/>
  <c r="L433" i="1"/>
  <c r="L326" i="1"/>
  <c r="L430" i="1"/>
  <c r="L160" i="1"/>
  <c r="L749" i="1"/>
  <c r="L899" i="1"/>
  <c r="L113" i="1"/>
  <c r="L26" i="1"/>
  <c r="L329" i="1"/>
  <c r="L318" i="1"/>
  <c r="L426" i="1"/>
  <c r="L144" i="1"/>
  <c r="L246" i="1"/>
  <c r="L390" i="1"/>
  <c r="L343" i="1"/>
  <c r="L268" i="1"/>
  <c r="L12" i="1"/>
  <c r="L99" i="1"/>
  <c r="L264" i="1"/>
  <c r="L8" i="1"/>
  <c r="L95" i="1"/>
  <c r="L52" i="1"/>
  <c r="L1136" i="1"/>
  <c r="L685" i="1"/>
  <c r="L274" i="1"/>
  <c r="L337" i="1"/>
  <c r="L1770" i="1"/>
  <c r="L1508" i="1"/>
  <c r="L1485" i="1"/>
  <c r="L194" i="1"/>
  <c r="L396" i="1"/>
  <c r="L1461" i="1"/>
  <c r="L65" i="1"/>
  <c r="L739" i="1"/>
  <c r="L729" i="1"/>
  <c r="L1005" i="1"/>
  <c r="L876" i="1"/>
  <c r="L872" i="1"/>
  <c r="L356" i="1"/>
  <c r="L627" i="1"/>
  <c r="L616" i="1"/>
  <c r="L811" i="1"/>
  <c r="L409" i="1"/>
  <c r="L428" i="1"/>
  <c r="L14" i="1"/>
  <c r="L48" i="1"/>
  <c r="L461" i="1"/>
  <c r="L603" i="1"/>
  <c r="L25" i="1"/>
  <c r="L166" i="1"/>
  <c r="L350" i="1"/>
  <c r="L183" i="1"/>
  <c r="L602" i="1"/>
  <c r="L819" i="1"/>
  <c r="L436" i="1"/>
  <c r="L599" i="1"/>
  <c r="L158" i="1"/>
  <c r="L346" i="1"/>
  <c r="L214" i="1"/>
  <c r="L374" i="1"/>
  <c r="L279" i="1"/>
  <c r="L60" i="1"/>
  <c r="L312" i="1"/>
  <c r="L143" i="1"/>
  <c r="L228" i="1"/>
  <c r="L315" i="1"/>
  <c r="L59" i="1"/>
  <c r="L327" i="1"/>
  <c r="L651" i="1"/>
  <c r="L262" i="1"/>
  <c r="L288" i="1"/>
  <c r="L700" i="1"/>
  <c r="L576" i="1"/>
  <c r="L201" i="1"/>
  <c r="L394" i="1"/>
  <c r="L103" i="1"/>
  <c r="L358" i="1"/>
  <c r="L45" i="1"/>
  <c r="L108" i="1"/>
  <c r="L195" i="1"/>
  <c r="L37" i="1"/>
  <c r="L104" i="1"/>
  <c r="L191" i="1"/>
  <c r="L340" i="1"/>
  <c r="L84" i="1"/>
  <c r="L171" i="1"/>
  <c r="L907" i="1"/>
  <c r="L58" i="1"/>
  <c r="L440" i="1"/>
  <c r="L334" i="1"/>
  <c r="L434" i="1"/>
  <c r="L176" i="1"/>
  <c r="L559" i="1"/>
  <c r="L635" i="1"/>
  <c r="L153" i="1"/>
  <c r="L230" i="1"/>
  <c r="L382" i="1"/>
  <c r="L311" i="1"/>
  <c r="L50" i="1"/>
  <c r="L915" i="1"/>
  <c r="L241" i="1"/>
  <c r="L90" i="1"/>
  <c r="L472" i="1"/>
  <c r="L347" i="1"/>
  <c r="L442" i="1"/>
  <c r="L439" i="1"/>
  <c r="L22" i="1"/>
  <c r="L213" i="1"/>
  <c r="L13" i="1"/>
  <c r="L92" i="1"/>
  <c r="L179" i="1"/>
  <c r="L5" i="1"/>
  <c r="L88" i="1"/>
  <c r="L175" i="1"/>
  <c r="L324" i="1"/>
  <c r="L68" i="1"/>
  <c r="L155" i="1"/>
  <c r="L955" i="1"/>
  <c r="L555" i="1"/>
  <c r="L250" i="1"/>
  <c r="L557" i="1"/>
  <c r="L387" i="1"/>
  <c r="L482" i="1"/>
  <c r="L53" i="1"/>
  <c r="L527" i="1"/>
  <c r="L619" i="1"/>
  <c r="L89" i="1"/>
  <c r="L198" i="1"/>
  <c r="L366" i="1"/>
  <c r="L247" i="1"/>
  <c r="L641" i="1"/>
  <c r="L835" i="1"/>
  <c r="L500" i="1"/>
  <c r="L615" i="1"/>
  <c r="L73" i="1"/>
  <c r="L190" i="1"/>
  <c r="L362" i="1"/>
  <c r="L231" i="1"/>
  <c r="L118" i="1"/>
  <c r="L309" i="1"/>
  <c r="L87" i="1"/>
  <c r="L204" i="1"/>
  <c r="L291" i="1"/>
  <c r="L35" i="1"/>
  <c r="L200" i="1"/>
  <c r="L287" i="1"/>
  <c r="L31" i="1"/>
  <c r="L267" i="1"/>
  <c r="B17" i="4" a="1"/>
  <c r="B17" i="4" s="1"/>
  <c r="C17" i="4" s="1"/>
  <c r="B21" i="4" a="1"/>
  <c r="B21" i="4" s="1"/>
  <c r="C21" i="4" s="1"/>
  <c r="B18" i="4" a="1"/>
  <c r="B18" i="4" s="1"/>
  <c r="C18" i="4" s="1"/>
  <c r="B20" i="4" a="1"/>
  <c r="B20" i="4" s="1"/>
  <c r="C20" i="4" s="1"/>
  <c r="C252" i="3"/>
  <c r="B23" i="4" a="1"/>
  <c r="B23" i="4" s="1"/>
  <c r="C23" i="4" s="1"/>
  <c r="B12" i="4" a="1"/>
  <c r="B12" i="4" s="1"/>
  <c r="C12" i="4" s="1"/>
  <c r="B24" i="4" a="1"/>
  <c r="B24" i="4" s="1"/>
  <c r="C24" i="4" s="1"/>
  <c r="B14" i="4" a="1"/>
  <c r="B14" i="4" s="1"/>
  <c r="C14" i="4" s="1"/>
  <c r="B13" i="4" a="1"/>
  <c r="B13" i="4" s="1"/>
  <c r="C13" i="4" s="1"/>
  <c r="B25" i="4" a="1"/>
  <c r="B15" i="4" a="1"/>
  <c r="B15" i="4" s="1"/>
  <c r="C15" i="4" s="1"/>
  <c r="B19" i="4" a="1"/>
  <c r="B19" i="4" s="1"/>
  <c r="C19" i="4" s="1"/>
  <c r="B16" i="4" a="1"/>
  <c r="B16" i="4" s="1"/>
  <c r="C16" i="4" s="1"/>
  <c r="C3" i="4"/>
  <c r="L1957" i="1"/>
  <c r="L3420" i="1"/>
  <c r="L2800" i="1"/>
  <c r="L2946" i="1"/>
  <c r="L3253" i="1"/>
  <c r="L1429" i="1"/>
  <c r="L3175" i="1"/>
  <c r="L3315" i="1"/>
  <c r="L3494" i="1"/>
  <c r="L3109" i="1"/>
  <c r="L2814" i="1"/>
  <c r="L2768" i="1"/>
  <c r="L3476" i="1"/>
  <c r="L1988" i="1"/>
  <c r="L2415" i="1"/>
  <c r="L3005" i="1"/>
  <c r="L2696" i="1"/>
  <c r="L2925" i="1"/>
  <c r="L3430" i="1"/>
  <c r="L2564" i="1"/>
  <c r="L3168" i="1"/>
  <c r="L3055" i="1"/>
  <c r="L2157" i="1"/>
  <c r="L2786" i="1"/>
  <c r="L3159" i="1"/>
  <c r="L3042" i="1"/>
  <c r="L2077" i="1"/>
  <c r="L2373" i="1"/>
  <c r="L2819" i="1"/>
  <c r="L3148" i="1"/>
  <c r="L2919" i="1"/>
  <c r="L3068" i="1"/>
  <c r="L3454" i="1"/>
  <c r="L2949" i="1"/>
  <c r="L2305" i="1"/>
  <c r="L3265" i="1"/>
  <c r="L2916" i="1"/>
  <c r="L1323" i="1"/>
  <c r="L2129" i="1"/>
  <c r="L3137" i="1"/>
  <c r="L3368" i="1"/>
  <c r="L3480" i="1"/>
  <c r="L3101" i="1"/>
  <c r="L3165" i="1"/>
  <c r="L2846" i="1"/>
  <c r="L2575" i="1"/>
  <c r="L1941" i="1"/>
  <c r="L2519" i="1"/>
  <c r="L3366" i="1"/>
  <c r="L2436" i="1"/>
  <c r="L2971" i="1"/>
  <c r="L2970" i="1"/>
  <c r="L1784" i="1"/>
  <c r="L2235" i="1"/>
  <c r="L1170" i="1"/>
  <c r="L2078" i="1"/>
  <c r="L3289" i="1"/>
  <c r="L3372" i="1"/>
  <c r="L3009" i="1"/>
  <c r="L2760" i="1"/>
  <c r="L2374" i="1"/>
  <c r="L2711" i="1"/>
  <c r="L3390" i="1"/>
  <c r="L2752" i="1"/>
  <c r="L1949" i="1"/>
  <c r="L3172" i="1"/>
  <c r="L2796" i="1"/>
  <c r="L2998" i="1"/>
  <c r="L1671" i="1"/>
  <c r="L2021" i="1"/>
  <c r="L3290" i="1"/>
  <c r="L2300" i="1"/>
  <c r="L3384" i="1"/>
  <c r="L2206" i="1"/>
  <c r="L3411" i="1"/>
  <c r="L3270" i="1"/>
  <c r="L3099" i="1"/>
  <c r="L2115" i="1"/>
  <c r="L2780" i="1"/>
  <c r="L2695" i="1"/>
  <c r="L3448" i="1"/>
  <c r="L1893" i="1"/>
  <c r="L2272" i="1"/>
  <c r="L2993" i="1"/>
  <c r="L2679" i="1"/>
  <c r="L2913" i="1"/>
  <c r="L3426" i="1"/>
  <c r="L2848" i="1"/>
  <c r="L2190" i="1"/>
  <c r="L2608" i="1"/>
  <c r="L3487" i="1"/>
  <c r="L1924" i="1"/>
  <c r="L2109" i="1"/>
  <c r="L2336" i="1"/>
  <c r="L1989" i="1"/>
  <c r="L3443" i="1"/>
  <c r="L1877" i="1"/>
  <c r="L3302" i="1"/>
  <c r="L3359" i="1"/>
  <c r="L2576" i="1"/>
  <c r="L3407" i="1"/>
  <c r="L1892" i="1"/>
  <c r="L2568" i="1"/>
  <c r="L3414" i="1"/>
  <c r="L2094" i="1"/>
  <c r="L2860" i="1"/>
  <c r="L1836" i="1"/>
  <c r="L3399" i="1"/>
  <c r="L2735" i="1"/>
  <c r="L2858" i="1"/>
  <c r="L3229" i="1"/>
  <c r="L1302" i="1"/>
  <c r="L3132" i="1"/>
  <c r="L3307" i="1"/>
  <c r="L3490" i="1"/>
  <c r="L3093" i="1"/>
  <c r="L2428" i="1"/>
  <c r="L2960" i="1"/>
  <c r="L2964" i="1"/>
  <c r="L1763" i="1"/>
  <c r="L2225" i="1"/>
  <c r="L1858" i="1"/>
  <c r="L3275" i="1"/>
  <c r="L3238" i="1"/>
  <c r="L3472" i="1"/>
  <c r="L2004" i="1"/>
  <c r="L3319" i="1"/>
  <c r="L3379" i="1"/>
  <c r="L3179" i="1"/>
  <c r="L3237" i="1"/>
  <c r="L2500" i="1"/>
  <c r="L3051" i="1"/>
  <c r="L3012" i="1"/>
  <c r="L2072" i="1"/>
  <c r="L2363" i="1"/>
  <c r="L2448" i="1"/>
  <c r="L3396" i="1"/>
  <c r="L1774" i="1"/>
  <c r="L2551" i="1"/>
  <c r="L3410" i="1"/>
  <c r="L2062" i="1"/>
  <c r="L2842" i="1"/>
  <c r="L1815" i="1"/>
  <c r="L3388" i="1"/>
  <c r="L2688" i="1"/>
  <c r="L2824" i="1"/>
  <c r="L3186" i="1"/>
  <c r="L1087" i="1"/>
  <c r="L3117" i="1"/>
  <c r="L3280" i="1"/>
  <c r="L3486" i="1"/>
  <c r="L3077" i="1"/>
  <c r="L2420" i="1"/>
  <c r="L2944" i="1"/>
  <c r="L2959" i="1"/>
  <c r="L1686" i="1"/>
  <c r="L2988" i="1"/>
  <c r="L3295" i="1"/>
  <c r="L2640" i="1"/>
  <c r="L2787" i="1"/>
  <c r="L2599" i="1"/>
  <c r="L2282" i="1"/>
  <c r="L3499" i="1"/>
  <c r="L2264" i="1"/>
  <c r="L3330" i="1"/>
  <c r="L2620" i="1"/>
  <c r="L1130" i="1"/>
  <c r="L3092" i="1"/>
  <c r="L2250" i="1"/>
  <c r="L2868" i="1"/>
  <c r="L3485" i="1"/>
  <c r="L3225" i="1"/>
  <c r="L2499" i="1"/>
  <c r="L994" i="1"/>
  <c r="L2942" i="1"/>
  <c r="L1486" i="1"/>
  <c r="L2450" i="1"/>
  <c r="L2133" i="1"/>
  <c r="L2601" i="1"/>
  <c r="L2370" i="1"/>
  <c r="L1903" i="1"/>
  <c r="L3437" i="1"/>
  <c r="L2286" i="1"/>
  <c r="L2788" i="1"/>
  <c r="L2430" i="1"/>
  <c r="L2107" i="1"/>
  <c r="L3278" i="1"/>
  <c r="L1762" i="1"/>
  <c r="L2145" i="1"/>
  <c r="L2303" i="1"/>
  <c r="L1789" i="1"/>
  <c r="L2497" i="1"/>
  <c r="L2185" i="1"/>
  <c r="L1547" i="1"/>
  <c r="L3333" i="1"/>
  <c r="L2507" i="1"/>
  <c r="L2947" i="1"/>
  <c r="L2518" i="1"/>
  <c r="L2224" i="1"/>
  <c r="L2733" i="1"/>
  <c r="L1952" i="1"/>
  <c r="L644" i="1"/>
  <c r="L1588" i="1"/>
  <c r="L1860" i="1"/>
  <c r="L926" i="1"/>
  <c r="L1466" i="1"/>
  <c r="L1388" i="1"/>
  <c r="L313" i="1"/>
  <c r="L210" i="1"/>
  <c r="L519" i="1"/>
  <c r="L621" i="1"/>
  <c r="L2772" i="1"/>
  <c r="L2882" i="1"/>
  <c r="L2806" i="1"/>
  <c r="L3495" i="1"/>
  <c r="L2056" i="1"/>
  <c r="L2496" i="1"/>
  <c r="L3020" i="1"/>
  <c r="L2742" i="1"/>
  <c r="L2940" i="1"/>
  <c r="L3434" i="1"/>
  <c r="L2862" i="1"/>
  <c r="L2232" i="1"/>
  <c r="L3231" i="1"/>
  <c r="L2890" i="1"/>
  <c r="L3220" i="1"/>
  <c r="L2879" i="1"/>
  <c r="L3190" i="1"/>
  <c r="L2055" i="1"/>
  <c r="L3201" i="1"/>
  <c r="L2245" i="1"/>
  <c r="L2463" i="1"/>
  <c r="L2941" i="1"/>
  <c r="L3234" i="1"/>
  <c r="L2977" i="1"/>
  <c r="L3154" i="1"/>
  <c r="L3462" i="1"/>
  <c r="L2981" i="1"/>
  <c r="L2351" i="1"/>
  <c r="L3283" i="1"/>
  <c r="L2927" i="1"/>
  <c r="L1408" i="1"/>
  <c r="L2151" i="1"/>
  <c r="L2254" i="1"/>
  <c r="L3352" i="1"/>
  <c r="L2152" i="1"/>
  <c r="L3403" i="1"/>
  <c r="L3261" i="1"/>
  <c r="L3083" i="1"/>
  <c r="L2104" i="1"/>
  <c r="L2704" i="1"/>
  <c r="L2648" i="1"/>
  <c r="L3439" i="1"/>
  <c r="L1795" i="1"/>
  <c r="L2163" i="1"/>
  <c r="L2978" i="1"/>
  <c r="L2632" i="1"/>
  <c r="L2898" i="1"/>
  <c r="L3422" i="1"/>
  <c r="L2830" i="1"/>
  <c r="L2158" i="1"/>
  <c r="L3215" i="1"/>
  <c r="L2874" i="1"/>
  <c r="L3174" i="1"/>
  <c r="L1576" i="1"/>
  <c r="L3197" i="1"/>
  <c r="L3213" i="1"/>
  <c r="L3455" i="1"/>
  <c r="L1909" i="1"/>
  <c r="L3311" i="1"/>
  <c r="L3371" i="1"/>
  <c r="L3152" i="1"/>
  <c r="L3221" i="1"/>
  <c r="L2492" i="1"/>
  <c r="L3035" i="1"/>
  <c r="L3007" i="1"/>
  <c r="L2061" i="1"/>
  <c r="L2354" i="1"/>
  <c r="L3457" i="1"/>
  <c r="L2969" i="1"/>
  <c r="L2359" i="1"/>
  <c r="L3198" i="1"/>
  <c r="L2834" i="1"/>
  <c r="L2706" i="1"/>
  <c r="L2257" i="1"/>
  <c r="L1692" i="1"/>
  <c r="L2473" i="1"/>
  <c r="L2153" i="1"/>
  <c r="L1465" i="1"/>
  <c r="L3309" i="1"/>
  <c r="L3252" i="1"/>
  <c r="L2027" i="1"/>
  <c r="L2198" i="1"/>
  <c r="L2034" i="1"/>
  <c r="L3065" i="1"/>
  <c r="L3230" i="1"/>
  <c r="L2730" i="1"/>
  <c r="L1953" i="1"/>
  <c r="L524" i="1"/>
  <c r="L2343" i="1"/>
  <c r="L1841" i="1"/>
  <c r="L1861" i="1"/>
  <c r="L3241" i="1"/>
  <c r="L2012" i="1"/>
  <c r="L2285" i="1"/>
  <c r="L2390" i="1"/>
  <c r="L2053" i="1"/>
  <c r="L2605" i="1"/>
  <c r="L2379" i="1"/>
  <c r="L1907" i="1"/>
  <c r="L670" i="1"/>
  <c r="L1627" i="1"/>
  <c r="L1598" i="1"/>
  <c r="L1059" i="1"/>
  <c r="L146" i="1"/>
  <c r="L1180" i="1"/>
  <c r="L573" i="1"/>
  <c r="L666" i="1"/>
  <c r="L536" i="1"/>
  <c r="L2215" i="1"/>
  <c r="L3400" i="1"/>
  <c r="L996" i="1"/>
  <c r="L3127" i="1"/>
  <c r="L3212" i="1"/>
  <c r="L2881" i="1"/>
  <c r="L2592" i="1"/>
  <c r="L2033" i="1"/>
  <c r="L2536" i="1"/>
  <c r="L3370" i="1"/>
  <c r="L2700" i="1"/>
  <c r="L1869" i="1"/>
  <c r="L3146" i="1"/>
  <c r="L2855" i="1"/>
  <c r="L2222" i="1"/>
  <c r="L2692" i="1"/>
  <c r="L1806" i="1"/>
  <c r="L3140" i="1"/>
  <c r="L2387" i="1"/>
  <c r="L2928" i="1"/>
  <c r="L1428" i="1"/>
  <c r="L997" i="1"/>
  <c r="L3153" i="1"/>
  <c r="L3170" i="1"/>
  <c r="L3424" i="1"/>
  <c r="L1876" i="1"/>
  <c r="L3303" i="1"/>
  <c r="L3363" i="1"/>
  <c r="L3131" i="1"/>
  <c r="L3205" i="1"/>
  <c r="L2484" i="1"/>
  <c r="L3024" i="1"/>
  <c r="L3002" i="1"/>
  <c r="L2051" i="1"/>
  <c r="L2317" i="1"/>
  <c r="L2099" i="1"/>
  <c r="L2346" i="1"/>
  <c r="L3364" i="1"/>
  <c r="L3376" i="1"/>
  <c r="L1243" i="1"/>
  <c r="L3351" i="1"/>
  <c r="L593" i="1"/>
  <c r="L2532" i="1"/>
  <c r="L3034" i="1"/>
  <c r="L2747" i="1"/>
  <c r="L2527" i="1"/>
  <c r="L3468" i="1"/>
  <c r="L1699" i="1"/>
  <c r="L1973" i="1"/>
  <c r="L2309" i="1"/>
  <c r="L1956" i="1"/>
  <c r="L3435" i="1"/>
  <c r="L1773" i="1"/>
  <c r="L3293" i="1"/>
  <c r="L2556" i="1"/>
  <c r="L3158" i="1"/>
  <c r="L3050" i="1"/>
  <c r="L2147" i="1"/>
  <c r="L2779" i="1"/>
  <c r="L3089" i="1"/>
  <c r="L3308" i="1"/>
  <c r="L2687" i="1"/>
  <c r="L2856" i="1"/>
  <c r="L2616" i="1"/>
  <c r="L2328" i="1"/>
  <c r="L770" i="1"/>
  <c r="L2291" i="1"/>
  <c r="L3334" i="1"/>
  <c r="L2628" i="1"/>
  <c r="L1208" i="1"/>
  <c r="L3098" i="1"/>
  <c r="L2259" i="1"/>
  <c r="L2875" i="1"/>
  <c r="L3489" i="1"/>
  <c r="L3316" i="1"/>
  <c r="L594" i="1"/>
  <c r="L3343" i="1"/>
  <c r="L3232" i="1"/>
  <c r="L2524" i="1"/>
  <c r="L3028" i="1"/>
  <c r="L2740" i="1"/>
  <c r="L2480" i="1"/>
  <c r="L3440" i="1"/>
  <c r="L3456" i="1"/>
  <c r="L1794" i="1"/>
  <c r="L2263" i="1"/>
  <c r="L1750" i="1"/>
  <c r="L3427" i="1"/>
  <c r="L1542" i="1"/>
  <c r="L3288" i="1"/>
  <c r="L2548" i="1"/>
  <c r="L3142" i="1"/>
  <c r="L3044" i="1"/>
  <c r="L2136" i="1"/>
  <c r="L1430" i="1"/>
  <c r="L2195" i="1"/>
  <c r="L3328" i="1"/>
  <c r="L3383" i="1"/>
  <c r="L3021" i="1"/>
  <c r="L2775" i="1"/>
  <c r="L2423" i="1"/>
  <c r="L2728" i="1"/>
  <c r="L3394" i="1"/>
  <c r="L2759" i="1"/>
  <c r="L1965" i="1"/>
  <c r="L3178" i="1"/>
  <c r="L2803" i="1"/>
  <c r="L3014" i="1"/>
  <c r="L1723" i="1"/>
  <c r="L3329" i="1"/>
  <c r="L2627" i="1"/>
  <c r="L1275" i="1"/>
  <c r="L3027" i="1"/>
  <c r="L2081" i="1"/>
  <c r="L2578" i="1"/>
  <c r="L2339" i="1"/>
  <c r="L2729" i="1"/>
  <c r="L1944" i="1"/>
  <c r="L523" i="1"/>
  <c r="L1580" i="1"/>
  <c r="L2587" i="1"/>
  <c r="L3000" i="1"/>
  <c r="L2558" i="1"/>
  <c r="L2298" i="1"/>
  <c r="L3353" i="1"/>
  <c r="L2419" i="1"/>
  <c r="L2888" i="1"/>
  <c r="L2474" i="1"/>
  <c r="L2165" i="1"/>
  <c r="L2625" i="1"/>
  <c r="L1065" i="1"/>
  <c r="L1927" i="1"/>
  <c r="L3397" i="1"/>
  <c r="L2776" i="1"/>
  <c r="L3118" i="1"/>
  <c r="L2646" i="1"/>
  <c r="L1441" i="1"/>
  <c r="L2861" i="1"/>
  <c r="L2302" i="1"/>
  <c r="L1788" i="1"/>
  <c r="L1835" i="1"/>
  <c r="L1500" i="1"/>
  <c r="L1353" i="1"/>
  <c r="L1028" i="1"/>
  <c r="L1585" i="1"/>
  <c r="L10" i="1"/>
  <c r="L1752" i="1"/>
  <c r="L807" i="1"/>
  <c r="L843" i="1"/>
  <c r="L2912" i="1"/>
  <c r="L1343" i="1"/>
  <c r="L3431" i="1"/>
  <c r="L2838" i="1"/>
  <c r="L2973" i="1"/>
  <c r="L3298" i="1"/>
  <c r="L1506" i="1"/>
  <c r="L3218" i="1"/>
  <c r="L3323" i="1"/>
  <c r="L3498" i="1"/>
  <c r="L3125" i="1"/>
  <c r="L2444" i="1"/>
  <c r="L2982" i="1"/>
  <c r="L2975" i="1"/>
  <c r="L1805" i="1"/>
  <c r="L2244" i="1"/>
  <c r="L425" i="1"/>
  <c r="L2076" i="1"/>
  <c r="L2739" i="1"/>
  <c r="L2939" i="1"/>
  <c r="L1504" i="1"/>
  <c r="L3226" i="1"/>
  <c r="L2884" i="1"/>
  <c r="L3211" i="1"/>
  <c r="L2065" i="1"/>
  <c r="L2961" i="1"/>
  <c r="L3281" i="1"/>
  <c r="L2559" i="1"/>
  <c r="L2712" i="1"/>
  <c r="L2552" i="1"/>
  <c r="L2255" i="1"/>
  <c r="L3491" i="1"/>
  <c r="L2216" i="1"/>
  <c r="L3326" i="1"/>
  <c r="L2612" i="1"/>
  <c r="L1045" i="1"/>
  <c r="L3087" i="1"/>
  <c r="L2221" i="1"/>
  <c r="L2850" i="1"/>
  <c r="L3481" i="1"/>
  <c r="L3223" i="1"/>
  <c r="L2345" i="1"/>
  <c r="L2520" i="1"/>
  <c r="L3464" i="1"/>
  <c r="L2892" i="1"/>
  <c r="L2851" i="1"/>
  <c r="L2816" i="1"/>
  <c r="L3204" i="1"/>
  <c r="L3126" i="1"/>
  <c r="L3332" i="1"/>
  <c r="L3463" i="1"/>
  <c r="L3058" i="1"/>
  <c r="L3143" i="1"/>
  <c r="L2831" i="1"/>
  <c r="L2528" i="1"/>
  <c r="L1908" i="1"/>
  <c r="L2472" i="1"/>
  <c r="L3362" i="1"/>
  <c r="L2684" i="1"/>
  <c r="L1738" i="1"/>
  <c r="L3135" i="1"/>
  <c r="L2378" i="1"/>
  <c r="L2918" i="1"/>
  <c r="L1386" i="1"/>
  <c r="L2246" i="1"/>
  <c r="L3340" i="1"/>
  <c r="L3404" i="1"/>
  <c r="L1171" i="1"/>
  <c r="L2794" i="1"/>
  <c r="L2440" i="1"/>
  <c r="L2748" i="1"/>
  <c r="L3398" i="1"/>
  <c r="L2766" i="1"/>
  <c r="L1981" i="1"/>
  <c r="L3183" i="1"/>
  <c r="L2810" i="1"/>
  <c r="L3030" i="1"/>
  <c r="L1748" i="1"/>
  <c r="L2439" i="1"/>
  <c r="L3447" i="1"/>
  <c r="L2877" i="1"/>
  <c r="L2832" i="1"/>
  <c r="L2798" i="1"/>
  <c r="L3199" i="1"/>
  <c r="L3104" i="1"/>
  <c r="L3320" i="1"/>
  <c r="L3444" i="1"/>
  <c r="L3036" i="1"/>
  <c r="L3122" i="1"/>
  <c r="L2812" i="1"/>
  <c r="L2511" i="1"/>
  <c r="L1859" i="1"/>
  <c r="L2455" i="1"/>
  <c r="L3358" i="1"/>
  <c r="L2676" i="1"/>
  <c r="L1712" i="1"/>
  <c r="L3130" i="1"/>
  <c r="L2341" i="1"/>
  <c r="L3266" i="1"/>
  <c r="L3085" i="1"/>
  <c r="L2194" i="1"/>
  <c r="L2416" i="1"/>
  <c r="L2914" i="1"/>
  <c r="L3191" i="1"/>
  <c r="L2962" i="1"/>
  <c r="L3111" i="1"/>
  <c r="L3458" i="1"/>
  <c r="L2965" i="1"/>
  <c r="L2342" i="1"/>
  <c r="L3274" i="1"/>
  <c r="L2922" i="1"/>
  <c r="L1366" i="1"/>
  <c r="L2140" i="1"/>
  <c r="L3393" i="1"/>
  <c r="L2758" i="1"/>
  <c r="L1996" i="1"/>
  <c r="L3112" i="1"/>
  <c r="L2276" i="1"/>
  <c r="L2642" i="1"/>
  <c r="L1905" i="1"/>
  <c r="L2857" i="1"/>
  <c r="L2297" i="1"/>
  <c r="L1777" i="1"/>
  <c r="L1829" i="1"/>
  <c r="L2889" i="1"/>
  <c r="L3171" i="1"/>
  <c r="L2686" i="1"/>
  <c r="L1854" i="1"/>
  <c r="L3417" i="1"/>
  <c r="L2675" i="1"/>
  <c r="L3059" i="1"/>
  <c r="L2602" i="1"/>
  <c r="L2389" i="1"/>
  <c r="L2753" i="1"/>
  <c r="L1992" i="1"/>
  <c r="L1064" i="1"/>
  <c r="L3461" i="1"/>
  <c r="L2985" i="1"/>
  <c r="L2934" i="1"/>
  <c r="L1559" i="1"/>
  <c r="L2038" i="1"/>
  <c r="L1718" i="1"/>
  <c r="L2477" i="1"/>
  <c r="L2159" i="1"/>
  <c r="L1474" i="1"/>
  <c r="L1918" i="1"/>
  <c r="L1197" i="1"/>
  <c r="L1406" i="1"/>
  <c r="L2114" i="1"/>
  <c r="L2340" i="1"/>
  <c r="L2402" i="1"/>
  <c r="L2069" i="1"/>
  <c r="L3209" i="1"/>
  <c r="L1129" i="1"/>
  <c r="L2071" i="1"/>
  <c r="L2248" i="1"/>
  <c r="L1334" i="1"/>
  <c r="L2405" i="1"/>
  <c r="L2063" i="1"/>
  <c r="L1034" i="1"/>
  <c r="L2705" i="1"/>
  <c r="L1896" i="1"/>
  <c r="L2007" i="1"/>
  <c r="L1501" i="1"/>
  <c r="L2411" i="1"/>
  <c r="L2883" i="1"/>
  <c r="L2470" i="1"/>
  <c r="L2160" i="1"/>
  <c r="L2557" i="1"/>
  <c r="L850" i="1"/>
  <c r="L910" i="1"/>
  <c r="L1057" i="1"/>
  <c r="L484" i="1"/>
  <c r="L1549" i="1"/>
  <c r="L724" i="1"/>
  <c r="L760" i="1"/>
  <c r="L822" i="1"/>
  <c r="L953" i="1"/>
  <c r="L456" i="1"/>
  <c r="L520" i="1"/>
  <c r="L462" i="1"/>
  <c r="L537" i="1"/>
  <c r="L393" i="1"/>
  <c r="L491" i="1"/>
  <c r="L317" i="1"/>
  <c r="L422" i="1"/>
  <c r="L39" i="1"/>
  <c r="L2544" i="1"/>
  <c r="L2999" i="1"/>
  <c r="L3245" i="1"/>
  <c r="L2989" i="1"/>
  <c r="L3169" i="1"/>
  <c r="L3466" i="1"/>
  <c r="L2997" i="1"/>
  <c r="L2360" i="1"/>
  <c r="L3292" i="1"/>
  <c r="L2932" i="1"/>
  <c r="L1487" i="1"/>
  <c r="L2161" i="1"/>
  <c r="L3313" i="1"/>
  <c r="L2713" i="1"/>
  <c r="L1912" i="1"/>
  <c r="L2015" i="1"/>
  <c r="L1519" i="1"/>
  <c r="L3081" i="1"/>
  <c r="L3163" i="1"/>
  <c r="L1783" i="1"/>
  <c r="L2134" i="1"/>
  <c r="L1800" i="1"/>
  <c r="L2501" i="1"/>
  <c r="L2191" i="1"/>
  <c r="L1556" i="1"/>
  <c r="L2801" i="1"/>
  <c r="L2138" i="1"/>
  <c r="L1550" i="1"/>
  <c r="L1740" i="1"/>
  <c r="L1445" i="1"/>
  <c r="L1288" i="1"/>
  <c r="L938" i="1"/>
  <c r="L1569" i="1"/>
  <c r="L767" i="1"/>
  <c r="L1603" i="1"/>
  <c r="L61" i="1"/>
  <c r="L203" i="1"/>
  <c r="L3015" i="1"/>
  <c r="L2327" i="1"/>
  <c r="L3133" i="1"/>
  <c r="L3053" i="1"/>
  <c r="L2933" i="1"/>
  <c r="L3260" i="1"/>
  <c r="L1207" i="1"/>
  <c r="L3425" i="1"/>
  <c r="L2847" i="1"/>
  <c r="L2231" i="1"/>
  <c r="L3155" i="1"/>
  <c r="L2756" i="1"/>
  <c r="L2482" i="1"/>
  <c r="L2275" i="1"/>
  <c r="L2697" i="1"/>
  <c r="L1880" i="1"/>
  <c r="L1999" i="1"/>
  <c r="L1455" i="1"/>
  <c r="L3193" i="1"/>
  <c r="L1964" i="1"/>
  <c r="L2258" i="1"/>
  <c r="L2367" i="1"/>
  <c r="L2037" i="1"/>
  <c r="L3113" i="1"/>
  <c r="L3206" i="1"/>
  <c r="L1825" i="1"/>
  <c r="L2166" i="1"/>
  <c r="L1568" i="1"/>
  <c r="L2445" i="1"/>
  <c r="L2116" i="1"/>
  <c r="L1268" i="1"/>
  <c r="L526" i="1"/>
  <c r="L1216" i="1"/>
  <c r="L1185" i="1"/>
  <c r="L778" i="1"/>
  <c r="L1511" i="1"/>
  <c r="L904" i="1"/>
  <c r="L1051" i="1"/>
  <c r="L445" i="1"/>
  <c r="L1849" i="1"/>
  <c r="L888" i="1"/>
  <c r="L1452" i="1"/>
  <c r="L1378" i="1"/>
  <c r="L381" i="1"/>
  <c r="L747" i="1"/>
  <c r="L812" i="1"/>
  <c r="L371" i="1"/>
  <c r="L336" i="1"/>
  <c r="L252" i="1"/>
  <c r="L83" i="1"/>
  <c r="L335" i="1"/>
  <c r="L1713" i="1"/>
  <c r="L81" i="1"/>
  <c r="L1962" i="1"/>
  <c r="L935" i="1"/>
  <c r="L971" i="1"/>
  <c r="L314" i="1"/>
  <c r="L2044" i="1"/>
  <c r="L2655" i="1"/>
  <c r="L3138" i="1"/>
  <c r="L2130" i="1"/>
  <c r="L2226" i="1"/>
  <c r="L2407" i="1"/>
  <c r="L2035" i="1"/>
  <c r="L3451" i="1"/>
  <c r="L1972" i="1"/>
  <c r="L3306" i="1"/>
  <c r="L2572" i="1"/>
  <c r="L3195" i="1"/>
  <c r="L3060" i="1"/>
  <c r="L2168" i="1"/>
  <c r="L2804" i="1"/>
  <c r="L3088" i="1"/>
  <c r="L1655" i="1"/>
  <c r="L2086" i="1"/>
  <c r="L3453" i="1"/>
  <c r="L2953" i="1"/>
  <c r="L3192" i="1"/>
  <c r="L2702" i="1"/>
  <c r="L1897" i="1"/>
  <c r="L2789" i="1"/>
  <c r="L2090" i="1"/>
  <c r="L1439" i="1"/>
  <c r="L1708" i="1"/>
  <c r="L2577" i="1"/>
  <c r="L2324" i="1"/>
  <c r="L1879" i="1"/>
  <c r="L3349" i="1"/>
  <c r="L1736" i="1"/>
  <c r="L2135" i="1"/>
  <c r="L2294" i="1"/>
  <c r="L1478" i="1"/>
  <c r="L2429" i="1"/>
  <c r="L1934" i="1"/>
  <c r="L1173" i="1"/>
  <c r="L585" i="1"/>
  <c r="L768" i="1"/>
  <c r="L1347" i="1"/>
  <c r="L1669" i="1"/>
  <c r="L1149" i="1"/>
  <c r="L1253" i="1"/>
  <c r="L512" i="1"/>
  <c r="L401" i="1"/>
  <c r="L495" i="1"/>
  <c r="L325" i="1"/>
  <c r="L931" i="1"/>
  <c r="L154" i="1"/>
  <c r="L363" i="1"/>
  <c r="L455" i="1"/>
  <c r="L245" i="1"/>
  <c r="L3415" i="1"/>
  <c r="L1468" i="1"/>
  <c r="L2844" i="1"/>
  <c r="L2487" i="1"/>
  <c r="L2767" i="1"/>
  <c r="L3402" i="1"/>
  <c r="L2784" i="1"/>
  <c r="L1997" i="1"/>
  <c r="L3188" i="1"/>
  <c r="L2828" i="1"/>
  <c r="L3046" i="1"/>
  <c r="L1772" i="1"/>
  <c r="L2905" i="1"/>
  <c r="L2585" i="1"/>
  <c r="L2338" i="1"/>
  <c r="L1887" i="1"/>
  <c r="L3421" i="1"/>
  <c r="L2840" i="1"/>
  <c r="L3150" i="1"/>
  <c r="L2670" i="1"/>
  <c r="L1719" i="1"/>
  <c r="L645" i="1"/>
  <c r="L2352" i="1"/>
  <c r="L1852" i="1"/>
  <c r="L365" i="1"/>
  <c r="L2673" i="1"/>
  <c r="L1730" i="1"/>
  <c r="L1975" i="1"/>
  <c r="L881" i="1"/>
  <c r="L1839" i="1"/>
  <c r="L704" i="1"/>
  <c r="L1421" i="1"/>
  <c r="L1367" i="1"/>
  <c r="L1906" i="1"/>
  <c r="L1032" i="1"/>
  <c r="L244" i="1"/>
  <c r="L75" i="1"/>
  <c r="G6" i="4" s="1"/>
  <c r="L3249" i="1"/>
  <c r="L2631" i="1"/>
  <c r="L2205" i="1"/>
  <c r="L2162" i="1"/>
  <c r="L2604" i="1"/>
  <c r="L3082" i="1"/>
  <c r="L2843" i="1"/>
  <c r="L3361" i="1"/>
  <c r="L2691" i="1"/>
  <c r="L1868" i="1"/>
  <c r="L3070" i="1"/>
  <c r="L2167" i="1"/>
  <c r="L2418" i="1"/>
  <c r="L2091" i="1"/>
  <c r="L2569" i="1"/>
  <c r="L2306" i="1"/>
  <c r="L1871" i="1"/>
  <c r="L3449" i="1"/>
  <c r="L2937" i="1"/>
  <c r="L3291" i="1"/>
  <c r="L1364" i="1"/>
  <c r="L2017" i="1"/>
  <c r="L3429" i="1"/>
  <c r="L2854" i="1"/>
  <c r="L3160" i="1"/>
  <c r="L2678" i="1"/>
  <c r="L1790" i="1"/>
  <c r="L2829" i="1"/>
  <c r="L2238" i="1"/>
  <c r="L1663" i="1"/>
  <c r="L1792" i="1"/>
  <c r="L1360" i="1"/>
  <c r="L1791" i="1"/>
  <c r="L1674" i="1"/>
  <c r="L1287" i="1"/>
  <c r="L1319" i="1"/>
  <c r="L1164" i="1"/>
  <c r="L569" i="1"/>
  <c r="L130" i="1"/>
  <c r="L1611" i="1"/>
  <c r="L1590" i="1"/>
  <c r="L1038" i="1"/>
  <c r="L924" i="1"/>
  <c r="L897" i="1"/>
  <c r="L1072" i="1"/>
  <c r="L591" i="1"/>
  <c r="L142" i="1"/>
  <c r="L80" i="1"/>
  <c r="L124" i="1"/>
  <c r="L69" i="1"/>
  <c r="L207" i="1"/>
  <c r="L3134" i="1"/>
  <c r="L2658" i="1"/>
  <c r="L1515" i="1"/>
  <c r="L3389" i="1"/>
  <c r="L2619" i="1"/>
  <c r="L3022" i="1"/>
  <c r="L2574" i="1"/>
  <c r="L2330" i="1"/>
  <c r="L2661" i="1"/>
  <c r="L1532" i="1"/>
  <c r="L1963" i="1"/>
  <c r="L1584" i="1"/>
  <c r="L2449" i="1"/>
  <c r="L2121" i="1"/>
  <c r="L1284" i="1"/>
  <c r="L3049" i="1"/>
  <c r="L3224" i="1"/>
  <c r="L2726" i="1"/>
  <c r="L1945" i="1"/>
  <c r="L2813" i="1"/>
  <c r="L2186" i="1"/>
  <c r="L723" i="1"/>
  <c r="L814" i="1"/>
  <c r="L946" i="1"/>
  <c r="L1938" i="1"/>
  <c r="L810" i="1"/>
  <c r="L1525" i="1"/>
  <c r="L917" i="1"/>
  <c r="L1062" i="1"/>
  <c r="L529" i="1"/>
  <c r="L170" i="1"/>
  <c r="L367" i="1"/>
  <c r="L772" i="1"/>
  <c r="L803" i="1"/>
  <c r="L583" i="1"/>
  <c r="L126" i="1"/>
  <c r="L310" i="1"/>
  <c r="L208" i="1"/>
  <c r="L2799" i="1"/>
  <c r="L2887" i="1"/>
  <c r="L2663" i="1"/>
  <c r="L2355" i="1"/>
  <c r="L1086" i="1"/>
  <c r="L2318" i="1"/>
  <c r="L3338" i="1"/>
  <c r="L2636" i="1"/>
  <c r="L1276" i="1"/>
  <c r="L3103" i="1"/>
  <c r="L2268" i="1"/>
  <c r="L2880" i="1"/>
  <c r="L3493" i="1"/>
  <c r="L1616" i="1"/>
  <c r="L2457" i="1"/>
  <c r="L2132" i="1"/>
  <c r="L1329" i="1"/>
  <c r="L3357" i="1"/>
  <c r="L2555" i="1"/>
  <c r="L2979" i="1"/>
  <c r="L2542" i="1"/>
  <c r="L2266" i="1"/>
  <c r="L2757" i="1"/>
  <c r="L2000" i="1"/>
  <c r="L1188" i="1"/>
  <c r="L1636" i="1"/>
  <c r="L2545" i="1"/>
  <c r="L2260" i="1"/>
  <c r="L1798" i="1"/>
  <c r="L2030" i="1"/>
  <c r="L1595" i="1"/>
  <c r="L1582" i="1"/>
  <c r="L989" i="1"/>
  <c r="L1023" i="1"/>
  <c r="L1473" i="1"/>
  <c r="L1305" i="1"/>
  <c r="L116" i="1"/>
  <c r="L3069" i="1"/>
  <c r="L2020" i="1"/>
  <c r="L2750" i="1"/>
  <c r="L2876" i="1"/>
  <c r="L3450" i="1"/>
  <c r="L2296" i="1"/>
  <c r="L2911" i="1"/>
  <c r="L2119" i="1"/>
  <c r="L3296" i="1"/>
  <c r="L2563" i="1"/>
  <c r="L3184" i="1"/>
  <c r="L2984" i="1"/>
  <c r="L2674" i="1"/>
  <c r="L2150" i="1"/>
  <c r="L1551" i="1"/>
  <c r="L2441" i="1"/>
  <c r="L2111" i="1"/>
  <c r="L1252" i="1"/>
  <c r="L3385" i="1"/>
  <c r="L2744" i="1"/>
  <c r="L3102" i="1"/>
  <c r="L2634" i="1"/>
  <c r="L1260" i="1"/>
  <c r="L3365" i="1"/>
  <c r="L2571" i="1"/>
  <c r="L2990" i="1"/>
  <c r="L2550" i="1"/>
  <c r="L2284" i="1"/>
  <c r="L2701" i="1"/>
  <c r="L1888" i="1"/>
  <c r="L2003" i="1"/>
  <c r="L1464" i="1"/>
  <c r="L1994" i="1"/>
  <c r="L1472" i="1"/>
  <c r="L1535" i="1"/>
  <c r="L681" i="1"/>
  <c r="L630" i="1"/>
  <c r="L806" i="1"/>
  <c r="L940" i="1"/>
  <c r="L1910" i="1"/>
  <c r="L1096" i="1"/>
  <c r="L1395" i="1"/>
  <c r="L1705" i="1"/>
  <c r="L1219" i="1"/>
  <c r="L1289" i="1"/>
  <c r="L737" i="1"/>
  <c r="L525" i="1"/>
  <c r="L466" i="1"/>
  <c r="L167" i="1"/>
  <c r="L339" i="1"/>
  <c r="L248" i="1"/>
  <c r="L79" i="1"/>
  <c r="L2531" i="1"/>
  <c r="L2963" i="1"/>
  <c r="L2530" i="1"/>
  <c r="L2243" i="1"/>
  <c r="L3325" i="1"/>
  <c r="L2350" i="1"/>
  <c r="L2827" i="1"/>
  <c r="L2446" i="1"/>
  <c r="L2128" i="1"/>
  <c r="L2533" i="1"/>
  <c r="L2237" i="1"/>
  <c r="L1760" i="1"/>
  <c r="L2833" i="1"/>
  <c r="L2247" i="1"/>
  <c r="L1678" i="1"/>
  <c r="L1797" i="1"/>
  <c r="L2667" i="1"/>
  <c r="L3054" i="1"/>
  <c r="L2598" i="1"/>
  <c r="L2380" i="1"/>
  <c r="L2685" i="1"/>
  <c r="L1810" i="1"/>
  <c r="L1143" i="1"/>
  <c r="L1249" i="1"/>
  <c r="L488" i="1"/>
  <c r="L452" i="1"/>
  <c r="L1309" i="1"/>
  <c r="L1330" i="1"/>
  <c r="L1182" i="1"/>
  <c r="L600" i="1"/>
  <c r="G15" i="4" s="1"/>
  <c r="L776" i="1"/>
  <c r="L587" i="1"/>
  <c r="L134" i="1"/>
  <c r="L178" i="1"/>
  <c r="L417" i="1"/>
  <c r="L515" i="1"/>
  <c r="L458" i="1"/>
  <c r="L54" i="1"/>
  <c r="L295" i="1"/>
  <c r="L3254" i="1"/>
  <c r="L3500" i="1"/>
  <c r="L2067" i="1"/>
  <c r="L3327" i="1"/>
  <c r="L3387" i="1"/>
  <c r="L3200" i="1"/>
  <c r="L3247" i="1"/>
  <c r="L2508" i="1"/>
  <c r="L3056" i="1"/>
  <c r="L3018" i="1"/>
  <c r="L2083" i="1"/>
  <c r="L2372" i="1"/>
  <c r="L3441" i="1"/>
  <c r="L2841" i="1"/>
  <c r="L2265" i="1"/>
  <c r="L1716" i="1"/>
  <c r="L1808" i="1"/>
  <c r="L3287" i="1"/>
  <c r="L2210" i="1"/>
  <c r="L2738" i="1"/>
  <c r="L2414" i="1"/>
  <c r="L2085" i="1"/>
  <c r="L2629" i="1"/>
  <c r="L1107" i="1"/>
  <c r="L1931" i="1"/>
  <c r="L1398" i="1"/>
  <c r="L2417" i="1"/>
  <c r="L2079" i="1"/>
  <c r="L1098" i="1"/>
  <c r="L1902" i="1"/>
  <c r="L956" i="1"/>
  <c r="L1384" i="1"/>
  <c r="L1697" i="1"/>
  <c r="L895" i="1"/>
  <c r="L1844" i="1"/>
  <c r="L725" i="1"/>
  <c r="L331" i="1"/>
  <c r="L2903" i="1"/>
  <c r="L2512" i="1"/>
  <c r="L2535" i="1"/>
  <c r="L3483" i="1"/>
  <c r="L3322" i="1"/>
  <c r="L693" i="1"/>
  <c r="L2211" i="1"/>
  <c r="L3477" i="1"/>
  <c r="L3097" i="1"/>
  <c r="L2435" i="1"/>
  <c r="L3240" i="1"/>
  <c r="L2899" i="1"/>
  <c r="L2610" i="1"/>
  <c r="L1744" i="1"/>
  <c r="L2825" i="1"/>
  <c r="L2233" i="1"/>
  <c r="L1647" i="1"/>
  <c r="L1787" i="1"/>
  <c r="L3321" i="1"/>
  <c r="L2483" i="1"/>
  <c r="L2931" i="1"/>
  <c r="L2506" i="1"/>
  <c r="L2208" i="1"/>
  <c r="L3301" i="1"/>
  <c r="L2240" i="1"/>
  <c r="L2763" i="1"/>
  <c r="L2422" i="1"/>
  <c r="L2096" i="1"/>
  <c r="L2573" i="1"/>
  <c r="L2315" i="1"/>
  <c r="L1875" i="1"/>
  <c r="L549" i="1"/>
  <c r="L1866" i="1"/>
  <c r="L1554" i="1"/>
  <c r="L1336" i="1"/>
  <c r="L1661" i="1"/>
  <c r="L1138" i="1"/>
  <c r="L1245" i="1"/>
  <c r="L289" i="1"/>
  <c r="L1482" i="1"/>
  <c r="L1321" i="1"/>
  <c r="L977" i="1"/>
  <c r="L1577" i="1"/>
  <c r="L1013" i="1"/>
  <c r="L1110" i="1"/>
  <c r="L649" i="1"/>
  <c r="L499" i="1"/>
  <c r="L333" i="1"/>
  <c r="L77" i="1"/>
  <c r="L211" i="1"/>
  <c r="L120" i="1"/>
  <c r="G5" i="4"/>
  <c r="B25" i="4"/>
  <c r="C25" i="4" s="1"/>
  <c r="B270" i="4"/>
  <c r="B266" i="4"/>
  <c r="B262" i="4"/>
  <c r="B258" i="4"/>
  <c r="B254" i="4"/>
  <c r="B250" i="4"/>
  <c r="B246" i="4"/>
  <c r="B242" i="4"/>
  <c r="B238" i="4"/>
  <c r="B234" i="4"/>
  <c r="B230" i="4"/>
  <c r="B226" i="4"/>
  <c r="B222" i="4"/>
  <c r="B218" i="4"/>
  <c r="B214" i="4"/>
  <c r="B210" i="4"/>
  <c r="B206" i="4"/>
  <c r="B202" i="4"/>
  <c r="B198" i="4"/>
  <c r="B194" i="4"/>
  <c r="B190" i="4"/>
  <c r="B186" i="4"/>
  <c r="B182" i="4"/>
  <c r="B178" i="4"/>
  <c r="B174" i="4"/>
  <c r="B170" i="4"/>
  <c r="B166" i="4"/>
  <c r="B162" i="4"/>
  <c r="B158" i="4"/>
  <c r="B154" i="4"/>
  <c r="B150" i="4"/>
  <c r="B146" i="4"/>
  <c r="B142" i="4"/>
  <c r="B138" i="4"/>
  <c r="B134" i="4"/>
  <c r="B130" i="4"/>
  <c r="B126" i="4"/>
  <c r="B122" i="4"/>
  <c r="B118" i="4"/>
  <c r="B114" i="4"/>
  <c r="B110" i="4"/>
  <c r="B106" i="4"/>
  <c r="B102" i="4"/>
  <c r="B98" i="4"/>
  <c r="B94" i="4"/>
  <c r="B90" i="4"/>
  <c r="B86" i="4"/>
  <c r="B82" i="4"/>
  <c r="B78" i="4"/>
  <c r="B74" i="4"/>
  <c r="B70" i="4"/>
  <c r="B66" i="4"/>
  <c r="B62" i="4"/>
  <c r="B58" i="4"/>
  <c r="B54" i="4"/>
  <c r="B50" i="4"/>
  <c r="B46" i="4"/>
  <c r="B42" i="4"/>
  <c r="B38" i="4"/>
  <c r="B34" i="4"/>
  <c r="B30" i="4"/>
  <c r="B26" i="4"/>
  <c r="B101" i="4"/>
  <c r="B85" i="4"/>
  <c r="B73" i="4"/>
  <c r="B61" i="4"/>
  <c r="B49" i="4"/>
  <c r="B33" i="4"/>
  <c r="B273" i="4"/>
  <c r="B269" i="4"/>
  <c r="B265" i="4"/>
  <c r="B261" i="4"/>
  <c r="B257" i="4"/>
  <c r="B253" i="4"/>
  <c r="B249" i="4"/>
  <c r="B245" i="4"/>
  <c r="B241" i="4"/>
  <c r="B237" i="4"/>
  <c r="B233" i="4"/>
  <c r="B229" i="4"/>
  <c r="B225" i="4"/>
  <c r="B221" i="4"/>
  <c r="B217" i="4"/>
  <c r="B213" i="4"/>
  <c r="B209" i="4"/>
  <c r="B205" i="4"/>
  <c r="B201" i="4"/>
  <c r="B197" i="4"/>
  <c r="B193" i="4"/>
  <c r="B189" i="4"/>
  <c r="B185" i="4"/>
  <c r="B181" i="4"/>
  <c r="B177" i="4"/>
  <c r="B173" i="4"/>
  <c r="B169" i="4"/>
  <c r="B165" i="4"/>
  <c r="B161" i="4"/>
  <c r="B157" i="4"/>
  <c r="B153" i="4"/>
  <c r="B149" i="4"/>
  <c r="B145" i="4"/>
  <c r="B141" i="4"/>
  <c r="B137" i="4"/>
  <c r="B133" i="4"/>
  <c r="B129" i="4"/>
  <c r="B125" i="4"/>
  <c r="B121" i="4"/>
  <c r="B117" i="4"/>
  <c r="B109" i="4"/>
  <c r="B89" i="4"/>
  <c r="B37" i="4"/>
  <c r="B272" i="4"/>
  <c r="B268" i="4"/>
  <c r="B264" i="4"/>
  <c r="B260" i="4"/>
  <c r="B256" i="4"/>
  <c r="B252" i="4"/>
  <c r="B248" i="4"/>
  <c r="B244" i="4"/>
  <c r="B240" i="4"/>
  <c r="B236" i="4"/>
  <c r="B232" i="4"/>
  <c r="B228" i="4"/>
  <c r="B224" i="4"/>
  <c r="B220" i="4"/>
  <c r="B216" i="4"/>
  <c r="B212" i="4"/>
  <c r="B208" i="4"/>
  <c r="B204" i="4"/>
  <c r="B200" i="4"/>
  <c r="B196" i="4"/>
  <c r="B192" i="4"/>
  <c r="B188" i="4"/>
  <c r="B184" i="4"/>
  <c r="B180" i="4"/>
  <c r="B176" i="4"/>
  <c r="B172" i="4"/>
  <c r="B168" i="4"/>
  <c r="B164" i="4"/>
  <c r="B160" i="4"/>
  <c r="B156" i="4"/>
  <c r="B152" i="4"/>
  <c r="B148" i="4"/>
  <c r="B144" i="4"/>
  <c r="B140" i="4"/>
  <c r="B136" i="4"/>
  <c r="B132" i="4"/>
  <c r="B128" i="4"/>
  <c r="B124" i="4"/>
  <c r="B120" i="4"/>
  <c r="B116" i="4"/>
  <c r="B112" i="4"/>
  <c r="B108" i="4"/>
  <c r="B104" i="4"/>
  <c r="B100" i="4"/>
  <c r="B96" i="4"/>
  <c r="B92" i="4"/>
  <c r="B88" i="4"/>
  <c r="B84" i="4"/>
  <c r="B80" i="4"/>
  <c r="B76" i="4"/>
  <c r="B72" i="4"/>
  <c r="B68" i="4"/>
  <c r="B64" i="4"/>
  <c r="B60" i="4"/>
  <c r="B56" i="4"/>
  <c r="B52" i="4"/>
  <c r="B48" i="4"/>
  <c r="B44" i="4"/>
  <c r="B40" i="4"/>
  <c r="B36" i="4"/>
  <c r="B32" i="4"/>
  <c r="B28" i="4"/>
  <c r="B147" i="4"/>
  <c r="B131" i="4"/>
  <c r="B123" i="4"/>
  <c r="B119" i="4"/>
  <c r="B111" i="4"/>
  <c r="B107" i="4"/>
  <c r="B99" i="4"/>
  <c r="B95" i="4"/>
  <c r="B91" i="4"/>
  <c r="B83" i="4"/>
  <c r="B79" i="4"/>
  <c r="B71" i="4"/>
  <c r="B67" i="4"/>
  <c r="B59" i="4"/>
  <c r="B55" i="4"/>
  <c r="B51" i="4"/>
  <c r="B43" i="4"/>
  <c r="B39" i="4"/>
  <c r="B35" i="4"/>
  <c r="B27" i="4"/>
  <c r="B113" i="4"/>
  <c r="B97" i="4"/>
  <c r="B93" i="4"/>
  <c r="B77" i="4"/>
  <c r="B65" i="4"/>
  <c r="B53" i="4"/>
  <c r="B41" i="4"/>
  <c r="B271" i="4"/>
  <c r="B267" i="4"/>
  <c r="B263" i="4"/>
  <c r="B259" i="4"/>
  <c r="B255" i="4"/>
  <c r="B251" i="4"/>
  <c r="B247" i="4"/>
  <c r="B243" i="4"/>
  <c r="B239" i="4"/>
  <c r="B235" i="4"/>
  <c r="B231" i="4"/>
  <c r="B227" i="4"/>
  <c r="B223" i="4"/>
  <c r="B219" i="4"/>
  <c r="B215" i="4"/>
  <c r="B211" i="4"/>
  <c r="B207" i="4"/>
  <c r="B203" i="4"/>
  <c r="B199" i="4"/>
  <c r="B195" i="4"/>
  <c r="B191" i="4"/>
  <c r="B187" i="4"/>
  <c r="B183" i="4"/>
  <c r="B179" i="4"/>
  <c r="B175" i="4"/>
  <c r="B171" i="4"/>
  <c r="B167" i="4"/>
  <c r="B163" i="4"/>
  <c r="B159" i="4"/>
  <c r="B155" i="4"/>
  <c r="B151" i="4"/>
  <c r="B143" i="4"/>
  <c r="B139" i="4"/>
  <c r="B135" i="4"/>
  <c r="B127" i="4"/>
  <c r="B115" i="4"/>
  <c r="B103" i="4"/>
  <c r="B87" i="4"/>
  <c r="B75" i="4"/>
  <c r="B63" i="4"/>
  <c r="B47" i="4"/>
  <c r="B31" i="4"/>
  <c r="B105" i="4"/>
  <c r="B81" i="4"/>
  <c r="B69" i="4"/>
  <c r="B57" i="4"/>
  <c r="B45" i="4"/>
  <c r="B29" i="4"/>
  <c r="G4" i="4" l="1"/>
  <c r="G17" i="4"/>
  <c r="G16" i="4"/>
  <c r="C4" i="4"/>
  <c r="G20" i="4"/>
  <c r="G7" i="4"/>
  <c r="C5" i="4"/>
  <c r="G9" i="4"/>
  <c r="G18" i="4"/>
  <c r="C6" i="4"/>
  <c r="G19" i="4"/>
  <c r="G8" i="4"/>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<sst xmlns="http://schemas.openxmlformats.org/spreadsheetml/2006/main" count="13431" uniqueCount="7489">
  <si>
    <t>None</t>
  </si>
  <si>
    <t>looks promising!</t>
  </si>
  <si>
    <t>s****t</t>
  </si>
  <si>
    <t>These goosebumps when the music started...</t>
  </si>
  <si>
    <t>i****4</t>
  </si>
  <si>
    <t>thought he was going to be black and gay</t>
  </si>
  <si>
    <t>K****n</t>
  </si>
  <si>
    <t>APPA YIP YIP 😭❤❤</t>
  </si>
  <si>
    <t>f****3</t>
  </si>
  <si>
    <t>Excited for it</t>
  </si>
  <si>
    <t>S****D</t>
  </si>
  <si>
    <t>와 개소름;; 이게 나오네.. 캐스팅 잘됐다 N</t>
  </si>
  <si>
    <t>l****d</t>
  </si>
  <si>
    <t>Finally 😌..... after so many years of waiting</t>
  </si>
  <si>
    <t>o****9</t>
  </si>
  <si>
    <t>hope they give it more than 10 episodes</t>
  </si>
  <si>
    <t>b****3</t>
  </si>
  <si>
    <t>Thank youuuu netflix!!! Am i the only one that can't wait to see toph and some earth bending????!</t>
  </si>
  <si>
    <t>p****1</t>
  </si>
  <si>
    <t>US</t>
  </si>
  <si>
    <t>I'm going to withhold judgment until I see what the earthbending looks like.</t>
  </si>
  <si>
    <t>g****r</t>
  </si>
  <si>
    <t>Ang's facial expressions in the anime series is so animated that seeing this kid play the character is so disappointing. I think they could have done a better casting.</t>
  </si>
  <si>
    <t>u****d</t>
  </si>
  <si>
    <t>IL</t>
  </si>
  <si>
    <t>Why sokka and katara not black like in the show</t>
  </si>
  <si>
    <t>s****2</t>
  </si>
  <si>
    <t>Nah...sorry ya'll, not feelin' it. I like the animated series way more. I'll just go back to watching that. Sorry Netflix, I don't like it being real life actors. The interactions with Appa and Momo are so clearly fake, because those characters are full CGI.</t>
  </si>
  <si>
    <t>a****2</t>
  </si>
  <si>
    <t>Second time around... Great visuals, bad castingThey should just let it go if they can't get it right!!! I am uninterested at this point.</t>
  </si>
  <si>
    <t>m****7</t>
  </si>
  <si>
    <t>) N</t>
  </si>
  <si>
    <t>d****5</t>
  </si>
  <si>
    <t>basta che non sia l'ennesima serie tv fantasy che cancellate a tradimento dopo 2 stagioni</t>
  </si>
  <si>
    <t>n****a</t>
  </si>
  <si>
    <t>Why waste money in the same part instead they can take 2 part of the last Airbender movie.</t>
  </si>
  <si>
    <t>u****c</t>
  </si>
  <si>
    <t>Appa saddle need a redesign man. A new full leather saddle its too much 😅😅😅.</t>
  </si>
  <si>
    <t>m****6</t>
  </si>
  <si>
    <t>GB</t>
  </si>
  <si>
    <t>OMG I CANT WAIT</t>
  </si>
  <si>
    <t>B****e</t>
  </si>
  <si>
    <t>its gonna flopp</t>
  </si>
  <si>
    <t>j****3</t>
  </si>
  <si>
    <t>Wow! Finally something that gives me as much goosebumps as the cartoon</t>
  </si>
  <si>
    <t>h****e</t>
  </si>
  <si>
    <t>I like how it really pops with color. Like they really brought the cartoon to life.</t>
  </si>
  <si>
    <t>s****9</t>
  </si>
  <si>
    <t>Looks better than the last live action of this so that’s a start</t>
  </si>
  <si>
    <t>L****.</t>
  </si>
  <si>
    <t>Too goofy ngl</t>
  </si>
  <si>
    <t>n****7</t>
  </si>
  <si>
    <t>All I know is they better not pull shmit like cutting the release in 2 parts with a wait time this long</t>
  </si>
  <si>
    <t>z****1</t>
  </si>
  <si>
    <t>😢 okay! This is more like it. Please get it right 🙏🏼🙏🏼🙏🏼</t>
  </si>
  <si>
    <t>while this trailer is beautiful &amp; the visuals are absolutely perfect, it worries me that there are no real jokes or moments of dialogue. avatar the last airbender pulled off being a very dramatic show WHILE having moments of real fun &amp; humour.</t>
  </si>
  <si>
    <t>a****0</t>
  </si>
  <si>
    <t>Please don't be shit, please don't be shit, please don't be shit, please don't be shit, please don't be shit, please don't be shit, please don't be shit, please don't be shit 😂</t>
  </si>
  <si>
    <t>k****3</t>
  </si>
  <si>
    <t>Hell yeah the legend of appa the yip yip</t>
  </si>
  <si>
    <t>S****e</t>
  </si>
  <si>
    <t>its like the rebirth from the cartoon into reality with the same  underrated nostalgic chills</t>
  </si>
  <si>
    <t>M****r</t>
  </si>
  <si>
    <t>Release it now</t>
  </si>
  <si>
    <t>PH</t>
  </si>
  <si>
    <t>CAST LOOKS AMAZING</t>
  </si>
  <si>
    <t>t****g</t>
  </si>
  <si>
    <t>They better don't mess this up 🫤</t>
  </si>
  <si>
    <t>S****7</t>
  </si>
  <si>
    <t>February 2022???</t>
  </si>
  <si>
    <t>i****d</t>
  </si>
  <si>
    <t>keep M night shamilan or whatever that hacks name is FAR AWAY from this</t>
  </si>
  <si>
    <t>u****v</t>
  </si>
  <si>
    <t>This shite is tragic</t>
  </si>
  <si>
    <t>M****8</t>
  </si>
  <si>
    <t>I hope we can also see the cabbage man in live action )))</t>
  </si>
  <si>
    <t>s****0</t>
  </si>
  <si>
    <t>Another childhood classic gonna be ruined by the corporate content churner... hopefully i am wrong, but not gonna expect anything great</t>
  </si>
  <si>
    <t>b****1</t>
  </si>
  <si>
    <t>Man the shivers this trailer gave me!!! This better be good!!!</t>
  </si>
  <si>
    <t>g****t</t>
  </si>
  <si>
    <t>Why can’t they simply just leave things alone and use some creativity to come up with something else.</t>
  </si>
  <si>
    <t>s****7</t>
  </si>
  <si>
    <t>Mr. Kim!!!!</t>
  </si>
  <si>
    <t>4****3</t>
  </si>
  <si>
    <t>I'm not convinced at all...</t>
  </si>
  <si>
    <t>t****8</t>
  </si>
  <si>
    <t>So… I’m guessing half of season 1 will be ok, maybe up till the point when the Avatar creators left due to creative differences… and it’s gonna go to shit exactly like the Witcher (where the show runners also didn’t listen to either the ultra super fan, Henry Cavil, or also the writer of the Witcher novels). Who’s thinking we’ll even get cast changes season 3 of this show? 😂</t>
  </si>
  <si>
    <t>T****e</t>
  </si>
  <si>
    <t>Is it really live action if the only thing that’s not computer generated is the people? The CGI literally everywhere is too much. They might as have just edited the actors into the actual original cartoon, covering the animated character, and it would be the same.</t>
  </si>
  <si>
    <t>Is this a movie or a series?</t>
  </si>
  <si>
    <t>T****2</t>
  </si>
  <si>
    <t>Mehhh</t>
  </si>
  <si>
    <t>9****o</t>
  </si>
  <si>
    <t>Good</t>
  </si>
  <si>
    <t>c****u</t>
  </si>
  <si>
    <t>the actor played the Aang seems to be lacking of emotion. I'm not sure if this will be a successful movie.</t>
  </si>
  <si>
    <t>y****1</t>
  </si>
  <si>
    <t>IN</t>
  </si>
  <si>
    <t>I used to watch early morning Airbender episodes, and those were such stress-free days.</t>
  </si>
  <si>
    <t>s****i</t>
  </si>
  <si>
    <t>Looks like they actually strayed true to the source for once. It's about god dam time.</t>
  </si>
  <si>
    <t>d****y</t>
  </si>
  <si>
    <t>Looks dope !</t>
  </si>
  <si>
    <t>f****5</t>
  </si>
  <si>
    <t>You guys better do this right like you did One Piece.</t>
  </si>
  <si>
    <t>D****0</t>
  </si>
  <si>
    <t>cant be worse than the m night shymalan disaster</t>
  </si>
  <si>
    <t>r****0</t>
  </si>
  <si>
    <t>Nobody seems to care, but I'm sad they didn't give the water tribe actors blue contacts... Details like that would really make me happy😅</t>
  </si>
  <si>
    <t>l****0</t>
  </si>
  <si>
    <t>Yip yip</t>
  </si>
  <si>
    <t>CA</t>
  </si>
  <si>
    <t>Omg</t>
  </si>
  <si>
    <t>I’m betting all my money on Netflix will cancel this show after one season. After ppl complain the main casts are all Asian descendants + the usual excuse of “not enough viewership”.</t>
  </si>
  <si>
    <t>Y’all better not mess this up cus I went to see the movie in like 2010 and I was not happy with it.  It was aweful.  So far this trailer doesn’t look too disappointing!! Ngl Sokka and Katara is brown looking. Was hoping to see people with actual brown hue like tribal Indian or Indian Indian. Sokka was always cute to me and I could picture him in real life and this ain’t how I pictured him with his F boy hair cut 😂😂😭</t>
  </si>
  <si>
    <t>b****y</t>
  </si>
  <si>
    <t>KZ</t>
  </si>
  <si>
    <t>There is a possibility that this will turn out to be shit because if I'm not mistaken original authors of the cartoon stopped working on this movie for a reason that their vision didn't pleased netflix higher ups</t>
  </si>
  <si>
    <t>E****4</t>
  </si>
  <si>
    <t>Yayy!!</t>
  </si>
  <si>
    <t>u****z</t>
  </si>
  <si>
    <t>Let’s Go !!!!!! Throw that other movie in the trash</t>
  </si>
  <si>
    <t>i****7</t>
  </si>
  <si>
    <t>BR</t>
  </si>
  <si>
    <t>Esse vai ser bom</t>
  </si>
  <si>
    <t>H****l</t>
  </si>
  <si>
    <t>Finally</t>
  </si>
  <si>
    <t>p****0</t>
  </si>
  <si>
    <t>Please be good. Please be good. Please be good. Please be good. Please be good. Please be good. Please be good. Please be good. Please be good. Please be good. Please be good. Please be good. Please be good. Please be good. Please be good. Please be good. Please be good. Please be good. Please be good. Please be good. Please be good. Please be good. Please be good. Please be good.</t>
  </si>
  <si>
    <t>U****n</t>
  </si>
  <si>
    <t>Wish they were brown</t>
  </si>
  <si>
    <t>q****5</t>
  </si>
  <si>
    <t>Hopefully it would last longer than the cartoons ❤</t>
  </si>
  <si>
    <t>K****I</t>
  </si>
  <si>
    <t>So we’re just supposed to pretend that the movie in 2010 never came out? 🤔</t>
  </si>
  <si>
    <t>I****d</t>
  </si>
  <si>
    <t>PUT A CHICK IN IT AND MAKE HER GAY</t>
  </si>
  <si>
    <t>Good JOB NETFLIX !! KEEP IT HOW IT IS ORIGINAL JUST LIKE THE STORY LINE. IF ONLY DISNEY DID THE SAME SMH...</t>
  </si>
  <si>
    <t>t****5</t>
  </si>
  <si>
    <t>but why tho ?</t>
  </si>
  <si>
    <t>j****4</t>
  </si>
  <si>
    <t>Already a vast improvement</t>
  </si>
  <si>
    <t>Perfecto ❤</t>
  </si>
  <si>
    <t>g****1</t>
  </si>
  <si>
    <t>Aang looks so small compared  to Katara. How they gonna do the future content</t>
  </si>
  <si>
    <t>u****p</t>
  </si>
  <si>
    <t>They gotta stop trying to make Animes into Live-action.</t>
  </si>
  <si>
    <t>f****2</t>
  </si>
  <si>
    <t>I airbend in the bath everyday, no big deal</t>
  </si>
  <si>
    <t>n****0</t>
  </si>
  <si>
    <t>So far it looks a little less racist than the M. Night version</t>
  </si>
  <si>
    <t>This is how the movie should have been.</t>
  </si>
  <si>
    <t>s****1</t>
  </si>
  <si>
    <t>يبدو ان الفيلم جميل من الواضح ان نتفلكس تبدع في صناعة الافلام انا متشوق لمشاهدة الفيلم N</t>
  </si>
  <si>
    <t>I love...</t>
  </si>
  <si>
    <t>K****r</t>
  </si>
  <si>
    <t>well done Netflix, weeeell done...</t>
  </si>
  <si>
    <t>f****1</t>
  </si>
  <si>
    <t>lets hope this is better than the last one</t>
  </si>
  <si>
    <t>J****4</t>
  </si>
  <si>
    <t>Oh god not again...</t>
  </si>
  <si>
    <t>L****9</t>
  </si>
  <si>
    <t>YAAAASSSSSSS!!!!OMG I hope the remake every season</t>
  </si>
  <si>
    <t>Please don't f this one up</t>
  </si>
  <si>
    <t>T****p</t>
  </si>
  <si>
    <t>The actors kind of lame and not accurate enough.</t>
  </si>
  <si>
    <t>Z****r</t>
  </si>
  <si>
    <t>But why am I getting this freaky feelings that this is not the Aang I'm looking forward to see. So far I'm not seeing any playful and childish suggestions in this character 🤔</t>
  </si>
  <si>
    <t>d****6</t>
  </si>
  <si>
    <t>I better see Sokka trippin balls on cactus juice.</t>
  </si>
  <si>
    <t>J****y</t>
  </si>
  <si>
    <t>Why am I scared Netflix will try to go woke and ruin it?</t>
  </si>
  <si>
    <t>N****1</t>
  </si>
  <si>
    <t>PLEASE LET THIS BE GOOD, IT LOOKS AMAZING</t>
  </si>
  <si>
    <t>j****5</t>
  </si>
  <si>
    <t>No estoy llorando no estoy llorando 😭😭😭😭😭</t>
  </si>
  <si>
    <t>I AM NOT EDGING TO THIS</t>
  </si>
  <si>
    <t>d****7</t>
  </si>
  <si>
    <t>This trailer alone is thousands times better than that nightmare movie.</t>
  </si>
  <si>
    <t>d****8</t>
  </si>
  <si>
    <t>😭😭 Netflix plz dont fuk this..</t>
  </si>
  <si>
    <t>Momooo Apaaaaa &lt;3</t>
  </si>
  <si>
    <t>L****c</t>
  </si>
  <si>
    <t>😂😂🤢🤢🤢🤢🤮🤮🤮🤮🤮🤮 N</t>
  </si>
  <si>
    <t>O****.</t>
  </si>
  <si>
    <t>ISTG if they call him Oong</t>
  </si>
  <si>
    <t>C****3</t>
  </si>
  <si>
    <t>The true Avatar</t>
  </si>
  <si>
    <t>This is what we wanted to see in the movie, thank you Netflix.</t>
  </si>
  <si>
    <t>m****2</t>
  </si>
  <si>
    <t>Kya aapane kabhi kisi audio book par live action banane ke socha hai jasa (shoorveer)</t>
  </si>
  <si>
    <t>S****r</t>
  </si>
  <si>
    <t>FINALLY!!!! This looks more like it!!!!🙌🤗😄😄😄😄😄</t>
  </si>
  <si>
    <t>i****i</t>
  </si>
  <si>
    <t>omg haganlo bien plsss</t>
  </si>
  <si>
    <t>o****2</t>
  </si>
  <si>
    <t>Yay no ong!</t>
  </si>
  <si>
    <t>c****9</t>
  </si>
  <si>
    <t>SOME THINGS ARE NEVER MEANT TO BE DONE! WE SAW WHAT HAPPENED LAST TIME!</t>
  </si>
  <si>
    <t>T****u</t>
  </si>
  <si>
    <t>Now we pray to the gods of anime and cinema that they have guided the hands of the producers. Please let this be good!!! Amen</t>
  </si>
  <si>
    <t>R****g</t>
  </si>
  <si>
    <t>That looks awesome well done better then what the movie looked like</t>
  </si>
  <si>
    <t>d****e</t>
  </si>
  <si>
    <t>oh my god OH MY GODDDD</t>
  </si>
  <si>
    <t>c****i</t>
  </si>
  <si>
    <t>looking forward to it</t>
  </si>
  <si>
    <t>S****x</t>
  </si>
  <si>
    <t>It's nice and all but Katara and Sokka dont look like Katara and Sokka at allllll they white washed them 😭😭</t>
  </si>
  <si>
    <t>l****4</t>
  </si>
  <si>
    <t>My names Ong</t>
  </si>
  <si>
    <t>B****1</t>
  </si>
  <si>
    <t>Bow down</t>
  </si>
  <si>
    <t>b****i</t>
  </si>
  <si>
    <t>This is amazing 😍😍😍😍😍😍❤😍❤😍❤😍❤❤😍❤❤😍❤❤i❤😂🎉❤🎉❤🎉🎉😂🎉❤❤🎉😂🎉</t>
  </si>
  <si>
    <t>J****z</t>
  </si>
  <si>
    <t>Netflix needs to take over moveis</t>
  </si>
  <si>
    <t>W****9</t>
  </si>
  <si>
    <t>They made it exactly as a series ...this how it should be although characters look cringy</t>
  </si>
  <si>
    <t>Everytime netflix makes a live action they bomb it. My expectations are not high. Lol</t>
  </si>
  <si>
    <t>a****1</t>
  </si>
  <si>
    <t>The fire bending looks way better than the film that shall not be named. Now can we get some goddanm comedy, please.</t>
  </si>
  <si>
    <t>a****5</t>
  </si>
  <si>
    <t>Can't believe it took this long for a live-action of Avatar The Last Airbender to come out</t>
  </si>
  <si>
    <t>j****9</t>
  </si>
  <si>
    <t>Ugh</t>
  </si>
  <si>
    <t>c****4</t>
  </si>
  <si>
    <t>I’m hard bro…</t>
  </si>
  <si>
    <t>c****v</t>
  </si>
  <si>
    <t>Perfect avatar film.</t>
  </si>
  <si>
    <t>k****8</t>
  </si>
  <si>
    <t>Will Africa reach this Stage of making beautiful movies?</t>
  </si>
  <si>
    <t>b****n</t>
  </si>
  <si>
    <t>💯 Không nói nhiều 😊😊😊😊😊😊😊😊😊😊😊😊</t>
  </si>
  <si>
    <t>P****.</t>
  </si>
  <si>
    <t>They better not have 5 earth benders bending one rock again.</t>
  </si>
  <si>
    <t>P****e</t>
  </si>
  <si>
    <t>They better not change or add any  romantic relationships.</t>
  </si>
  <si>
    <t>i****9</t>
  </si>
  <si>
    <t>I'm so so so so excited great job looks so amazing</t>
  </si>
  <si>
    <t>K****8</t>
  </si>
  <si>
    <t>The Kyoshi Warriors look amazing!!!</t>
  </si>
  <si>
    <t>h****7</t>
  </si>
  <si>
    <t>Please do Dragon Ball Z next...</t>
  </si>
  <si>
    <t>n****f</t>
  </si>
  <si>
    <t>I can't believe it 🥺!!</t>
  </si>
  <si>
    <t>k****4</t>
  </si>
  <si>
    <t>I bet my money it’s as shit as the first one 😂😂😂</t>
  </si>
  <si>
    <t>l****6</t>
  </si>
  <si>
    <t>Hopefully, it's no woke garbage</t>
  </si>
  <si>
    <t>p****6</t>
  </si>
  <si>
    <t>Waiting for Naruto to be in Netflix!</t>
  </si>
  <si>
    <t>V****i</t>
  </si>
  <si>
    <t>The VFX Team. Salute</t>
  </si>
  <si>
    <t>s****6</t>
  </si>
  <si>
    <t>I hope they don't skip sokka's funny moments</t>
  </si>
  <si>
    <t>y****3</t>
  </si>
  <si>
    <t>I can not wait for Avartar... I hope it is as good as this trailer</t>
  </si>
  <si>
    <t>M****s</t>
  </si>
  <si>
    <t>About time. I have been waiting for part 2 of this important show. Let’s go baby lol</t>
  </si>
  <si>
    <t>a****a</t>
  </si>
  <si>
    <t>Appa Yip Yip!</t>
  </si>
  <si>
    <t>T****s</t>
  </si>
  <si>
    <t>This cast actually looks promising. The only characters that don't look like their cartoon counterparts are Azula and Iroh. Azula looks too soft and adorable, while Iroh looks like a kid with a beard. Other than that the cast looks great. I'm excited for this series.</t>
  </si>
  <si>
    <t>This trailer alone is better than the entirety of that other movie that shall not be named</t>
  </si>
  <si>
    <t>ga sabar nunggu ini rilis</t>
  </si>
  <si>
    <t>a****9</t>
  </si>
  <si>
    <t>This looks do good, I only wish the trailer didn't show ozai's face till the episode its revealed in like the original</t>
  </si>
  <si>
    <t>k****0</t>
  </si>
  <si>
    <t>My trailer is better )</t>
  </si>
  <si>
    <t>M****b</t>
  </si>
  <si>
    <t>تحفه سينمائية قادمة 👏🏻😍👏🏻 N</t>
  </si>
  <si>
    <t>b****4</t>
  </si>
  <si>
    <t>👏🏻😍👏🏻😍👏🏻 N</t>
  </si>
  <si>
    <t>netlfix is spoiling us</t>
  </si>
  <si>
    <t>M****n</t>
  </si>
  <si>
    <t>Bad trailer bad!! don't you dare give me hope for a GOOD live action avatar.  I cant take another betrayal.</t>
  </si>
  <si>
    <t>C****m</t>
  </si>
  <si>
    <t>If only this teaser closed with "directed by M. Night Shyamalan (based on a true story)"</t>
  </si>
  <si>
    <t>t****e</t>
  </si>
  <si>
    <t>This looks exciting. Finally they made the avatar , the last Airbender live action. Everything looks on the spot.</t>
  </si>
  <si>
    <t>l****2</t>
  </si>
  <si>
    <t>is this a movie or a series?</t>
  </si>
  <si>
    <t>r****5</t>
  </si>
  <si>
    <t>Well it already looks better</t>
  </si>
  <si>
    <t>V****7</t>
  </si>
  <si>
    <t>Please be that this new series lets us forget about the catastrophe that was made by M Night Shyamalan....</t>
  </si>
  <si>
    <t>Finallyyyyyy</t>
  </si>
  <si>
    <t>It better have even episode from the OG series or make it make enough sense to give first time watchers something so understanding.</t>
  </si>
  <si>
    <t>n****5</t>
  </si>
  <si>
    <t>m****0</t>
  </si>
  <si>
    <t>I want this to have a dark/serious tone but that doesn't mean it can't have beautiful and fun moments like the original series had.</t>
  </si>
  <si>
    <t>n****9</t>
  </si>
  <si>
    <t>Tone seems much too serious. Hopefully the trailer misrepresents the tone</t>
  </si>
  <si>
    <t>wow</t>
  </si>
  <si>
    <t>Waiting the epic battle from aang vs lord ozai</t>
  </si>
  <si>
    <t>k****6</t>
  </si>
  <si>
    <t>where did the blue lads go</t>
  </si>
  <si>
    <t>B****n</t>
  </si>
  <si>
    <t>AHSHHHHHHHHWHDNWBEHSJHSJDHWJDHBWGWKAHSHWUWIFBANJSIWHRNSVIQ</t>
  </si>
  <si>
    <t>g****0</t>
  </si>
  <si>
    <t>THEY NEVER SAID HIS NAME AND I'M A LITTLE FREAKED!</t>
  </si>
  <si>
    <t>They need to go ahead and start shooting season two and three asap to keep them young.</t>
  </si>
  <si>
    <t>d****4</t>
  </si>
  <si>
    <t>This trailer is already better than the movie</t>
  </si>
  <si>
    <t>u****t</t>
  </si>
  <si>
    <t>Where is Toph</t>
  </si>
  <si>
    <t>n****3</t>
  </si>
  <si>
    <t>Das sieht ja echt fantastisch aus❤❤</t>
  </si>
  <si>
    <t>p****9</t>
  </si>
  <si>
    <t>Hey, if you need a Sifu Hotman for next season I know just the person!!! Hit me up!</t>
  </si>
  <si>
    <t>Now I am excited 🔥🔥🔥</t>
  </si>
  <si>
    <t>Please Don't, Please don’t ruin the avatar.</t>
  </si>
  <si>
    <t>im in fear the acting wont be good, please prove me wrong. i want this so bad haha</t>
  </si>
  <si>
    <t>k****c</t>
  </si>
  <si>
    <t>Can't wait. The movie was a HUGE disappointment so hoping this is done right</t>
  </si>
  <si>
    <t>s****8</t>
  </si>
  <si>
    <t>was looking for the same person avatar hang, when he learned to bend the other 2 element.</t>
  </si>
  <si>
    <t>👍👍👍👍👍 N</t>
  </si>
  <si>
    <t>j****7</t>
  </si>
  <si>
    <t>Lets hope it's better than the last one.</t>
  </si>
  <si>
    <t>P****A</t>
  </si>
  <si>
    <t>NL</t>
  </si>
  <si>
    <t>I hope MJ Shamalan does not direct it.</t>
  </si>
  <si>
    <t>c****1</t>
  </si>
  <si>
    <t>Casting, effects; it all looks good. I hope the plot doesn’t disappoint.</t>
  </si>
  <si>
    <t>t****n</t>
  </si>
  <si>
    <t>I really hope they stay focused on the story and don't try to push any agenda or politically view with it.Otherwise it's already doomed to fail like every Disney movie from the past years and the sadly failed Witcher series.</t>
  </si>
  <si>
    <t>y****7</t>
  </si>
  <si>
    <t>I hope they learnt from the mistakes from the movie</t>
  </si>
  <si>
    <t>I hope nobody is gay in this movie 🤣</t>
  </si>
  <si>
    <t>Mind blowing ❤❤❤❤!!</t>
  </si>
  <si>
    <t>u****y</t>
  </si>
  <si>
    <t>Movie was better this shi look ass</t>
  </si>
  <si>
    <t>R****9</t>
  </si>
  <si>
    <t>I'm just hoping it's nothing like the movie adaptation</t>
  </si>
  <si>
    <t>u****g</t>
  </si>
  <si>
    <t>Wow , this is so cool ❤ but Where is toph ? 😒</t>
  </si>
  <si>
    <t>I want to cry, this just gave me goosebumps ❤❤❤</t>
  </si>
  <si>
    <t>h****3</t>
  </si>
  <si>
    <t>Can't wait for it! Hope they ll complete the series</t>
  </si>
  <si>
    <t>I hope there will be additions to the plotline... Things that that Nickolodean had to steer away from.A more intense plot was implied, but a Netflix remake seems like the perfect opportunity to convey the realities of generational traumas, sexism, genocide, and abuse that were affecying the world.The original show provides wisdom and inspiration, and this one should too. There are moments, however, where it felt like there were holes in the Nickolodean plotline. They had to leave out some stuff, and we know it.</t>
  </si>
  <si>
    <t>s****y</t>
  </si>
  <si>
    <t>don't flop again bruh</t>
  </si>
  <si>
    <t>y****0</t>
  </si>
  <si>
    <t>Waiting for this movie f9r a very long time</t>
  </si>
  <si>
    <t>a****n</t>
  </si>
  <si>
    <t>Si Netflix sigue dándonos buenas producciones, seguiré como subscriptor y recuperará la confianza del público.</t>
  </si>
  <si>
    <t>d****0</t>
  </si>
  <si>
    <t>Chills. I'm so excited!</t>
  </si>
  <si>
    <t>C****s</t>
  </si>
  <si>
    <t>wow, actually had goosebumps watching this especially when the theme song started to play and when Ang flew off with Appa!! finger crossed!!</t>
  </si>
  <si>
    <t>d****a</t>
  </si>
  <si>
    <t>Cast looks good. Sokka looks like too much of a Chad, he doesnt seem goofy at all.</t>
  </si>
  <si>
    <t>u****s</t>
  </si>
  <si>
    <t>Okay this looks amazing please don’t f*** this up</t>
  </si>
  <si>
    <t>t****0</t>
  </si>
  <si>
    <t>Just dont make aang gay</t>
  </si>
  <si>
    <t>N****n</t>
  </si>
  <si>
    <t>I will be mad if it goes the route of modern liberalism</t>
  </si>
  <si>
    <t>c****3</t>
  </si>
  <si>
    <t>I better see tophhhhhhh</t>
  </si>
  <si>
    <t>e****1</t>
  </si>
  <si>
    <t>This looks so Dope 😮😮🔥🔥</t>
  </si>
  <si>
    <t>D****m</t>
  </si>
  <si>
    <t>The only character they need the cabbage cart man😂😂</t>
  </si>
  <si>
    <t>m****4</t>
  </si>
  <si>
    <t>Christopher Loyd as bumi. Nuff said</t>
  </si>
  <si>
    <t>u****1</t>
  </si>
  <si>
    <t>I’d be embarrassed if I was apart of the first live action adaptation and saw this</t>
  </si>
  <si>
    <t>this actually looks good. and seeing how they managed not to completely butcher Sandman, I actually (cautiously) have a little bit of faith in this production.</t>
  </si>
  <si>
    <t>O****M</t>
  </si>
  <si>
    <t>I wanna see some actual, action martial arts fight scene. Not some half-a$$ slow motion boring stuff LOL</t>
  </si>
  <si>
    <t>3****n</t>
  </si>
  <si>
    <t>Hermoso❤</t>
  </si>
  <si>
    <t>A****a</t>
  </si>
  <si>
    <t>When i saw the poster i got glyphs of my childhood 😍</t>
  </si>
  <si>
    <t>2****u</t>
  </si>
  <si>
    <t>as long as they play their character development correctly, I'm all for this. but if it's just fancy cgi and fights, then meh.</t>
  </si>
  <si>
    <t>k****s</t>
  </si>
  <si>
    <t>there's an imdb listing for the cabbage merchant lol</t>
  </si>
  <si>
    <t>e****s</t>
  </si>
  <si>
    <t>Atlast, a fire nation that is chinese looking not the previous one that is indian looking fire nation.</t>
  </si>
  <si>
    <t>cgi when they were on Appa was a lil off but everything else was great. better than the last attempt lmao</t>
  </si>
  <si>
    <t>e****l</t>
  </si>
  <si>
    <t>suki and sokka, yes yes yes!!!</t>
  </si>
  <si>
    <t>You can't make the "last Airbender" after the last Airbender</t>
  </si>
  <si>
    <t>J****t</t>
  </si>
  <si>
    <t>I want da kniiiife~Eddie Murphy</t>
  </si>
  <si>
    <t>This aint bad My asians But i asked for Book 4 season Thanks ya'lls</t>
  </si>
  <si>
    <t>D****n</t>
  </si>
  <si>
    <t>hope they stick to the plot and not make avatar go black,azula lesbo with lee , or the he/zir genderless toph</t>
  </si>
  <si>
    <t>Well after seeing this teaser and one piece, i want SAITAMA THE 1 PUNCH MAN in live action.....😤and GOKU too</t>
  </si>
  <si>
    <t>I have high hopes from this series and believe that it will be market breaking series.Also the VFX in series look amazing the way the showed a glimpse of fire bending is amazing it feels that they have tried to keep the style of bending same.Also it will be amazing to see if that have taken references from the real Marshal arts from which the bending styles were referenced. Also I love the way you showed earth Kingdom, Northern invasion and Fire Nation.It feels that it is ton of better than The Last Airbender movieWill love to watch it and to support its creators.</t>
  </si>
  <si>
    <t>C****t</t>
  </si>
  <si>
    <t>The CGI looks like shit, what are yall smokin</t>
  </si>
  <si>
    <t>A****r</t>
  </si>
  <si>
    <t>I stopped watching m knight films because of his version of our Avatar. This one is going to be epic.</t>
  </si>
  <si>
    <t>w****s</t>
  </si>
  <si>
    <t>When i tell u i started crying once i saw appa and momo.. I have major trama from the last live action so yea, AND THEY BROUGT IN SUKI, AND THAT BENDING LOOKS AMAZING I CANNOT WAIT!!!!!💚❤💛💙</t>
  </si>
  <si>
    <t>i****8</t>
  </si>
  <si>
    <t>Only thing that was missing was a guy screaming about his cabbage. -P This looks so much better than the first live action.</t>
  </si>
  <si>
    <t>x****x</t>
  </si>
  <si>
    <t>Good luck.  Hopefully you can pull it off.</t>
  </si>
  <si>
    <t>e****e</t>
  </si>
  <si>
    <t>Looks beater than last time looks like a must whach</t>
  </si>
  <si>
    <t>p****2</t>
  </si>
  <si>
    <t>After M. Night Shyamalan's disaster and Amazon's Rings of Power. I hope this will heal our hopes that is about to be consumed.</t>
  </si>
  <si>
    <t>NZ</t>
  </si>
  <si>
    <t>Omg, goosebumps INTENSIFIES</t>
  </si>
  <si>
    <t>G****e</t>
  </si>
  <si>
    <t>Excited</t>
  </si>
  <si>
    <t>u****q</t>
  </si>
  <si>
    <t>Atla is like my favorite cartoon show, and I hope Netflix brings it justice, the franchise did not deserve that god awful movie adaption years ago.</t>
  </si>
  <si>
    <t>s****4</t>
  </si>
  <si>
    <t>flames !!!!!!!!!</t>
  </si>
  <si>
    <t>CAN'T WAIT!!!!!! 🤩</t>
  </si>
  <si>
    <t>r****7</t>
  </si>
  <si>
    <t>Это лучше чем предыдущий круто N</t>
  </si>
  <si>
    <t>u****o</t>
  </si>
  <si>
    <t>Excited 😊</t>
  </si>
  <si>
    <t>R****s</t>
  </si>
  <si>
    <t>ㅈ망한거 또 떴냐? N</t>
  </si>
  <si>
    <t>닌자어쎄신 잼민이 버젼 N</t>
  </si>
  <si>
    <t>Is it going to be movie or series</t>
  </si>
  <si>
    <t>와씨....내년까지 못기다려ㅠㅠㅠ N</t>
  </si>
  <si>
    <t>I'm hopeful.Also feel a little bad for Paul Sun-Hyung Lee trying to fill the impossibly big boots of Uncle Iroh.</t>
  </si>
  <si>
    <t>F****a</t>
  </si>
  <si>
    <t>This real?</t>
  </si>
  <si>
    <t>u****x</t>
  </si>
  <si>
    <t>👍👍😮 N</t>
  </si>
  <si>
    <t>R****E</t>
  </si>
  <si>
    <t>My childhood dreams awakening. Will forever be my favorite cartoon and now cinematic movie ❤❤❤🎉</t>
  </si>
  <si>
    <t>s****e</t>
  </si>
  <si>
    <t>OMG this a great movies of the year.</t>
  </si>
  <si>
    <t>This looks good so far. Praying it ends up being that way. ATLA is such a good story.</t>
  </si>
  <si>
    <t>S****3</t>
  </si>
  <si>
    <t>it looks wonderful.</t>
  </si>
  <si>
    <t>M****e</t>
  </si>
  <si>
    <t>The Iroh cast is PERFECT.</t>
  </si>
  <si>
    <t>Y****c</t>
  </si>
  <si>
    <t>VN</t>
  </si>
  <si>
    <t>Tbh I’m hopping on Netflix to watch this when it releases immediately asap</t>
  </si>
  <si>
    <t>I swear if they don’t say Aang’s name right I’m gonna mg tv</t>
  </si>
  <si>
    <t>n****8</t>
  </si>
  <si>
    <t>if this goes well, it will probably go to korra</t>
  </si>
  <si>
    <t>J****d</t>
  </si>
  <si>
    <t>Finally the accurate looks one!!</t>
  </si>
  <si>
    <t>The vibe feels like JL's snyder cut trailer. Great i love it.</t>
  </si>
  <si>
    <t>a****g</t>
  </si>
  <si>
    <t>I don’t like that Zuko is shown to be fighting back on his Agni Kai</t>
  </si>
  <si>
    <t>JP</t>
  </si>
  <si>
    <t>i just need to see if night shyamalan is in the production crew haha</t>
  </si>
  <si>
    <t>f****n</t>
  </si>
  <si>
    <t>LETSGOOOOOOOOOOOOOOOOOOOO</t>
  </si>
  <si>
    <t>Oh, look, universe without diversity policy. I am wondering why? Netflix became rasist or what?</t>
  </si>
  <si>
    <t>❤❤❤ N</t>
  </si>
  <si>
    <t>i****1</t>
  </si>
  <si>
    <t>Oooh actually bending</t>
  </si>
  <si>
    <t>m****9</t>
  </si>
  <si>
    <t>Alright... they have some of the looks right. Especially Ang, Zuko, Sokka, and the Kyoshi warrior women. The set visuals look terrific- Ba Sing Seh especially. But...so much can go wrong.</t>
  </si>
  <si>
    <t>j****2</t>
  </si>
  <si>
    <t>I hope sokka is funny this time</t>
  </si>
  <si>
    <t>m****s</t>
  </si>
  <si>
    <t>instead of all these shitty shows and torpedoing good shows like the witcher, they should have continued with Marco Polo. would have been a wise investment</t>
  </si>
  <si>
    <t>Its about damn time</t>
  </si>
  <si>
    <t>J****n</t>
  </si>
  <si>
    <t>😍👏🏻😍 N</t>
  </si>
  <si>
    <t>gawk gawk gawk</t>
  </si>
  <si>
    <t>Well let's thank God Shyamalan didn't screw this one up, the first one was the worst recreation of a cartoon I've ever seen EVER!!!</t>
  </si>
  <si>
    <t>Avatar the last Airbender Netflix</t>
  </si>
  <si>
    <t>R****q</t>
  </si>
  <si>
    <t>Last Air Blunder</t>
  </si>
  <si>
    <t>s****s</t>
  </si>
  <si>
    <t>I am ong</t>
  </si>
  <si>
    <t>G****R</t>
  </si>
  <si>
    <t>Can't wait!!!!!!!!!!!!! 🥰🥰🥰</t>
  </si>
  <si>
    <t>x****1</t>
  </si>
  <si>
    <t>AL</t>
  </si>
  <si>
    <t>I was only 8 years old when first watched it, and loved it</t>
  </si>
  <si>
    <t>z****7</t>
  </si>
  <si>
    <t>this is it. it's here. let's go!</t>
  </si>
  <si>
    <t>a****7</t>
  </si>
  <si>
    <t>ROFLMAO</t>
  </si>
  <si>
    <t>Eu chorei ❤❤❤❤</t>
  </si>
  <si>
    <t>Amazing!! Thanks for continuing the saga.</t>
  </si>
  <si>
    <t>s****k</t>
  </si>
  <si>
    <t>Can't wait 😭😩</t>
  </si>
  <si>
    <t>YEEEEESSSSSSS I AM SOOOO EXCITED!!!!!</t>
  </si>
  <si>
    <t>S****h</t>
  </si>
  <si>
    <t>Loved the movie year's ago was waiting for part 2</t>
  </si>
  <si>
    <t>c****d</t>
  </si>
  <si>
    <t>This is just so gooooodd... It should have been a series I mean one is not enough😢</t>
  </si>
  <si>
    <t>b****9</t>
  </si>
  <si>
    <t>Can't wait for them to cancel this after the first season.</t>
  </si>
  <si>
    <t>a****e</t>
  </si>
  <si>
    <t>ZA</t>
  </si>
  <si>
    <t>Not the 2010 disaster please</t>
  </si>
  <si>
    <t>v****h</t>
  </si>
  <si>
    <t>let the show age for fucks sake just leave it be. I think i speak for everyone with a functioning brain when i say just let avatar stay as it is. Stop with reboots and just make original ideas</t>
  </si>
  <si>
    <t>i****_</t>
  </si>
  <si>
    <t>Hopefully we don't meet... UNG again lol.</t>
  </si>
  <si>
    <t>FINALLY !</t>
  </si>
  <si>
    <t>g****9</t>
  </si>
  <si>
    <t>It looks so good, I’m so excited to see how it is!!</t>
  </si>
  <si>
    <t>A****d</t>
  </si>
  <si>
    <t>Is the live action based on Book 1 or multiple books?</t>
  </si>
  <si>
    <t>b****2</t>
  </si>
  <si>
    <t>Just a trailer and I have higher hopes for this than that last crock of shit done by whoever that was. 😂</t>
  </si>
  <si>
    <t>T****1</t>
  </si>
  <si>
    <t>Vfx looks amazing🔥</t>
  </si>
  <si>
    <t>Releasing two days after my birthday..nice</t>
  </si>
  <si>
    <t>This is already looking so much better then that other adaptation.</t>
  </si>
  <si>
    <t>l****9</t>
  </si>
  <si>
    <t>Can't wait ❤❤❤❤🥹😭😭</t>
  </si>
  <si>
    <t>e****8</t>
  </si>
  <si>
    <t>I need the cactus juice scene</t>
  </si>
  <si>
    <t>J****x</t>
  </si>
  <si>
    <t>HOPEFULLY, they won’t squeeze 1 series out of the first two books, that was the issue with the movie not having a sequel</t>
  </si>
  <si>
    <t>Is the human version out already or just wanna be published Because the one I’ve been seeing are animations</t>
  </si>
  <si>
    <t>A****8</t>
  </si>
  <si>
    <t>ABSOLUTELY INCREDIBLE! I did notice though that Sokka does not have a ponytail!</t>
  </si>
  <si>
    <t>f****s</t>
  </si>
  <si>
    <t>you people rooting for this should be ashamed of yourselvesI hope that, like the people of Nineveh, you come to the knowledge of your grievous sins and ask forgiveness for this heinous act</t>
  </si>
  <si>
    <t>Aang his hope, katara's drive, Sokka's leadership, the thougness of Toph! De people to look up to. While unle iroh is learning lifelessons🙌 Seeing Zuko his redemption you know there is always a way to do better. The animated series learned me about life. So netflix give the last air bender his redemption🤝</t>
  </si>
  <si>
    <t>I dunno why everyone is shitting on the film it wasn’t that bad. I ain’t getting good vibes with this main character though tbh</t>
  </si>
  <si>
    <t>O****1</t>
  </si>
  <si>
    <t>Is that just lighting or Katara and Sokka more white again ? after Netflix trying so hard to make known characters black? ... SURPRISING</t>
  </si>
  <si>
    <t>p****3</t>
  </si>
  <si>
    <t>Whre azula n her group?</t>
  </si>
  <si>
    <t>G****5</t>
  </si>
  <si>
    <t>Have to see to judge 🤔But lately 50% they are doing it right</t>
  </si>
  <si>
    <t>I feel the hardest part to bring to life woild be the way their bodies move when performing their bending ability. That was so satisfying to watch, especially when an earth bender does it.</t>
  </si>
  <si>
    <t>THIS LOOKS SO GOOD!!!!!</t>
  </si>
  <si>
    <t>I****z</t>
  </si>
  <si>
    <t>LETS GOOOOOOOOOOOOOOOOOOOOOOOOOOOOOOOOO</t>
  </si>
  <si>
    <t>f****g</t>
  </si>
  <si>
    <t>Why do you like this, this looks awful</t>
  </si>
  <si>
    <t>c****l</t>
  </si>
  <si>
    <t>Same shit man make better movies already something new</t>
  </si>
  <si>
    <t>v****z</t>
  </si>
  <si>
    <t>This looks incredible!!Hope it’s as good as it looks.</t>
  </si>
  <si>
    <t>n****r</t>
  </si>
  <si>
    <t>I hope they use the same composer for the music.</t>
  </si>
  <si>
    <t>Ok but for HOWWW MUUCCHHH LONGER IS HE GOING TO REMAIN A KIDDDFDRFFFFFDDDDDDDDDD</t>
  </si>
  <si>
    <t>no</t>
  </si>
  <si>
    <t>u****e</t>
  </si>
  <si>
    <t>Please, it’s fine to take this slow, your touching something extremely sensitive to a lot of us growing up. Character development is what keeps people watching</t>
  </si>
  <si>
    <t>Ung has tik eyebrows</t>
  </si>
  <si>
    <t>N****6</t>
  </si>
  <si>
    <t>IT LOOKS SO GOOD</t>
  </si>
  <si>
    <t>toph better be in this show</t>
  </si>
  <si>
    <t>Is it a series or a movie? It looks well produced but still looks much more serious than the original series.</t>
  </si>
  <si>
    <t>c****p</t>
  </si>
  <si>
    <t>this looks promising, but what are you doing to my Azula 😭</t>
  </si>
  <si>
    <t>f****a</t>
  </si>
  <si>
    <t>Where's Toph?</t>
  </si>
  <si>
    <t>N****3</t>
  </si>
  <si>
    <t>It's a movie or a series?</t>
  </si>
  <si>
    <t>f****9</t>
  </si>
  <si>
    <t>SOKKA IS WHITE? no.</t>
  </si>
  <si>
    <t>a****s</t>
  </si>
  <si>
    <t>Let's try this again...</t>
  </si>
  <si>
    <t>S****d</t>
  </si>
  <si>
    <t>I am very excited to it. ❤😇</t>
  </si>
  <si>
    <t>m****8</t>
  </si>
  <si>
    <t>GH</t>
  </si>
  <si>
    <t>Aang has to be funny and not too serious or matured</t>
  </si>
  <si>
    <t>g****y</t>
  </si>
  <si>
    <t>Hey! Katara and Sokka are not white in the anime.</t>
  </si>
  <si>
    <t>b****e</t>
  </si>
  <si>
    <t>105 tatto kepala aang bermotif saat menyala.</t>
  </si>
  <si>
    <t>G****a</t>
  </si>
  <si>
    <t>Netflix live adaptation is work 🔥One piece, and now avatar last Airbender, hopefully upcoming project work - Weldon Netflix 👍❤️😐</t>
  </si>
  <si>
    <t>p****8</t>
  </si>
  <si>
    <t>tbh, i hate most netflix adaptations. they've ruined everything so far. but this gives me goosebumps. especially that music at the end. it feels so authentic.</t>
  </si>
  <si>
    <t>Ok google...</t>
  </si>
  <si>
    <t>I****y</t>
  </si>
  <si>
    <t>disappointing they didn't make katara nd soka black as in the show.</t>
  </si>
  <si>
    <t>o****a</t>
  </si>
  <si>
    <t>Well done netflix 🫰🫰</t>
  </si>
  <si>
    <t>k****7</t>
  </si>
  <si>
    <t>Redemption 😤</t>
  </si>
  <si>
    <t>The firebender with Chinese actors are much better than Indian that i watched in the movie</t>
  </si>
  <si>
    <t>Way to cast the white variants of two of the most important brown NATIVE characters (Sokka &amp; Katara) @Netflix. ...Damn! Is this how white people felt when they cast a black girl as a mermaid? 😂😂😂😂😂😂😒</t>
  </si>
  <si>
    <t>y****t</t>
  </si>
  <si>
    <t>Look at my boy Appa )</t>
  </si>
  <si>
    <t>In the previous live action, Firebenders were unable to create fire except for Zuko's uncle Iroh. This new live-action seems better, Firebenders can create their own fire.</t>
  </si>
  <si>
    <t>e****n</t>
  </si>
  <si>
    <t>actually looks good. i didn't think it would.</t>
  </si>
  <si>
    <t>t****1</t>
  </si>
  <si>
    <t>How many earth benders needed to move a small rock 🪨 in this one?</t>
  </si>
  <si>
    <t>T****g</t>
  </si>
  <si>
    <t>great trailer!</t>
  </si>
  <si>
    <t>Y’all remember the original movie? 👀😉</t>
  </si>
  <si>
    <t>w****4</t>
  </si>
  <si>
    <t>Netflix I want this sonner</t>
  </si>
  <si>
    <t>p****5</t>
  </si>
  <si>
    <t>Kenapa gak di tanggal ini, klo buat hari raya Natal bagus, buat hiburan Natal?</t>
  </si>
  <si>
    <t>Goosebumps man.  biggest fan of the series</t>
  </si>
  <si>
    <t>v****9</t>
  </si>
  <si>
    <t>The trailer already give me a goosebump</t>
  </si>
  <si>
    <t>f****6</t>
  </si>
  <si>
    <t>when I watched this official trailer. suddenly my childhood soul appeared beside me, patted my shoulder and smiled cheerfully. I almost forgot what it felt like to be free from the fatigue of life like I was when I was little. don't think about any burdensYou bring back my chilhood..netflix! 😀</t>
  </si>
  <si>
    <t>This time is Ang, right? Right?</t>
  </si>
  <si>
    <t>l****i</t>
  </si>
  <si>
    <t>I swear to god, if this movie ends up being a repeat of 'that which we do not acknowledge' I will burn the planet to the ground.</t>
  </si>
  <si>
    <t>What a trailer...Pls when is it going to available can't wait 😳😳</t>
  </si>
  <si>
    <t>all rats get exposed</t>
  </si>
  <si>
    <t>LK</t>
  </si>
  <si>
    <t>The recreation of locations are amaziing</t>
  </si>
  <si>
    <t>k****2</t>
  </si>
  <si>
    <t>Always remember who you are... everyone hero of our own story... believe theirself... dedicated to every ordinary people ❤</t>
  </si>
  <si>
    <t>I am also hopeful that this does a WAYYYYYYYY better job than whatever that abonination that was Mnightshamalongadingdong's movie was.  The animated show was so good (Even though I was kinda late watching it)  Please be better than whatever that LIVE ACTION ONE PIECE was XD</t>
  </si>
  <si>
    <t>The only good thing about that movie that must not be named was the tattoo. It has intricate patterns in the arrow shape but this one looks like the original which is TOTALLY fine btw. I watched the series from start to end just a couple of months ago and has been waiting for the live action reveal and I am hyped!</t>
  </si>
  <si>
    <t>I acruallt have tears in my eyes.. It looks so good here. It is directly deom cartoon to irl, it's so good. The casting- I- I'm speechless. This gives me so much hope.</t>
  </si>
  <si>
    <t>M****M</t>
  </si>
  <si>
    <t>103 Azula looks beautiful. I like that her hair in down since we always saw it up and the only time we saw it down in animation was when she went crazy. Can’t wait to see her go from leader to boss to bossed to bosssiest to a breakdown( unless I’m bugging and that’s not Azula)</t>
  </si>
  <si>
    <t>L****5</t>
  </si>
  <si>
    <t>This is exactly like the old avatar movie. Better modify it with better twist  and story telling.  We want avatar 2 . I.e, after ong saved the water tribe from fire tribe</t>
  </si>
  <si>
    <t>dont ruin it like the movie</t>
  </si>
  <si>
    <t>v****7</t>
  </si>
  <si>
    <t>Look so much better!!</t>
  </si>
  <si>
    <t>Y****1</t>
  </si>
  <si>
    <t>Hopefully, fire benders dont need source this time and finally zuko look like himself, i hope they make ang just like in the animated brave instead of being coward</t>
  </si>
  <si>
    <t>r****z</t>
  </si>
  <si>
    <t>Please Netflix shouldn't add gay and trans scene</t>
  </si>
  <si>
    <t>👏🏻😍👏🏻😍👏🏻😍👏🏻 N</t>
  </si>
  <si>
    <t>Já assisti esse filme na sessão da tarde</t>
  </si>
  <si>
    <t>Yaaaay… A show created and largely voice acted by… white people… will now be mysteriously missing that entire race. You can tell this show totally wasn’t made to sell and pander to a certain audience type… *cough* Asians.</t>
  </si>
  <si>
    <t>R****6</t>
  </si>
  <si>
    <t>just the arrow on his head being correct has me excited</t>
  </si>
  <si>
    <t>ID</t>
  </si>
  <si>
    <t>it looks real</t>
  </si>
  <si>
    <t>w****x</t>
  </si>
  <si>
    <t>Why did yall have to do this to prince Zuka? He looks nothing like the original character.</t>
  </si>
  <si>
    <t>b****s</t>
  </si>
  <si>
    <t>DE</t>
  </si>
  <si>
    <t>Gänsehaut</t>
  </si>
  <si>
    <t>a****8</t>
  </si>
  <si>
    <t>If this isnt 1000% faithfult to the show, then i wont be interested. To me, it wouldnt be cannon if that were the case.</t>
  </si>
  <si>
    <t>3****G</t>
  </si>
  <si>
    <t>Fool me seven times, shame on you. Fool me eight or more times... Shame on me.</t>
  </si>
  <si>
    <t>I****r</t>
  </si>
  <si>
    <t>Ok IM GONNA CRY</t>
  </si>
  <si>
    <t>A****9</t>
  </si>
  <si>
    <t>THIS LOOKS SO GOOD!!!! THIS is how you do a live action adaptation!!! I can not wait!!!</t>
  </si>
  <si>
    <t>m****c</t>
  </si>
  <si>
    <t>How come the tittle is same with that of 13years Ago. Avatar –The last Airbender</t>
  </si>
  <si>
    <t>i usually create reallity with my mind - and i want this to be the greatest thing ever, so i KNOW this will be.</t>
  </si>
  <si>
    <t>First we got live action for one piece and now this another live action for avatar</t>
  </si>
  <si>
    <t>I hope Netflix learned from The Witcher and One Piece and sticks to the original material, if so, very excited about this series!!!</t>
  </si>
  <si>
    <t>m****5</t>
  </si>
  <si>
    <t>My favorite carton ever! Goosebumps all my body -and I am saying all my body, is ALL my BODY 😅, that is a good sign, right?</t>
  </si>
  <si>
    <t>Follow me my friend</t>
  </si>
  <si>
    <t>My wife is a big fan of the original show and I’ve seen bits and pieces and liked what I saw. We’re finally sitting down and watching the show together and I’m loving it (currently on s3 e5). This trailer has more of an impact now that I started watching after this trailer came out, and for once, I’m actually excited about a live action adaptation.</t>
  </si>
  <si>
    <t>I might actually buy Netflix again when this releases</t>
  </si>
  <si>
    <t>P****J</t>
  </si>
  <si>
    <t>Just waiting to see how will they pronounce ‘Aang’</t>
  </si>
  <si>
    <t>055 Goosebump bgm🔥</t>
  </si>
  <si>
    <t>h****2</t>
  </si>
  <si>
    <t>I’m so happy they got the music</t>
  </si>
  <si>
    <t>2****b</t>
  </si>
  <si>
    <t>I will definitely buy netflix at least for watching this.</t>
  </si>
  <si>
    <t>w****w</t>
  </si>
  <si>
    <t>It looks way better than the movie you can’t do worse than aung</t>
  </si>
  <si>
    <t>Los mejores en agarrar algo bueno y hacerlo fallar. No entiendo para qué hacen live action una serie que funciona bien animada. Gasten recursos en otra cosa</t>
  </si>
  <si>
    <t>I need the same hindi dubbing artists in this.</t>
  </si>
  <si>
    <t>J****w</t>
  </si>
  <si>
    <t>My one hope is that this is better than the movie 🤣</t>
  </si>
  <si>
    <t>F****1</t>
  </si>
  <si>
    <t>Netflix if this doesn't follow the actual story im done with your overpriced sub fee. And your "creative writers" trying to make the show their own.</t>
  </si>
  <si>
    <t>@Elca_Gaming</t>
  </si>
  <si>
    <t>k****a</t>
  </si>
  <si>
    <t>Hopefully this one is better then the last movie Because I'm a huge Avatar fan  and i don't wanna be left disappointed for the second time ❤</t>
  </si>
  <si>
    <t>Feb 2022??</t>
  </si>
  <si>
    <t>Another Netflix show that will be cancelled just after 1 season.</t>
  </si>
  <si>
    <t>p****k</t>
  </si>
  <si>
    <t>Expect Dissapointment, Hope for the Best</t>
  </si>
  <si>
    <t>u****n</t>
  </si>
  <si>
    <t>IE</t>
  </si>
  <si>
    <t>Please for the love of god make it faithful to the source material</t>
  </si>
  <si>
    <t>H****t</t>
  </si>
  <si>
    <t>Eh. I won't get my hopes up. I want it to be good. We shall see, shan't we.</t>
  </si>
  <si>
    <t>J****s</t>
  </si>
  <si>
    <t>Don't u mess this up.</t>
  </si>
  <si>
    <t>E****s</t>
  </si>
  <si>
    <t>YEAAAAHHHHHH!!!!!!!</t>
  </si>
  <si>
    <t>But... Why?</t>
  </si>
  <si>
    <t>Mannnnn y’all really run out of ideas&amp; writing skill over there in Hollywood, cause this movie came out already so what’s the difference now ?</t>
  </si>
  <si>
    <t>E****_</t>
  </si>
  <si>
    <t>i think i already watched the last airbender(not anime) before. is this a remake?</t>
  </si>
  <si>
    <t>Netflix is coming out with a lot of new movies.</t>
  </si>
  <si>
    <t>t****4</t>
  </si>
  <si>
    <t>Dear Netfllix, use black people properly, keep them away from Antiquity, Dark Ages, Georgian, Elizabethan,Victorian and Edwardian England.   Comprenda? Same goes for brown people too.</t>
  </si>
  <si>
    <t>The biggest worry is seeing scenes/locations from books 1 and 2. Is there any confirmation of this being a single season limited series or will we get multiple with representation of each nation through out the story? Given good writing, there is so much depth beyond the original series to expand upon further. Looking forward to seeing Uncle Iro!</t>
  </si>
  <si>
    <t>D****d</t>
  </si>
  <si>
    <t>okay this is cool but just like how the movie failed i need to hear how they say his name if they say his name like the other movie this will just be a huge flop</t>
  </si>
  <si>
    <t>The Aang is copy of Nepali movie Carreng.🤣🤣🤣</t>
  </si>
  <si>
    <t>s****m</t>
  </si>
  <si>
    <t>God... I hope they actually tell the whole story this time. I'm so done with Chapter 1 and quit storytellers.</t>
  </si>
  <si>
    <t>I just pray they say Aang's name correctly....</t>
  </si>
  <si>
    <t>YARRAK GİBİ OLUCAK</t>
  </si>
  <si>
    <t>v****6</t>
  </si>
  <si>
    <t>So an exact remake of a movie that had tons of potential…will it follow suit? Guess we’ll see.</t>
  </si>
  <si>
    <t>Hopefully, it's better than the dumbazz movie.</t>
  </si>
  <si>
    <t>G****n</t>
  </si>
  <si>
    <t>Waiting for Book 2 with Tough Beifang.My favorite</t>
  </si>
  <si>
    <t>Hopefully It's made by an actually competent studio. Not netflix</t>
  </si>
  <si>
    <t>s****3</t>
  </si>
  <si>
    <t>TOPH BETTER BE IN THIS OR IM NOT WATCHING</t>
  </si>
  <si>
    <t>b****x</t>
  </si>
  <si>
    <t>I like the casting, but I can always complain.I wish they would've made Sokka and Katara look more like in the cartoon.  Blue eyes, darker skin.  They're a fictional "race" of people.  They don't have to accurately represent any real ethnicity that exists today.  Maybe they tried it but the CGI looked like shi?</t>
  </si>
  <si>
    <t>X****y</t>
  </si>
  <si>
    <t>NG</t>
  </si>
  <si>
    <t>Why's Kitara bigger than Aang?</t>
  </si>
  <si>
    <t>f****e</t>
  </si>
  <si>
    <t>Please don’t let this be a dumpster fire like the first movie! This is such an amazing show and beautiful lessons and characters. This is already looking better than last time but please y’all don’t ruin this 😅</t>
  </si>
  <si>
    <t>K****y</t>
  </si>
  <si>
    <t>I wonder if they will cover all the chapters up until Firelord Ozai. That was one of the most epic buildups to a fight I’d ever seen when I was a kid</t>
  </si>
  <si>
    <t>Better follow the cartoon show</t>
  </si>
  <si>
    <t>r****e</t>
  </si>
  <si>
    <t>Mannnnnn y’all already came out with one in 2010  🤣lame asf who writing ✍️ for y’all in Hollywood only difference it’s on Netflix 😂</t>
  </si>
  <si>
    <t>Wow, this series looks absolutely amazing. It looks so accurate to the cartoon, especially at 027, which looks like Ba Singh Se and the Agni Kai between Firelord Ozai and Zuko. Even the iceberg looks amazing. This series looks so much better than the movie. The casting for all the characters is just amazing and really accurate compared to the movie.</t>
  </si>
  <si>
    <t>Looks pretty bad</t>
  </si>
  <si>
    <t>G****c</t>
  </si>
  <si>
    <t>More realistic than before</t>
  </si>
  <si>
    <t>S****a</t>
  </si>
  <si>
    <t>Its trash</t>
  </si>
  <si>
    <t>c****7</t>
  </si>
  <si>
    <t>This looks a lot better than the last one that came out! I'm stoked! This looks awesome!</t>
  </si>
  <si>
    <t>first great move was proper casting, at least  they look like the characters</t>
  </si>
  <si>
    <t>T****0</t>
  </si>
  <si>
    <t>รอเลยค่ะชอบเรื่องนี้มาก เว่อเก่าทำให้ค้างคาเว่อ N</t>
  </si>
  <si>
    <t>m****3</t>
  </si>
  <si>
    <t>I think it would be best addition</t>
  </si>
  <si>
    <t>Дождались N</t>
  </si>
  <si>
    <t>YES PLEASEEEEE !!!!!</t>
  </si>
  <si>
    <t>M****2</t>
  </si>
  <si>
    <t>031 youngest old man I've ever seen</t>
  </si>
  <si>
    <t>E****e</t>
  </si>
  <si>
    <t>Film name shoud be "Arrow Down"</t>
  </si>
  <si>
    <t>v****0</t>
  </si>
  <si>
    <t>You shuould change the azula👉👈</t>
  </si>
  <si>
    <t>j****6</t>
  </si>
  <si>
    <t>are we gonna ignore that Soka and Katara look nothing alike? like katara's mother cheated on her father with a fire-bender 😕</t>
  </si>
  <si>
    <t>I hope they do a better job than the previous one</t>
  </si>
  <si>
    <t>Azula don't look menacing enough,she just looks like the mean girl at school</t>
  </si>
  <si>
    <t>M****v</t>
  </si>
  <si>
    <t>This is what Netflix should have done years ago just take other people's IP and make it themselves. Make One Piece. Make Avatar. Heck there's so much cool stuff. Make Mistborn. Make Red Rising. Make Elderlings. Just keep doing this instead of trying to make up original stuff.</t>
  </si>
  <si>
    <t>How many years waiting for this movie. But finally it happened ❤</t>
  </si>
  <si>
    <t>k****v</t>
  </si>
  <si>
    <t>I am literally dancing right nowI hope Netflix will do justice to our childhood memories 😊</t>
  </si>
  <si>
    <t>CN</t>
  </si>
  <si>
    <t>I just hope there is Uncle Iroh's Tsungi horn and wisdom talks present in movie.</t>
  </si>
  <si>
    <t>u****a</t>
  </si>
  <si>
    <t>Hopefully we do better this time around 😂</t>
  </si>
  <si>
    <t>Nice</t>
  </si>
  <si>
    <t>Why recreate the same movie</t>
  </si>
  <si>
    <t>Please oh please be better than the movie.</t>
  </si>
  <si>
    <t>Why does momo look like that 😭</t>
  </si>
  <si>
    <t>tbh, this casting is mind blowing fr 🔥</t>
  </si>
  <si>
    <t>u****r</t>
  </si>
  <si>
    <t>Netflix need to stop ruining my childhood memories. Everything is better when it's animated, not the other way around.</t>
  </si>
  <si>
    <t>🤝🕊️ N</t>
  </si>
  <si>
    <t>I love this please don't be like the last one don't disappoint</t>
  </si>
  <si>
    <t>A****v</t>
  </si>
  <si>
    <t>RO</t>
  </si>
  <si>
    <t>the plot is the same as the anime. don't bother watching it if you've seen the anime... this is def worst by a lot compared to the anime</t>
  </si>
  <si>
    <t>A****e</t>
  </si>
  <si>
    <t>MY</t>
  </si>
  <si>
    <t>i hope like everything else they wont ruin it.</t>
  </si>
  <si>
    <t>THIS BETTER BE 6 HOURS LONG !!!!!!!!!!!!!!! I LOVED THIS, THANKS TO THE CREATORS GETTING INVOLVED.</t>
  </si>
  <si>
    <t>a****3</t>
  </si>
  <si>
    <t>i used to watch this on mbc3 when I was a kid on MBC3, anyone related?</t>
  </si>
  <si>
    <t>a****w</t>
  </si>
  <si>
    <t>Finally🎉🎉🎉❤❤❤😍😍😍😍</t>
  </si>
  <si>
    <t>##34 IS SMILE 😈😈</t>
  </si>
  <si>
    <t>a****6</t>
  </si>
  <si>
    <t>Really they used Chinese people and not the Indians they used in the movie. I have high hopes</t>
  </si>
  <si>
    <t>m****a</t>
  </si>
  <si>
    <t>kỹ xảo hơi kém ha</t>
  </si>
  <si>
    <t>oh boy... here we go again.</t>
  </si>
  <si>
    <t>g****h</t>
  </si>
  <si>
    <t>gj</t>
  </si>
  <si>
    <t>r****2</t>
  </si>
  <si>
    <t>Ill Reserve my judgement until I hear them say the names....</t>
  </si>
  <si>
    <t>I am soooooooooooo freaking excited!!!</t>
  </si>
  <si>
    <t>f****8</t>
  </si>
  <si>
    <t>Movie OR Series?</t>
  </si>
  <si>
    <t>F****t</t>
  </si>
  <si>
    <t>059- The fact they got the Zuko origin story right restored my faith in this series</t>
  </si>
  <si>
    <t>O****5</t>
  </si>
  <si>
    <t>ok.... this looks dope.....</t>
  </si>
  <si>
    <t>Need a new avatar series. Not the avatar last Airbender or legend of korra</t>
  </si>
  <si>
    <t>k****5</t>
  </si>
  <si>
    <t>I just hope they don't make it too overly serious. That's where live actions fail every single time.</t>
  </si>
  <si>
    <t>I'm really going crazy with happiness and I'm counting the minutes for it to come, thank you Netflix😍🤩🥳🥳🥳</t>
  </si>
  <si>
    <t>m****e</t>
  </si>
  <si>
    <t>finally the real Live Action Avatar</t>
  </si>
  <si>
    <t>Yep yep jajaja, ahora si se la rifaron y hasta se parecen los actores a los personajes jaja 😁😁👍👍</t>
  </si>
  <si>
    <t>s****g</t>
  </si>
  <si>
    <t>Hell yea</t>
  </si>
  <si>
    <t>NP</t>
  </si>
  <si>
    <t>this has better character selection/ actors than before,</t>
  </si>
  <si>
    <t>b****8</t>
  </si>
  <si>
    <t>I love this can’t wait to see it how it looks like in real life just want them to make it awesome without skipping any event and also please make prequels on avatar Kyoshi and Roku like show there stories too how kyoshi became cold and most powerfull avatar And her next life Roku how he lost his battle</t>
  </si>
  <si>
    <t>B****r</t>
  </si>
  <si>
    <t>Animation version is much better than this.</t>
  </si>
  <si>
    <t>a****k</t>
  </si>
  <si>
    <t>Mhm....zu viel greenscreen. Wieder mal günstig produziert um den Mainstream zu befriedigen...</t>
  </si>
  <si>
    <t>i'm kinda scared about how this could go it's a 50/50 chance it could be good or shit</t>
  </si>
  <si>
    <t>Exciting!❤</t>
  </si>
  <si>
    <t>M****t</t>
  </si>
  <si>
    <t>Bring back the Indian fire nation</t>
  </si>
  <si>
    <t>t****2</t>
  </si>
  <si>
    <t>This looks good.</t>
  </si>
  <si>
    <t>N****l</t>
  </si>
  <si>
    <t>This is dumb just continue the animation</t>
  </si>
  <si>
    <t>Dear @netflix,  please do all the movies. DC has already done me wrong &amp; I don't think I could take another hit! SMH</t>
  </si>
  <si>
    <t>i****e</t>
  </si>
  <si>
    <t>I think animated series still, better than this )</t>
  </si>
  <si>
    <t>This looks like the Avatar fans have been waiting for...</t>
  </si>
  <si>
    <t>b****5</t>
  </si>
  <si>
    <t>I swear, if they don’t cast Toph as a giant buff dude imma lose it</t>
  </si>
  <si>
    <t>b****7</t>
  </si>
  <si>
    <t>after how many years ..........bri the last movie sucked timewise not to mention the to be contineud ........... only now do we get the following part fair to say i pretty much lost all interest</t>
  </si>
  <si>
    <t>Looks like trash aang still a white Canadian kid let’s see what else they white wash 😮</t>
  </si>
  <si>
    <t>Pleasepleasepleaseplease don't suck...</t>
  </si>
  <si>
    <t>c****0</t>
  </si>
  <si>
    <t>will netflix screw up another series like they did with Witcher?  time will tell</t>
  </si>
  <si>
    <t>why not just drop the anime again</t>
  </si>
  <si>
    <t>I hope they didn't this woke. I get people are excited but don't let this blind you all to the BS that may appear in it. Regardless, I hope it does do well. And to be honest the M.Night version is BAD but it had it's good moments. Anyway, I will wait until I watch it to comment further.Netflix, you better have gotten this right, you feel me?</t>
  </si>
  <si>
    <t>V****f</t>
  </si>
  <si>
    <t>hope this one doesn't have the floating rock thing</t>
  </si>
  <si>
    <t>C****2</t>
  </si>
  <si>
    <t>I’m surprised he’s  white</t>
  </si>
  <si>
    <t>J****8</t>
  </si>
  <si>
    <t>Esa no es Katara 😥</t>
  </si>
  <si>
    <t>Movie not necessary</t>
  </si>
  <si>
    <t>doesn't make sense to me</t>
  </si>
  <si>
    <t>Like the actors in the last movie were good its just the script</t>
  </si>
  <si>
    <t>b****t</t>
  </si>
  <si>
    <t>Well this looks promising</t>
  </si>
  <si>
    <t>u****4</t>
  </si>
  <si>
    <t>What's the difference of the The Last Airbender 2010 to this 2024?</t>
  </si>
  <si>
    <t>Extremely happy that they are going with the same theme music! This gives hope for something good and they have not tried distorting the original story line or the animations. The original series music was top notch.</t>
  </si>
  <si>
    <t>1st season will be solid, 2nd season just okay, 3rd season will be cancelled.</t>
  </si>
  <si>
    <t>C****1</t>
  </si>
  <si>
    <t>This actually looks promising! Hopefully the redemption arc begins. T^T</t>
  </si>
  <si>
    <t>Justice has been done to this movie,thank you netflix</t>
  </si>
  <si>
    <t>Wow, they're making The Last Airbender into a live action show for the first time ever!</t>
  </si>
  <si>
    <t>i****o</t>
  </si>
  <si>
    <t>I have been waiting for a new Avatar The Last Air Bender movie for YEARS and now many many years later it finally gets made and out of all the companies in the world Netflix stepped up! I'm not a Netflix fan because of all the woke and untasteful things they have pumped out I'm very grateful so I'm going to give them 8 out of 10 stars. Thank You Netflix!</t>
  </si>
  <si>
    <t>If this one is not funny... I'm done watching Avatar movies 😒</t>
  </si>
  <si>
    <t>“Keep it straight” lol not in a Netflix adaptation 💀</t>
  </si>
  <si>
    <t>This is somehow going to ruin the franchise even worse than Tlok</t>
  </si>
  <si>
    <t>f****i</t>
  </si>
  <si>
    <t>Already you can tell this is going to be too serious and totally miss the humor and happiness in the TV series.</t>
  </si>
  <si>
    <t>Avatar cartoon is my favorite and I hope this one is better than the cartoon.</t>
  </si>
  <si>
    <t>🍿🍿🍿🍿 N</t>
  </si>
  <si>
    <t>Y****o</t>
  </si>
  <si>
    <t>Without this Music Avatar would've been incomplete, it's like fantasy came true , so glad they used this..</t>
  </si>
  <si>
    <t>I wonder if they’ll keep the humor in the script, how Aang was just a playful kid and Sokka was hilarious.</t>
  </si>
  <si>
    <t>j****0</t>
  </si>
  <si>
    <t>water tribe should be black..</t>
  </si>
  <si>
    <t>Where is toff?</t>
  </si>
  <si>
    <t>T****m</t>
  </si>
  <si>
    <t>Ava means to Come down and "Tar" means to protect. The word Avatar came from Sanskrit language and the trailer completely justifies the Title.</t>
  </si>
  <si>
    <t>d****t</t>
  </si>
  <si>
    <t>Just remember Mike and Bryan said this when they left “whatever ends up on-screen, it will not be what Bryan and I had envisioned or intended to make”</t>
  </si>
  <si>
    <t>M****m</t>
  </si>
  <si>
    <t>Hope they dont remove the secret tunnel episode</t>
  </si>
  <si>
    <t>F****7</t>
  </si>
  <si>
    <t>please God, please..don't mess it up again.</t>
  </si>
  <si>
    <t>G****s</t>
  </si>
  <si>
    <t>What did I say guys!!?? I put a lot of faith in this show because I really believed in true fans wanting to be as authentic as possible to the actual show. I really can’t wait.</t>
  </si>
  <si>
    <t>p****_</t>
  </si>
  <si>
    <t>🔥🔥🔥🔥🔥 N</t>
  </si>
  <si>
    <t>B****2</t>
  </si>
  <si>
    <t>Damn, I didn't think they would even show Ozai in season 1 but here he is bending Fire in all his glory in the trailer</t>
  </si>
  <si>
    <t>P****i</t>
  </si>
  <si>
    <t>this is gonna be a blockbuster, i feel it</t>
  </si>
  <si>
    <t>Never bought Netflix subscription but for this movie I will buy itCan’t wait for this movie release</t>
  </si>
  <si>
    <t>015 only Frostpunk players know this sound</t>
  </si>
  <si>
    <t>Destiny is a funny Thing -Iroh</t>
  </si>
  <si>
    <t>p****4</t>
  </si>
  <si>
    <t>I hope it's better than the 2010 M.Night Shyamalan version....what a piece of crap, and I LOVE him as a director, but not for this one.</t>
  </si>
  <si>
    <t>t****d</t>
  </si>
  <si>
    <t>what happened to the lighting budget?</t>
  </si>
  <si>
    <t>Why is that ang..</t>
  </si>
  <si>
    <t>DO</t>
  </si>
  <si>
    <t>Kioshis Warriors look Amazing!</t>
  </si>
  <si>
    <t>I swear if they screw this one up they will never see the end of it</t>
  </si>
  <si>
    <t>cant wait</t>
  </si>
  <si>
    <t>z****i</t>
  </si>
  <si>
    <t>Looks like Zuko and Katara fans are finally getting their endgame</t>
  </si>
  <si>
    <t>C****o</t>
  </si>
  <si>
    <t>Please please get this right,  I know you will..</t>
  </si>
  <si>
    <t>a****m</t>
  </si>
  <si>
    <t>I wish they left the fire lord's face a mystery first just like in the anime</t>
  </si>
  <si>
    <t>e****6</t>
  </si>
  <si>
    <t>All they gotta do is to stick to the original series. Not another disaster please because it looks so good🙏🙏🙏</t>
  </si>
  <si>
    <t>c****m</t>
  </si>
  <si>
    <t>xin chào tất cả các ban</t>
  </si>
  <si>
    <t>p****e</t>
  </si>
  <si>
    <t>There we go again 😢Entrusting our hearts to NETFLIX to be either completely let down or reasonably rewarded😢 PLEASE DON'T MESSED MY CHILDHOOD GOOD MEMORIES. This is one of the few good ones i left thanks to Disney 😅😂</t>
  </si>
  <si>
    <t>Azula looking truly badass.</t>
  </si>
  <si>
    <t>F****s</t>
  </si>
  <si>
    <t>This is even worse!😝</t>
  </si>
  <si>
    <t>Bring me momo</t>
  </si>
  <si>
    <t>At last!!!!</t>
  </si>
  <si>
    <t>Ang too small</t>
  </si>
  <si>
    <t>I****c</t>
  </si>
  <si>
    <t>Is it out?</t>
  </si>
  <si>
    <t>0_0Finally!!! It’s been like freakin 7 years since the announce that they were doing a live action show!</t>
  </si>
  <si>
    <t>Do we know if it’s a show or a movie?</t>
  </si>
  <si>
    <t>v****s</t>
  </si>
  <si>
    <t>I hope it doesn't loose the quirkiness of the characters</t>
  </si>
  <si>
    <t>i hope they wont do katara dirty</t>
  </si>
  <si>
    <t>PLEASE DONT F THIS UP</t>
  </si>
  <si>
    <t>How I’ve missed this soundtrack. Home</t>
  </si>
  <si>
    <t>😮😮 N</t>
  </si>
  <si>
    <t>h****9</t>
  </si>
  <si>
    <t>Looks great</t>
  </si>
  <si>
    <t>t****6</t>
  </si>
  <si>
    <t>please don't make zoko gay , thank u</t>
  </si>
  <si>
    <t>Hey everyone</t>
  </si>
  <si>
    <t>l****3</t>
  </si>
  <si>
    <t>the best part is, the original music in the trailer. this sparks hope.</t>
  </si>
  <si>
    <t>H****i</t>
  </si>
  <si>
    <t>Damn, I got goosebumps watching this.This is how you do a Live action...You dont need to put your spin on it, coz if you do you should just make a different movie.</t>
  </si>
  <si>
    <t>N****V</t>
  </si>
  <si>
    <t>Please don’t butcher this! 🥹</t>
  </si>
  <si>
    <t>This actually looks legit !</t>
  </si>
  <si>
    <t>This look amazing</t>
  </si>
  <si>
    <t>Flameo hotman! The redemption tour begins.</t>
  </si>
  <si>
    <t>r****6</t>
  </si>
  <si>
    <t>Finally, it looks like the animation Avatar.</t>
  </si>
  <si>
    <t>NETFLIX YEEEEEEESSSSSSSSSSSS</t>
  </si>
  <si>
    <t>PE</t>
  </si>
  <si>
    <t>Se ve emocionante</t>
  </si>
  <si>
    <t>D****a</t>
  </si>
  <si>
    <t>RU</t>
  </si>
  <si>
    <t>Актриса Азулы 💩 N</t>
  </si>
  <si>
    <t>E****7</t>
  </si>
  <si>
    <t>this makes this whole aang katara romance even more weird.</t>
  </si>
  <si>
    <t>v****2</t>
  </si>
  <si>
    <t>037 I am the Avatar I am the Avatar Ozai I am the Avatar</t>
  </si>
  <si>
    <t>r****3</t>
  </si>
  <si>
    <t>By Crom…this is absolutely beautiful.</t>
  </si>
  <si>
    <t>while one piece looks and feels like shit  omg smh omg</t>
  </si>
  <si>
    <t>X****e</t>
  </si>
  <si>
    <t>SO KATARA WHITE?</t>
  </si>
  <si>
    <t>i****n</t>
  </si>
  <si>
    <t>Netflix needs to renew Season 2 and 3 now.  Just sayin.</t>
  </si>
  <si>
    <t>So excited! Can't wait!</t>
  </si>
  <si>
    <t>s****r</t>
  </si>
  <si>
    <t>This shi look Ah.. I’m still peeping it but why all the actors look mostly asian based? 🥲</t>
  </si>
  <si>
    <t>g****4</t>
  </si>
  <si>
    <t>a reboot of a reboot?no comedy no avatar</t>
  </si>
  <si>
    <t>I****2</t>
  </si>
  <si>
    <t>Woah, coming out a day before my birthday. If it is actually good, I'll have a great birthday present</t>
  </si>
  <si>
    <t>l****t</t>
  </si>
  <si>
    <t>Not again... please be good</t>
  </si>
  <si>
    <t>A****s</t>
  </si>
  <si>
    <t>They better have cabbage man and the foaming mouth guy that gets overly excited lmao</t>
  </si>
  <si>
    <t>Real Avatar</t>
  </si>
  <si>
    <t>d****9</t>
  </si>
  <si>
    <t>🥰🥰 N</t>
  </si>
  <si>
    <t>B****7</t>
  </si>
  <si>
    <t>Ate chorei</t>
  </si>
  <si>
    <t>Omfg.. they ruined it again.</t>
  </si>
  <si>
    <t>She kinda light to Korra</t>
  </si>
  <si>
    <t>The World is waiting for this Movie like Nothing I`ve ever seen</t>
  </si>
  <si>
    <t>I'm gonna cry.</t>
  </si>
  <si>
    <t>t****r</t>
  </si>
  <si>
    <t>I hope this show will survive until Toph comes out</t>
  </si>
  <si>
    <t>You ever try chocolate</t>
  </si>
  <si>
    <t>H****8</t>
  </si>
  <si>
    <t>ZuTara is the best!</t>
  </si>
  <si>
    <t>A****A</t>
  </si>
  <si>
    <t>I can’t wait for this hopefully it’s as good as the animated series</t>
  </si>
  <si>
    <t>I hope honesty everything stay on line  with the original, but congratulations,I  like this advance of thees serie.</t>
  </si>
  <si>
    <t>this movie should be a series</t>
  </si>
  <si>
    <t>Z****9</t>
  </si>
  <si>
    <t>¡LIKE PARA QUE ESTO LLEGUE A NETFLIX! ¡Esto si se ve muuuuy bueno!!! Están respetando la historia, están haciendo que pase y que pase bien, que pase de la forma correcta. MENSAJE PARA NETFLIX Sigan la misma receta que ONE PIECE, si lo hacen respetando personajes, historias, enseñanzas, Avatar les va a dar para muchas y muchas temporadas. Han tomado una gran historia, con risas, sentimientos altos y bajos, peleas, amor, etc. ahora magnifíquenla y hagan gloria con cada capítulo.</t>
  </si>
  <si>
    <t>c****o</t>
  </si>
  <si>
    <t>OMG ?!?! first ONE PIECE . now AVATAR the last airbander . outstanding 🎉🎉🎉</t>
  </si>
  <si>
    <t>C****4</t>
  </si>
  <si>
    <t>I love this 💖😢</t>
  </si>
  <si>
    <t>D****t</t>
  </si>
  <si>
    <t>So is this the sequel or we going through the motions again, not that Im complaining as its my favourite cartoon story ,its up there with thundercats and He-man ha ha</t>
  </si>
  <si>
    <t>M****1</t>
  </si>
  <si>
    <t>KR</t>
  </si>
  <si>
    <t>왜 이리 실사화에 환장을 했어 망하는 길인데? N</t>
  </si>
  <si>
    <t>O ULTIMO MESTRE DO AR😊❤</t>
  </si>
  <si>
    <t>EU AMO O FILME DOAVATAR</t>
  </si>
  <si>
    <t>Am I the only one who wants the ending of Azula in this to be a little different, she didn't have uncle Iroh as Zuko had and I just . . . . you know would like to see if things were different, if someone would have been there with her.</t>
  </si>
  <si>
    <t>t****3</t>
  </si>
  <si>
    <t>no fight scene clips??? Its gonna be trash...</t>
  </si>
  <si>
    <t>The only black people gone 😐</t>
  </si>
  <si>
    <t>C****n</t>
  </si>
  <si>
    <t>Nickelodeon to Netflix, Journey of our favourite Aang. Oh! In between there was a stop at M. Night Shyamalin's movie too..</t>
  </si>
  <si>
    <t>Rip 😮‍💨😒👎🏻</t>
  </si>
  <si>
    <t>s****l</t>
  </si>
  <si>
    <t>This doesn’t look good…</t>
  </si>
  <si>
    <t>I think is too late 🤔 movie is better😢 they have continued the movie parts 😢</t>
  </si>
  <si>
    <t>g****6</t>
  </si>
  <si>
    <t>I can hear my cousin and auntie’s complaining about this if I showed them</t>
  </si>
  <si>
    <t>D****x</t>
  </si>
  <si>
    <t>BRO IF THIS DOESNT FLOP IT IS GOING TO BE THE TV SHOW OF THE DECADE</t>
  </si>
  <si>
    <t>Why make shit movies of good animes anyway?Ah I see, money it is.Anyway, this looks like shit</t>
  </si>
  <si>
    <t>Katara looks like a fat woman.The question is how she will do her moves when she is hampered by weight.Netflix shouldn't have taken up the adaptation.</t>
  </si>
  <si>
    <t>F****w</t>
  </si>
  <si>
    <t>по тизеру видно какая это будет шляпа N</t>
  </si>
  <si>
    <t>The fact that they found a kid who actually looks pretty cool with a shaved head and like he's about the right age for Aang is honestly a miracle in of itself.</t>
  </si>
  <si>
    <t>cito nate apo ni babi...rosak cerito la beruk</t>
  </si>
  <si>
    <t>The cgi is strong with this one</t>
  </si>
  <si>
    <t>Whoever did Momo needs to get on Chopper for season 2 of One Piece</t>
  </si>
  <si>
    <t>Paul Sun-Hyung Lee for the gooo 😍 he is going to be an amazing Uncle Iroh</t>
  </si>
  <si>
    <t>b****r</t>
  </si>
  <si>
    <t>aren’t actually black characters that I was hoping for I kinda don’t really mind it but still they could’ve found someone that’s black tho</t>
  </si>
  <si>
    <t>This is so much better than the movie</t>
  </si>
  <si>
    <t>D****q</t>
  </si>
  <si>
    <t>Tak, tak, si botak kembali beraksi!!</t>
  </si>
  <si>
    <t>Appa.. yip..yip..!!</t>
  </si>
  <si>
    <t>Shame they didn't keep the other design of the arrow on his forehead, imo it looked cool rather than just looking like someone slapped it on like a sticker, idk if it looks better or not to everyone else though</t>
  </si>
  <si>
    <t>Please, I’m begging you all, if this is not good, please don’t do revisionist history with the Shyamalan movie. It was dumb enough when Star Wars fans starting saying 1-3 were good because they didn’t like 7-9</t>
  </si>
  <si>
    <t>R****1</t>
  </si>
  <si>
    <t>hi</t>
  </si>
  <si>
    <t>Hopefully no woke agenda again to ruin our childhood as usual )</t>
  </si>
  <si>
    <t>No, im not tearing up 🥲</t>
  </si>
  <si>
    <t>Please be goodPlease be goodPlease be goodPlease be goodPlease be good</t>
  </si>
  <si>
    <t>To be fair, I’m not caught up on the information with this. But while this looks very good, im also worried (aside from obvious reasons) because it almost feels like they’re trying to fit all three seasons into one season? Please let me know if im wrong in that. But for the time being, if this turns out to be good or even decent, I would want more than one season to flesh out the story more. Just my personal (inconsequential) opinion)</t>
  </si>
  <si>
    <t>Bing Chilling the series</t>
  </si>
  <si>
    <t>The outlook for this breaths life into me</t>
  </si>
  <si>
    <t>T****f</t>
  </si>
  <si>
    <t>dont mess this up like you did with jeff smiths bone netflix</t>
  </si>
  <si>
    <t>also pls make another jeff smith bone adaptation</t>
  </si>
  <si>
    <t>I don't understand. Netflix hasn't made Aang black, gay or a woman. Maybe they'll randomly make certain characters black, magically change or force the sexuality of a character to be homosexual or focus more on the women?</t>
  </si>
  <si>
    <t>J****2</t>
  </si>
  <si>
    <t>126 its great art....</t>
  </si>
  <si>
    <t>H****m</t>
  </si>
  <si>
    <t>Honestly doesn’t look any better than the M. Night Shyamalan film. Maybe worse, in some respects (CGI, casting, etc.). I certainly don’t see any of the humor or magic of the original series here.</t>
  </si>
  <si>
    <t>G****r</t>
  </si>
  <si>
    <t>Oh boy, at the beginning I was ALL judgemental. Hate live actions. Thought everything was going to be another disaster. Then that scene of Omashu came out and I thought "Oh wow, that looks accurate and awesome", then "Oh wow, the casting looks spot on, fire lord looks identical". Then Aang showed up, then fire bending that looks accurate, then freaking Appa and momo identical to the originals?!!! THE MUSIC WITHOUT FREAKING DISGUSTING MIXING AND EDITING?!!!! What the hell's going on?!Ok, I'm in. If you let me down I'll never trust anyone with this story again.</t>
  </si>
  <si>
    <t>T****7</t>
  </si>
  <si>
    <t>Sacma sapan bir film</t>
  </si>
  <si>
    <t>K****z</t>
  </si>
  <si>
    <t>Thank you nextflix for bring this great show too the big screen</t>
  </si>
  <si>
    <t>i****k</t>
  </si>
  <si>
    <t>cant wait to see toph</t>
  </si>
  <si>
    <t>Let's see how many people needed to throw the rock this time.</t>
  </si>
  <si>
    <t>R****x</t>
  </si>
  <si>
    <t>110 getting goosebumps hearing the bgm🔥🔥</t>
  </si>
  <si>
    <t>Z****m</t>
  </si>
  <si>
    <t>Stick to the source material and it’ll be ok</t>
  </si>
  <si>
    <t>a****4</t>
  </si>
  <si>
    <t>I prefer the Anime one.</t>
  </si>
  <si>
    <t>🔥🔥🔥🔥 N</t>
  </si>
  <si>
    <t>wow she's cute... the blue flame</t>
  </si>
  <si>
    <t>g****n</t>
  </si>
  <si>
    <t>They better include the secret tunellllll through the mountaaain!</t>
  </si>
  <si>
    <t>m****n</t>
  </si>
  <si>
    <t>Hasta el momento se ve perfecta !!</t>
  </si>
  <si>
    <t>j****1</t>
  </si>
  <si>
    <t>maybe, we expect  lots of things. I hope it will awesome!🤔</t>
  </si>
  <si>
    <t>t****s</t>
  </si>
  <si>
    <t>A day before my birthday 😆😁</t>
  </si>
  <si>
    <t>finally AANG is SMILING😊</t>
  </si>
  <si>
    <t>u****b</t>
  </si>
  <si>
    <t>It’s literally this easy. Follow the original content instead of trying to make something great into your own.</t>
  </si>
  <si>
    <t>Mieux, beaucoup mieux! Là on sent le respect et la passion pour ce dessin animé mythique. J'ai très envie de le voir.</t>
  </si>
  <si>
    <t>N****a</t>
  </si>
  <si>
    <t>This….doesn’t loool terrible. Surprisingly. I’ve got some hope now</t>
  </si>
  <si>
    <t>j****v</t>
  </si>
  <si>
    <t>What the movie whiffed on was missing the series’ sense of joy and light heartedness and being actually really funny (among other really problematic matters). I just hope this series can capture that fun which personally kept me coming back to the original.</t>
  </si>
  <si>
    <t>The trailer is very nice, let's see if they don't screw up with the story and the characters' performances.</t>
  </si>
  <si>
    <t>i****3</t>
  </si>
  <si>
    <t>finally.. not indian zukko</t>
  </si>
  <si>
    <t>This looks promising</t>
  </si>
  <si>
    <t>I’m still scared out of my wits. It can’t be worse than the abomination that shall not be named but I’m still scared… I never wanted live action, I just wanted more of the GAANG.</t>
  </si>
  <si>
    <t>i****5</t>
  </si>
  <si>
    <t>My name is Ong🤣</t>
  </si>
  <si>
    <t>OHHH YESS</t>
  </si>
  <si>
    <t>k****9</t>
  </si>
  <si>
    <t>Can’t wait</t>
  </si>
  <si>
    <t>l****5</t>
  </si>
  <si>
    <t>ME VA A DAR ALGO</t>
  </si>
  <si>
    <t>neflix entendio todo</t>
  </si>
  <si>
    <t>Here’s hoping it’s better than the movie, although it would be nice if they did follow the original manga like the movie tired to.</t>
  </si>
  <si>
    <t>MX</t>
  </si>
  <si>
    <t>Ok en Netflix pero me encantaría en el cine en 3D!!!!</t>
  </si>
  <si>
    <t>They better continue the storyline and not cancel it like the first avatar</t>
  </si>
  <si>
    <t>r****4</t>
  </si>
  <si>
    <t>Truly speaking I luv this trailer 😊 I'm pleased with the characters looks, much like the cartoon characters 😊.  This will be way better than the first freaking movie</t>
  </si>
  <si>
    <t>Thats delicioso ❤</t>
  </si>
  <si>
    <t>this looks like trash .... again</t>
  </si>
  <si>
    <t>I****1</t>
  </si>
  <si>
    <t>I don't like the Aang actor, he seems way too serious. Aaang is a friendly, happy boy.</t>
  </si>
  <si>
    <t>I hope shamalamalan looks at this and regrets his decision to treat such an amazing franchise with the amount of disdain that he did</t>
  </si>
  <si>
    <t>055, You know s**t's about to go hard when this banger of a theme kicks in</t>
  </si>
  <si>
    <t>IT ACTUALLY LOOKS LIKE FROM THE ORIGINAL SERIES</t>
  </si>
  <si>
    <t>Better then the last one right?</t>
  </si>
  <si>
    <t>M****k</t>
  </si>
  <si>
    <t>Fuu Man Chuu</t>
  </si>
  <si>
    <t>d****1</t>
  </si>
  <si>
    <t>103 That’s Azula?! She could pass off for more of Ty Lee, but okay, I guess I’ll roll with it!</t>
  </si>
  <si>
    <t>Really sad that Toph wasn’t shown here, it would’ve all too perfect of a fit for her too.</t>
  </si>
  <si>
    <t>Heyy when is the trailer release</t>
  </si>
  <si>
    <t>r****1</t>
  </si>
  <si>
    <t>Can't truly wait!!</t>
  </si>
  <si>
    <t>l****o</t>
  </si>
  <si>
    <t>CAN'T WAIT to see AANG BECOME THE OCEAN SPIRIT in the LIVE ACTION ❤❤❤</t>
  </si>
  <si>
    <t>yeah just go ahead and cancel this one. delete all the files</t>
  </si>
  <si>
    <t>S****y</t>
  </si>
  <si>
    <t>I thought this was avatar 3 …What is this nonsense?</t>
  </si>
  <si>
    <t>l****8</t>
  </si>
  <si>
    <t>Wtf? If 059 it's Zuko he shouldn't have a face afterwards.</t>
  </si>
  <si>
    <t>C****6</t>
  </si>
  <si>
    <t>KEREEEENNN ANJIIRRR</t>
  </si>
  <si>
    <t>If all goes well, this is gonna be the next Stranger Things for sure!</t>
  </si>
  <si>
    <t>I hope it's as accurate as they can make it be ill really love that</t>
  </si>
  <si>
    <t>Ok, let's try this, one more time</t>
  </si>
  <si>
    <t>y****9</t>
  </si>
  <si>
    <t>Looks promising hopefully they stick to the story and do it justice</t>
  </si>
  <si>
    <t>Досто́йно есть я́ко вои́стину блажи́ти Тя, Богоро́дицу, Присноблаже́нную и Пренепоро́чную и Ма́терь Бо́га на́шего. Честне́йшую Херуви́м и сла́внейшую без сравне́ния Серафи́м, без истле́ния Бо́га Сло́ва ро́ждшую, су́щую Богоро́дицу Тя велича́ем!!!❤❤❤ N</t>
  </si>
  <si>
    <t>u****j</t>
  </si>
  <si>
    <t>I'm still wating for the day they actually do Sokka and Katara right. Like is it really that hard to find the right skin color?</t>
  </si>
  <si>
    <t>L****e</t>
  </si>
  <si>
    <t>can't wait</t>
  </si>
  <si>
    <t>Uffff se ve bastante bueno, esperemos que esta sea la buena</t>
  </si>
  <si>
    <t>I got the chills!!! This looks absolutely awesome. Btw bravo for the casting! I can't wait to see this ❤</t>
  </si>
  <si>
    <t>p****w</t>
  </si>
  <si>
    <t>i wanna see the mouth foaming guy in this. please..</t>
  </si>
  <si>
    <t>Film 👍👍</t>
  </si>
  <si>
    <t>SG</t>
  </si>
  <si>
    <t>Isnt Avatar full of blue elfs?</t>
  </si>
  <si>
    <t>M****l</t>
  </si>
  <si>
    <t>Katara is black. Sokka is black. It ain’t hard to find that</t>
  </si>
  <si>
    <t>Yes can't wait love avatar</t>
  </si>
  <si>
    <t>Aang debería tener 12 o 13 años, no 8 xDTodo lo dañan.</t>
  </si>
  <si>
    <t>Damn the CGI looks good</t>
  </si>
  <si>
    <t>b****a</t>
  </si>
  <si>
    <t>No manches esta chingona la peli del abatar tiene mucha drama como a bentura como aschion ,ect..selas recomiendo</t>
  </si>
  <si>
    <t>hell yeah</t>
  </si>
  <si>
    <t>r****s</t>
  </si>
  <si>
    <t>Watch sukis gonna be gay and get together with tai lee</t>
  </si>
  <si>
    <t>t****7</t>
  </si>
  <si>
    <t>Omg i can't wait anymore❤</t>
  </si>
  <si>
    <t>I just don't get why a live action avatar even needs to be made; all this effort to retell the same story that was already told perfectly, but now with the limitations of live action. Avatar lent itself so well to animation as a medium; I don't understand what could possibly be gained by recreating it in this way. The transition away from animation means losing so much of the humour, and the style, and the imagination that made the show so great.I appreciate that effort is being put into avatar, but I wish it was directed at continuing the series rather than recreating it when it was beloved to begin with. Attempting to outright recreate something that we all feel so nostalgic for is just never going to work out.</t>
  </si>
  <si>
    <t>looks like its gonna turn out real nice aslong as they dont try to cover the entire story in one go</t>
  </si>
  <si>
    <t>e****2</t>
  </si>
  <si>
    <t>Please don't suck. Please don't suck. Please don't suck. Please don't suck. Please don't suck. Please don't suck. Please don't suck. Please don't suck. Please don't suck. Please don't suck. Please don't suck. Please don't suck. Please don't suck. Please don't suck. Please don't suck.</t>
  </si>
  <si>
    <t>n****2</t>
  </si>
  <si>
    <t>This looks so Good!!</t>
  </si>
  <si>
    <t>the film was shit. Hope it will be great.</t>
  </si>
  <si>
    <t>d****k</t>
  </si>
  <si>
    <t>I have goosebumps 😍</t>
  </si>
  <si>
    <t>L****0</t>
  </si>
  <si>
    <t>Can't wait for Avatar 3 and Kiri ❤</t>
  </si>
  <si>
    <t>Hopefully there will be a complete story after the firelord is defeated</t>
  </si>
  <si>
    <t>Why I can already feel its gonna be bad...</t>
  </si>
  <si>
    <t>absolutely not hyped.</t>
  </si>
  <si>
    <t>En efecto muchachos... es cine 🗿</t>
  </si>
  <si>
    <t>J****5</t>
  </si>
  <si>
    <t>LV</t>
  </si>
  <si>
    <t>dopeeee</t>
  </si>
  <si>
    <t>g****8</t>
  </si>
  <si>
    <t>Çöp</t>
  </si>
  <si>
    <t>O****_</t>
  </si>
  <si>
    <t>This is the live action that we, the real fans, have been waiting for years 😊😊😊</t>
  </si>
  <si>
    <t>R****a</t>
  </si>
  <si>
    <t>The only whitewashing i'm willing to accept is if they had casted Mark Hamill as Ozai, grey n fat n all. 😊</t>
  </si>
  <si>
    <t>Hopefully this will make up for what Shyamalan did.</t>
  </si>
  <si>
    <t>Even though I appreciate the good looking trailer, I still don't understand why do we need a live action Avatar?</t>
  </si>
  <si>
    <t>u****m</t>
  </si>
  <si>
    <t>😂😂this looks really awesome...and that is a very believable Uncle Iroh</t>
  </si>
  <si>
    <t>It wouldve been cool if they had Zuko's voice actor play his character.</t>
  </si>
  <si>
    <t>E****6</t>
  </si>
  <si>
    <t>least their Asian this time</t>
  </si>
  <si>
    <t>not again...</t>
  </si>
  <si>
    <t>Can’t efn wait!</t>
  </si>
  <si>
    <t>e****0</t>
  </si>
  <si>
    <t>Jesus christ the amount of autistic dip shits in this comment section like ur watching the same show from 8 years ago with a new coat of paint (and knowing netflix probably worse)</t>
  </si>
  <si>
    <t>f****4</t>
  </si>
  <si>
    <t>bruh Ang is way to youngFIX THIS PLEASE</t>
  </si>
  <si>
    <t>Show or movie ?</t>
  </si>
  <si>
    <t>w****1</t>
  </si>
  <si>
    <t>In the first 10 seconds, it already looks promising and a lot better than what we got a few years back. Netflix, so far, so good. Don't woke it up.</t>
  </si>
  <si>
    <t>im pissed</t>
  </si>
  <si>
    <t>A****p</t>
  </si>
  <si>
    <t>Look how they massacred Iroh</t>
  </si>
  <si>
    <t>i****r</t>
  </si>
  <si>
    <t>Where are the black people? Can't believe my favorite anime is getting yellowwashed.😥</t>
  </si>
  <si>
    <t>Ini baru live action aang Avatar..🎉🎉🎉</t>
  </si>
  <si>
    <t>A****l</t>
  </si>
  <si>
    <t>Overall it looks really good.Just one question, why Sokka and Katara are white?</t>
  </si>
  <si>
    <t>l****7</t>
  </si>
  <si>
    <t>Appa, yip yip!</t>
  </si>
  <si>
    <t>PK</t>
  </si>
  <si>
    <t>😭😭😭😭 finally its here 🇵🇰</t>
  </si>
  <si>
    <t>h****0</t>
  </si>
  <si>
    <t>They remade it in fully chinese version ,</t>
  </si>
  <si>
    <t>p****y</t>
  </si>
  <si>
    <t>This could be just as good as One Piece! Can they do a Dragonball one too??</t>
  </si>
  <si>
    <t>Please be great</t>
  </si>
  <si>
    <t>S****s</t>
  </si>
  <si>
    <t>Total misscast..</t>
  </si>
  <si>
    <t>Take ma moneyyy💵💵</t>
  </si>
  <si>
    <t>Please don’t stuff this up… keep hollywoke and marvel madness out of this</t>
  </si>
  <si>
    <t>d****r</t>
  </si>
  <si>
    <t>Please do not F this up🙏</t>
  </si>
  <si>
    <t>Please, the participation of the cabbage seller is so necessary. 😂</t>
  </si>
  <si>
    <t>Momo !!! We all know the CGI will be crap but I hope it will not be like the movie, a disgrace. I loved the show so much, it's one of the most powerful I saw when I was a kid, and I loved Korra even more for the more serious/grown up ambiance.  The show is so great, they will never top it, the animation give more freedom but I hope it will at least be fun to watch and not another useless adaptation without a soul</t>
  </si>
  <si>
    <t>M****3</t>
  </si>
  <si>
    <t>The fact that sokka and katara are black in cartoon version, Now it's Hollywood.</t>
  </si>
  <si>
    <t>I hope they release the episodes weekly, makes things rare and it won’t be forgotten within one week</t>
  </si>
  <si>
    <t>Netflix please do this justice.    Long time coming.     Haven’t seen this show in ages</t>
  </si>
  <si>
    <t>M****0</t>
  </si>
  <si>
    <t>no full indian representation ? no 5 men for growing a stone ?</t>
  </si>
  <si>
    <t>let's just hope it's be the exact opposite of the last airbender movie lol</t>
  </si>
  <si>
    <t>T****d</t>
  </si>
  <si>
    <t>Please...PLEASE!!!!!</t>
  </si>
  <si>
    <t>P****t</t>
  </si>
  <si>
    <t>Netflix is beginning to understand</t>
  </si>
  <si>
    <t>You better do this justice Netflix, you better.</t>
  </si>
  <si>
    <t>Papyrus 😂😂</t>
  </si>
  <si>
    <t>I hope they followed the series step by step would be amazing af</t>
  </si>
  <si>
    <t>B****z</t>
  </si>
  <si>
    <t>Thank you for respecting the appearance of the characters 🥺♥️ OMG this looks so perfect!!!! I CANT WAAIIIITT 😍🙌🏻✨️❤️</t>
  </si>
  <si>
    <t>F****p</t>
  </si>
  <si>
    <t>Now if they would only do a Naruto one...of epic measures</t>
  </si>
  <si>
    <t>V****A</t>
  </si>
  <si>
    <t>The monks named me oong</t>
  </si>
  <si>
    <t>z****9</t>
  </si>
  <si>
    <t>Ahhh sh** here we go again</t>
  </si>
  <si>
    <t>My name is ong</t>
  </si>
  <si>
    <t>I'm very disappointed that Fire-Lord Ozai isn't played by Mark Hamill!</t>
  </si>
  <si>
    <t>Let's hope Netflix doesn't ruin a good story this time.</t>
  </si>
  <si>
    <t>It looks promising, but the actor playing Sokka looks more like the Ember Island Players performer.  I hope when they get to book three, Netflix will find someone that looks like the Original Sokka to be part of the Ember Island Players.</t>
  </si>
  <si>
    <t>LEARNING FROM OUR MISTAKES ARE WE???This movie is brought to you by "BECAUSE TONY LEARNS FROM HIS MISTAKES"</t>
  </si>
  <si>
    <t>R****d</t>
  </si>
  <si>
    <t>Thats great</t>
  </si>
  <si>
    <t>Katara and  Sokka doesn't look even remotely similar lol. This is just Another Hollywood race swap to appease somebody</t>
  </si>
  <si>
    <t>g****3</t>
  </si>
  <si>
    <t>It looks amazing!!</t>
  </si>
  <si>
    <t>the worst thing that is associated with avatar series is nickelodeon. imagine if it was more of a brutal anime to begin with. nobody would talk about DBZ or naruto period.</t>
  </si>
  <si>
    <t>AR</t>
  </si>
  <si>
    <t>menos mal, ya daba cringe que al avatar lo interpretara una niña gorda calva</t>
  </si>
  <si>
    <t>Chumlee has Iroh, gj netflix</t>
  </si>
  <si>
    <t>This actually looks kinda good??</t>
  </si>
  <si>
    <t>O****R</t>
  </si>
  <si>
    <t>10/10 next game of thrones</t>
  </si>
  <si>
    <t>Didn't get to see any real bending/fighting. Hope it's not cringe like last time</t>
  </si>
  <si>
    <t>I don't like the way Katara looks nor Soka is that just me</t>
  </si>
  <si>
    <t>T****z</t>
  </si>
  <si>
    <t>I hope they don't plan on squeezing all 3 books(60 episodes) into 8-10 Netflix episodes. Something like this should be 8 episodes per book so the plot isn't completed rushed and butchered. This actually looks good but seeing Aang gliding into the Fire Nation in the first trailer worries me. I don't recall that in Book 1.</t>
  </si>
  <si>
    <t>The thought of another Avatar Movie Cracks me up🤣🤣🤣🤣</t>
  </si>
  <si>
    <t>e****3</t>
  </si>
  <si>
    <t>6.8/10Like A LOT like the last one</t>
  </si>
  <si>
    <t>peliculon</t>
  </si>
  <si>
    <t>103 is that Azula? She is really pretty 😳 I hope she can portrait the actual crazyness for power of her character 🙏</t>
  </si>
  <si>
    <t>N****f</t>
  </si>
  <si>
    <t>Oh look it's not full of white people LMAO</t>
  </si>
  <si>
    <t>THE AGNI KAI SEEN KINDA SUPRISED ME THAT THEY SHOWED IT THIS TIME WHAT</t>
  </si>
  <si>
    <t>s****b</t>
  </si>
  <si>
    <t>I didn’t even know this was coming, yet I have such a big smile on my face already!! It really feels like the characters and world just sprung to life!</t>
  </si>
  <si>
    <t>I stand by a personal belief that remakes can never replace originals, but I'll be honest this looks better than the original live action movie.</t>
  </si>
  <si>
    <t>This looks terrible, i loved the original show but this looks terrible</t>
  </si>
  <si>
    <t>Skeptically Hyped</t>
  </si>
  <si>
    <t>V****e</t>
  </si>
  <si>
    <t>They really decided to re make the worst movie oat</t>
  </si>
  <si>
    <t>😭😭😭😭😭😭😭😭 N</t>
  </si>
  <si>
    <t>110 Bgm, I remembered my childhood days.</t>
  </si>
  <si>
    <t>And now, this is the best live action that netflix ever made</t>
  </si>
  <si>
    <t>I think this adaptation is 10 x better than One Piece.</t>
  </si>
  <si>
    <t>We can't just get a new animated series? Netflix ruins everything. Still looks better than the movie though</t>
  </si>
  <si>
    <t>Finally they did this one good</t>
  </si>
  <si>
    <t>Жду N</t>
  </si>
  <si>
    <t>*goosebumps*</t>
  </si>
  <si>
    <t>a****c</t>
  </si>
  <si>
    <t>Huh? Didn't they already fail with this project? How many mistakes you have to make before you lot understand that anime can't be brought into live action. Styles are too different for that to work.</t>
  </si>
  <si>
    <t>L****o</t>
  </si>
  <si>
    <t>Michael Dante DiMartino and Bryan Konietzko, the original producers, abandoned the Netflix project due to creative differences... Don't expect much..</t>
  </si>
  <si>
    <t>Esto se va a descontrolaaarrrrrr!!!</t>
  </si>
  <si>
    <t>I’m praying that Netflix nails this. I hope this is not bad like the original Avatar the Last Airbender movie.</t>
  </si>
  <si>
    <t>Oda is a  Master. Legend</t>
  </si>
  <si>
    <t>great - i just finished another nostalgia run through the OG cartoon D</t>
  </si>
  <si>
    <t>P****2</t>
  </si>
  <si>
    <t>Damn, asian characters are kept asian? Good job netflix!</t>
  </si>
  <si>
    <t>Please don't f dis up netflix.. Don't go woke on this.. I love this too much!</t>
  </si>
  <si>
    <t>fxcken finnaly grew up watching this</t>
  </si>
  <si>
    <t>M****9</t>
  </si>
  <si>
    <t>Now this is Avatar!!! 😢</t>
  </si>
  <si>
    <t>If Dwayne "The Rock" Johnson doesn't play The Boulder I'm gonna be pissed.</t>
  </si>
  <si>
    <t>L****s</t>
  </si>
  <si>
    <t>wtf is this trash</t>
  </si>
  <si>
    <t>This looks very, very promising. So promising, in fact, that im kinda scared of getting my hopes up!</t>
  </si>
  <si>
    <t>a****y</t>
  </si>
  <si>
    <t>We are waiting for optimus Prime</t>
  </si>
  <si>
    <t>e****o</t>
  </si>
  <si>
    <t>MY NAME IS ONG</t>
  </si>
  <si>
    <t>Dont ruin this Netflix</t>
  </si>
  <si>
    <t>S****Z</t>
  </si>
  <si>
    <t>Katara was brown in the anime, here she is white. Well played Netflix👏</t>
  </si>
  <si>
    <t>Amazing! I wish this movie will justify the anime</t>
  </si>
  <si>
    <t>not again, not again! whats next a dragon ball evolution series.</t>
  </si>
  <si>
    <t>J****q</t>
  </si>
  <si>
    <t>No matter what it can’t be worse m night shamalan</t>
  </si>
  <si>
    <t>Ozai face is not known until season 3 only his silhouette is shown, Netflix just break my heart once again</t>
  </si>
  <si>
    <t>i think this will be better than the 1st avatar movie.</t>
  </si>
  <si>
    <t>m****y</t>
  </si>
  <si>
    <t>truly hope they did a better job this time 🙏</t>
  </si>
  <si>
    <t>L****V</t>
  </si>
  <si>
    <t>133 huh?!</t>
  </si>
  <si>
    <t>niceeee</t>
  </si>
  <si>
    <t>K****u</t>
  </si>
  <si>
    <t>CGI and Cinematics look great, characters . . .  idk, look better then last time but still doesnt fully give credits to the original cartoon series and books. (to my personal opinion)</t>
  </si>
  <si>
    <t>They'll cancel it after the first season... sigh...</t>
  </si>
  <si>
    <t>J****g</t>
  </si>
  <si>
    <t>The clicking sound at 016 sounds very, very similar to the sound effect that Happy Wheels uses as one of their "limb rip" sound effects.Don't ask me how I know this. Do your research and look up the sound effects.</t>
  </si>
  <si>
    <t>Better visual efx than the one done a few years ago.</t>
  </si>
  <si>
    <t>L****i</t>
  </si>
  <si>
    <t>so many years waited don’t mess this up Netflix</t>
  </si>
  <si>
    <t>c****5</t>
  </si>
  <si>
    <t>Please dont let it be another m night shyamalan movie 😂🤦‍♂️</t>
  </si>
  <si>
    <t>Disney WHO???? Netflix hit a home run with live One Piece. keep it to the lore and respect the characters. and you will always have hit!</t>
  </si>
  <si>
    <t>Is it not obvious he has a bald cap on</t>
  </si>
  <si>
    <t>d****s</t>
  </si>
  <si>
    <t>Casting is off as expected * my hype is doa...</t>
  </si>
  <si>
    <t>T****4</t>
  </si>
  <si>
    <t>Hope they do it justice this time around</t>
  </si>
  <si>
    <t>Idk, where’s the humor guys… looks very solemn and serious like the movie.</t>
  </si>
  <si>
    <t>glad this is coming up so I can erase the blue people from my mind.</t>
  </si>
  <si>
    <t>i****s</t>
  </si>
  <si>
    <t>u****f</t>
  </si>
  <si>
    <t>This EPIC music made me want to rewatch the whole original series haha . Also, very important is that feeling, that feeling the original series gave to us ... they can't replicate it ... they can honour the original story with a live action, but if they want to replicate that feeling ... that's where they will lose, also if they try to "tell it differently for movies enjoyers" or something like that ...</t>
  </si>
  <si>
    <t>C****O</t>
  </si>
  <si>
    <t>God this looks so stupid. What is this obsession with turning this series into a weird mix of horrible cgi and live action? The anime was just fine, that was all we needed, stop ruining it, thanks, bye.</t>
  </si>
  <si>
    <t>I remember the original live action this bought to be v2</t>
  </si>
  <si>
    <t>x****3</t>
  </si>
  <si>
    <t>I hope they don't do a bait-and-switch otherwise this looks good.</t>
  </si>
  <si>
    <t>J****e</t>
  </si>
  <si>
    <t>Something tells me that this is going to be a lot worse than the last live action movie.</t>
  </si>
  <si>
    <t>W****s</t>
  </si>
  <si>
    <t>This is gonna be sick</t>
  </si>
  <si>
    <t>H****y</t>
  </si>
  <si>
    <t>Zuko and Sokka are bad casting choices imo…</t>
  </si>
  <si>
    <t>Oh hell, no!</t>
  </si>
  <si>
    <t>You can almots smell the money burning.</t>
  </si>
  <si>
    <t>Wow</t>
  </si>
  <si>
    <t>W****5</t>
  </si>
  <si>
    <t>kereeeennnnnn parahhhhhhhh ❤‍🔥❤‍🔥❤‍🔥❤‍🔥❤‍🔥❤‍🔥❤‍🔥❤‍🔥</t>
  </si>
  <si>
    <t>h****1</t>
  </si>
  <si>
    <t>Holy shit I literally expected nothing form this, but got goosebumps. please don't be trash.</t>
  </si>
  <si>
    <t>a****v</t>
  </si>
  <si>
    <t>Looks good, hopes high</t>
  </si>
  <si>
    <t>the original soundtrack brought CHILLS.</t>
  </si>
  <si>
    <t>F****4</t>
  </si>
  <si>
    <t>Ok Netflix, you win.....oh wait no, piracy exists, haha..</t>
  </si>
  <si>
    <t>I am so exited. even more after the fail of the movie. it looks so good. (and momo is in it)</t>
  </si>
  <si>
    <t>There is no war in Ba Sing Se...</t>
  </si>
  <si>
    <t>S****b</t>
  </si>
  <si>
    <t>finally after so many years its finally coming</t>
  </si>
  <si>
    <t>Why aren't there more white, brown and black people???????????~?!!!?!!?!?!?!! ;)</t>
  </si>
  <si>
    <t>I only have one thing to complain about don't show me the fire lord's face in the trailer, it ruins the build up. (he looks on point though) Everything else looks pretty good.</t>
  </si>
  <si>
    <t>2****t</t>
  </si>
  <si>
    <t>The last movie needed 10 guys from the earth nation to dance and lift a rock smaller then my fog I hope this One will be good... 😅</t>
  </si>
  <si>
    <t>What about the universe ?? the water ,fire and earth chapter..we want universe on this movie</t>
  </si>
  <si>
    <t>актерский состав это кринжатина N</t>
  </si>
  <si>
    <t>X****s</t>
  </si>
  <si>
    <t>This made me remind Shang-Chi and the Legend of the Ten Rings. That aint no positive thing. Ill bet it flops really hard. There is generations of people that grew up with movies like this. I guess that is there audience. But the thing i hate about movies like that is, that they can make something dangerous and awsome look like cute and dorkey. Like they did with THOR or SAURON in rings of power for example. From hero to zero. It feels for me more like a "Never ending story" rip off. While in Never ending story the acting was actually really good.</t>
  </si>
  <si>
    <t>yea!!</t>
  </si>
  <si>
    <t>k****e</t>
  </si>
  <si>
    <t>They already made the best story. Don't mess it up by changinging everything.Idiots!</t>
  </si>
  <si>
    <t>C****e</t>
  </si>
  <si>
    <t>at last we can forget about the movie we do not speak of</t>
  </si>
  <si>
    <t>finally</t>
  </si>
  <si>
    <t>NetFlix are idiots, but maybey they did not be idiots this time. Hopefully!</t>
  </si>
  <si>
    <t>Fingers crossed it doesn’t fail as hard as the other one did</t>
  </si>
  <si>
    <t>CL</t>
  </si>
  <si>
    <t>I hope all character remain funny, if not, there is no sense for this series to come.</t>
  </si>
  <si>
    <t>Please let this be good enough to get all 3 seasons. I need to see the Final Agni Kai in live action one day.</t>
  </si>
  <si>
    <t>c****6</t>
  </si>
  <si>
    <t>Can't wait to see momo and appa.. the lost appa  episode gonna break my heart so bad.</t>
  </si>
  <si>
    <t>Raising my childhood memories😮😮😮</t>
  </si>
  <si>
    <t>a****j</t>
  </si>
  <si>
    <t>Lan general iroh harbiden Jahrein amk</t>
  </si>
  <si>
    <t>u****9</t>
  </si>
  <si>
    <t>Time to see if this revives our hope, or throws it out the door again</t>
  </si>
  <si>
    <t>x****X</t>
  </si>
  <si>
    <t>you know a year ago when i learned this was happening I was terrified. now after the absolute work of art that was one piece i couldn't be more exited.</t>
  </si>
  <si>
    <t>I gotta say it look kinda identical to the last bad movie. But we will see</t>
  </si>
  <si>
    <t>I have spent a lot of my time learning from the tv series of the last Airbender. I am disappointed with Netflix trailer. Sometimes it is better to leave it the way it was before, stop recreating and start creating. Bring something new to the world.</t>
  </si>
  <si>
    <t>If there's ever a time for netflix to redeem itself for making live action films of animated shows then it is now 🙏</t>
  </si>
  <si>
    <t>flop</t>
  </si>
  <si>
    <t>Desparetly wating for this series 😅😅😅</t>
  </si>
  <si>
    <t>Whether it will be good or not, I wonder if they’ll just fly over “The Great Divide” this time 😂</t>
  </si>
  <si>
    <t>Z****e</t>
  </si>
  <si>
    <t>çizgifilmi daha iyi eng saf çocuk filmde ciddi yapmışlar gibi</t>
  </si>
  <si>
    <t>THANK YOU!!!!</t>
  </si>
  <si>
    <t>Super</t>
  </si>
  <si>
    <t>H****9</t>
  </si>
  <si>
    <t>Everything looks amazing so far!</t>
  </si>
  <si>
    <t>Plz dont change the storyline</t>
  </si>
  <si>
    <t>n****y</t>
  </si>
  <si>
    <t>Please tell me it’s a full series not a movie. This story is too detailed to be cramped up in just one movie.</t>
  </si>
  <si>
    <t>Where's toph?🥹</t>
  </si>
  <si>
    <t>L****a</t>
  </si>
  <si>
    <t>Other than the final shot where the wind doesn't move anything, it all looks good so far</t>
  </si>
  <si>
    <t>I really hope they don’t skip adapting any of the episodes. I’m especially hoping they go all out when animating Koh the face stealer 🤞😊</t>
  </si>
  <si>
    <t>Please pronounce his name correctly.</t>
  </si>
  <si>
    <t>A****g</t>
  </si>
  <si>
    <t>Hope this is a series n not jus a pointless movie again. Aang story worth a whole series and some.</t>
  </si>
  <si>
    <t>i****y</t>
  </si>
  <si>
    <t>Bet this just gonna be another witcher</t>
  </si>
  <si>
    <t>I already love uncle Iroh 😃There's warmth in his eyes. I just hope Netflix won't ruin it. The creators of the original parted ways with them, which makes me a bit anxious.</t>
  </si>
  <si>
    <t>7****g</t>
  </si>
  <si>
    <t>They look like AI Characters</t>
  </si>
  <si>
    <t>this gonna be ass</t>
  </si>
  <si>
    <t>The real Avatar, none of the blue people nonsense</t>
  </si>
  <si>
    <t>m****g</t>
  </si>
  <si>
    <t>nah but why does Iroh look like a baby with a fake beard?</t>
  </si>
  <si>
    <t>The first movie was dumb to say the least..watching this I have hope now..real hope</t>
  </si>
  <si>
    <t>Didnt we already have a live action of this?</t>
  </si>
  <si>
    <t>heyy when is the trailer release</t>
  </si>
  <si>
    <t>ISTG it's December and still no final trailer</t>
  </si>
  <si>
    <t>is this gonna be a fail as the movie? or will it have women empowerment? will Katara be the main character? Here is hoping netflix woke up (not WOKE up)</t>
  </si>
  <si>
    <t>And then canceled after the first season.</t>
  </si>
  <si>
    <t>c****8</t>
  </si>
  <si>
    <t>YEEEEEESSSSSSSSSSSS</t>
  </si>
  <si>
    <t>j****t</t>
  </si>
  <si>
    <t>thank you netflix my childhood comeback😭😭😭</t>
  </si>
  <si>
    <t>J****i</t>
  </si>
  <si>
    <t>Yea, let's revive another IP for the 10th time....</t>
  </si>
  <si>
    <t>v****l</t>
  </si>
  <si>
    <t>I’m so sad, I can’t believe Chief Benja took his unification ideals to the extreme end; in conquest and flame 😔 (Same actors)</t>
  </si>
  <si>
    <t>Lame as f. Who wants to see same storyline when we could’ve got adult version</t>
  </si>
  <si>
    <t>This is EXACTLY WHAT WE NEED. Now I wish Netflix can make Avatar Korra live action too &lt;3</t>
  </si>
  <si>
    <t>🔥🔥🔥🔥🔥💝💝💝💝💝💝🫂 N</t>
  </si>
  <si>
    <t>AAHHH JUST TWO MONTHS LEFT YALL</t>
  </si>
  <si>
    <t>W****b</t>
  </si>
  <si>
    <t>If netflix fucks this one up the fans are going to skin them alive</t>
  </si>
  <si>
    <t>d****2</t>
  </si>
  <si>
    <t>yawn</t>
  </si>
  <si>
    <t>Stop this dust thing.stop killing the people.stop doing evilic action In the        Name of Jesus</t>
  </si>
  <si>
    <t>I cried</t>
  </si>
  <si>
    <t>I just really hope the bending styles feel different and that they dont screw up Iroh or the teachings of working to become better.</t>
  </si>
  <si>
    <t>E****l</t>
  </si>
  <si>
    <t>I need a full trailer</t>
  </si>
  <si>
    <t>uhm</t>
  </si>
  <si>
    <t>N****e</t>
  </si>
  <si>
    <t>yooo guys my childhood dream please cover the whole series</t>
  </si>
  <si>
    <t>T****h</t>
  </si>
  <si>
    <t>Tengo fe en ti tío Netflix, por favor no nos decepciones!!!!</t>
  </si>
  <si>
    <t>e****z</t>
  </si>
  <si>
    <t>There may be a series, in Ba Sing Sae</t>
  </si>
  <si>
    <t>Sorry guys he escaped from my basement...</t>
  </si>
  <si>
    <t>Waiting patiently</t>
  </si>
  <si>
    <t>u****h</t>
  </si>
  <si>
    <t>🥴🥴🥴 N</t>
  </si>
  <si>
    <t>z****4</t>
  </si>
  <si>
    <t>020 aren't they supposed to be brown not white?</t>
  </si>
  <si>
    <t>ngl it looks really cheap made but hopefully it will be good</t>
  </si>
  <si>
    <t>H****d</t>
  </si>
  <si>
    <t>Да ладно, не ужели сделают хорошую адаптацию, даже девочки симпатичные хм... в этот раз дам им шанс. N</t>
  </si>
  <si>
    <t>V****t</t>
  </si>
  <si>
    <t>I hope the movie is longer than an hour and a half. Or they make more than one movie. Otherwise they'll be skipping a lot of material.</t>
  </si>
  <si>
    <t>e****9</t>
  </si>
  <si>
    <t>Finally they’re Asians</t>
  </si>
  <si>
    <t>o****5</t>
  </si>
  <si>
    <t>I can already imagine the finale showdown on top of the rocks with the fire lord.</t>
  </si>
  <si>
    <t>Yes! This looks legit! Hope its gonna be what the animated series was! Even if it comes close it would be Amazing!</t>
  </si>
  <si>
    <t>Fabruary 22? Nice its out since 2 years )</t>
  </si>
  <si>
    <t>Eh, still looks better than the Midnight Sha lama lama ding dong version.</t>
  </si>
  <si>
    <t>D****y</t>
  </si>
  <si>
    <t>Another massive flop.</t>
  </si>
  <si>
    <t>Let me guess, Soka is gonna be gay or some shit?</t>
  </si>
  <si>
    <t>This looks amazing, im so happy it looks like this unlike that trash lice action  no on likes.</t>
  </si>
  <si>
    <t>Ohh wow, the main characters arent black lesbian men ! Well done Netflix !</t>
  </si>
  <si>
    <t>2026?😅😅 N</t>
  </si>
  <si>
    <t>Not being racist but wished the actors for Katara and Sokka could ve been at least with a tan look to be enough but they re face structure at least  looks good and meanwhile the rest of the cast looks very good specially Aang , Uncle Iroh , Zuko , Ozai , and Suki ❤ Notice late the trailer here with comment</t>
  </si>
  <si>
    <t>022 Im curios who will play King Bumi ?</t>
  </si>
  <si>
    <t>Pliz don't disappoint Netflix</t>
  </si>
  <si>
    <t>I’m  sure nickelodeon is learning after that useless avatar they produced.....i guess this will be way better</t>
  </si>
  <si>
    <t>B****s</t>
  </si>
  <si>
    <t>Now if we can get someone to make a good avatar game we will stop complaining lol</t>
  </si>
  <si>
    <t>that's offensive. aang is not afro american, katara is not obese genderfluid muslim...  they even didn't mention their pronounces!!!!!111(one) im stop paying for netflix subscription.</t>
  </si>
  <si>
    <t>Can't wait to renew my netflix subscription only to cancel it immediately when they cancel the one show I'm there for immediately after season 1</t>
  </si>
  <si>
    <t>This looks much bettereverybody are asiansFAIR</t>
  </si>
  <si>
    <t>Can't wait yooo</t>
  </si>
  <si>
    <t>I****a</t>
  </si>
  <si>
    <t>It can't POSSIBLY be as bad as the movie.</t>
  </si>
  <si>
    <t>C****l</t>
  </si>
  <si>
    <t>This looks friggen epic woooo</t>
  </si>
  <si>
    <t>I'm so unbelievably hyped for this</t>
  </si>
  <si>
    <t>Loving the casting! Hopes it turns out great!</t>
  </si>
  <si>
    <t>Eu espero que vocês não estraguem a imagem dessa obra preciosa com algum lacre. Obrigado.</t>
  </si>
  <si>
    <t>l****y</t>
  </si>
  <si>
    <t>Sokka character is already got me like yikes 😬😂😂 hopefully it’s good</t>
  </si>
  <si>
    <t>h****4</t>
  </si>
  <si>
    <t>Ano to, bakit madaming Chinese?</t>
  </si>
  <si>
    <t>M night shaking he's head and screaming my Avatar movie has twists 😅😅</t>
  </si>
  <si>
    <t>Y’all ain’t learn after the first time?</t>
  </si>
  <si>
    <t>z****e</t>
  </si>
  <si>
    <t>Wow.. ❤❤❤❤😮😮😮</t>
  </si>
  <si>
    <t>Knight Shyamalan did a good job with this thing, I do not understand the hate it got</t>
  </si>
  <si>
    <t>Congratulations Netfilx, your company is saving live actions!</t>
  </si>
  <si>
    <t>Where is Toph?</t>
  </si>
  <si>
    <t>We want Ben 10</t>
  </si>
  <si>
    <t>Better be better than the shitty movie I hope that producer isn't in on it. Fr</t>
  </si>
  <si>
    <t>Please please Netflix don’t mess this !</t>
  </si>
  <si>
    <t>This looks like its going to be phenomenal. Considering what netflix did with shows like Wednesday and One Piece, I think they are going to finally give us the live action we deserve.</t>
  </si>
  <si>
    <t>SUKIIIIII</t>
  </si>
  <si>
    <t>oh no. not again</t>
  </si>
  <si>
    <t>This is Freakin' CRAZZZYYYYYYY Dudeeee</t>
  </si>
  <si>
    <t>Nothing beats the Animation. If u agree put a thumb.</t>
  </si>
  <si>
    <t>M****6</t>
  </si>
  <si>
    <t>GGs</t>
  </si>
  <si>
    <t>g****7</t>
  </si>
  <si>
    <t>TR</t>
  </si>
  <si>
    <t>the arrow tattoo on his looks like shit...</t>
  </si>
  <si>
    <t>s****5</t>
  </si>
  <si>
    <t>😂 firelord Ozai🤣😂</t>
  </si>
  <si>
    <t>вы понимаете что вам нельзя это испортить, люди вам не простят этого. N</t>
  </si>
  <si>
    <t>f****k</t>
  </si>
  <si>
    <t>tha last one is indian and this one is too young for aangDD this one is a baby heheheDD how he gonna relationship with katara heehheh</t>
  </si>
  <si>
    <t>o****r</t>
  </si>
  <si>
    <t>My name is oong😂</t>
  </si>
  <si>
    <t>rất mong chờ. xin đừng làm tôi thất vọng</t>
  </si>
  <si>
    <t>this looks awesome!!!, please do dragonball z next Netflix! 🙏🙏</t>
  </si>
  <si>
    <t>YES!!!!!!  I can't wait!!!!!</t>
  </si>
  <si>
    <t>r****m</t>
  </si>
  <si>
    <t>Wow!  Looking forward to this!  The last adaptation had a lot of white-washed main characters, so this one is a big improvement!</t>
  </si>
  <si>
    <t>1****1</t>
  </si>
  <si>
    <t>Now ur talking</t>
  </si>
  <si>
    <t>if they make BEN 10 web series with more episodes and seasons, it will be more cool 🥳.</t>
  </si>
  <si>
    <t>It depresses me that live action remakes like this get so much hype</t>
  </si>
  <si>
    <t>w poprzedniej części księżniczka z krainy wody (poświęcona) była zjawiskowo piękna ciekaw jestem jak będzie w tej części 😁</t>
  </si>
  <si>
    <t>Looks better than the movie. But still something is missing.Why there should be a Live action. When there is already an animated masterpiece.</t>
  </si>
  <si>
    <t>Childhood we have waited for so long</t>
  </si>
  <si>
    <t>The way I recognised that shot of Kyoshi Island immediately</t>
  </si>
  <si>
    <t>Official trailer on the winter scoliosist plz and trailer at the Super Bowl</t>
  </si>
  <si>
    <t>It's impossible to make it better than original cartoon.</t>
  </si>
  <si>
    <t>c****r</t>
  </si>
  <si>
    <t>i cant wait , avatar is pure love ❤ Ty netflix</t>
  </si>
  <si>
    <t>Why is katara and sokka white…?</t>
  </si>
  <si>
    <t>o****x</t>
  </si>
  <si>
    <t>I love this movie❤</t>
  </si>
  <si>
    <t>t****h</t>
  </si>
  <si>
    <t>Where Katara and Sokka ? If you know what i mean</t>
  </si>
  <si>
    <t>c****2</t>
  </si>
  <si>
    <t>Somehow, someway, they’ll find a way to ruin it.</t>
  </si>
  <si>
    <t>P****y</t>
  </si>
  <si>
    <t>NOw this it WTF i am talking about.</t>
  </si>
  <si>
    <t>he is back😢</t>
  </si>
  <si>
    <t>A****k</t>
  </si>
  <si>
    <t>First PJO gets a live-action remake-remake and now Avatar, have I already gone to heaven?</t>
  </si>
  <si>
    <t>f****x</t>
  </si>
  <si>
    <t>Beautifull this time i wanna see that he masters all four elementss !!!!!</t>
  </si>
  <si>
    <t>K****5</t>
  </si>
  <si>
    <t>Been waiting 😊hope it's good.</t>
  </si>
  <si>
    <t>m****1</t>
  </si>
  <si>
    <t>They messed up on the first movie so bad i had lost hope.I believe in one fight scene they had a large group of fighters break dancing to move one rock.All aang's fights were just him sliding in slow motion for the entire movie.</t>
  </si>
  <si>
    <t>It’s a no from me</t>
  </si>
  <si>
    <t>It's honestly very funny that the narration says "keep it straight" right on an image where Sokka is crossdressing.</t>
  </si>
  <si>
    <t>Netflix nailed One Piece, so I have faith that they can nail Avatar as well. Hopefully the trailer is not a lie like the M. Night version.</t>
  </si>
  <si>
    <t>p****s</t>
  </si>
  <si>
    <t>Tidak sabar menantikan Carakter TOPH</t>
  </si>
  <si>
    <t>Given the creators left the live action series, I wouldn't be surprised if this show was bad. The original creators actually have some idea of how the vision should be.</t>
  </si>
  <si>
    <t>A****m</t>
  </si>
  <si>
    <t>THEY COULD NOT LIVE WITH THEIR FAILURE AND WHERE DID THAT BRING THEM BACK TO? ME</t>
  </si>
  <si>
    <t>Hopefully the Cabbage Guy gets more screen time.  Best Running gag of the show.</t>
  </si>
  <si>
    <t>I am hoping this is going to be good&lt; trailer looks great, apprehensive as Michael Dante DiMartino and Bryan Konietzko left....we shall see, please be good )</t>
  </si>
  <si>
    <t>m****_</t>
  </si>
  <si>
    <t>One Piece and now Avatar. I see Netflix is learning from The Witcher's (and their competitors) failures.</t>
  </si>
  <si>
    <t>I hope we get Avatar Aang and not Avatar Ong</t>
  </si>
  <si>
    <t>Epic. The sound of  Momo really made me homesick. How weird is that ?</t>
  </si>
  <si>
    <t>HOLY SHIII</t>
  </si>
  <si>
    <t>o****t</t>
  </si>
  <si>
    <t>BEAUTIFUL</t>
  </si>
  <si>
    <t>doesnt look bad</t>
  </si>
  <si>
    <t>If they can One Piece justice they can do Avatar well</t>
  </si>
  <si>
    <t>t****D</t>
  </si>
  <si>
    <t>I am so very on the fence with this. I am not convinced this will be better than Shamalamadingdong's version. And, even if it is, there's no way it's better than the original. I already have Netflix, but I'm not sure I'm going to watch it. I will probably wait to here what people have to say first.</t>
  </si>
  <si>
    <t>T****k</t>
  </si>
  <si>
    <t>The last white wash!</t>
  </si>
  <si>
    <t>Hopefully they'll add the iconic opening</t>
  </si>
  <si>
    <t>Как же хуево подобраны актеры N</t>
  </si>
  <si>
    <t>Lion King adaptation in the mud 😂😂😂🤟</t>
  </si>
  <si>
    <t>feels mehh...</t>
  </si>
  <si>
    <t>j****i</t>
  </si>
  <si>
    <t>Toph¿¿¿¿????</t>
  </si>
  <si>
    <t>v****4</t>
  </si>
  <si>
    <t>can't wait to see aang becomes ocean spirit in the live action ❤❤❤</t>
  </si>
  <si>
    <t>I'm so happy that avatar community is supporting this one ❤</t>
  </si>
  <si>
    <t>UG</t>
  </si>
  <si>
    <t>Oh Momo</t>
  </si>
  <si>
    <t>K****h</t>
  </si>
  <si>
    <t>It's going to be as shit at the last movie they can't do it right</t>
  </si>
  <si>
    <t>The casting is on point and the music choice gives me hope that this will, indeed, be a faithful adaptation.</t>
  </si>
  <si>
    <t>G****y</t>
  </si>
  <si>
    <t>The last Airbender cartoon is one of the greatest stories of all time. It deserves a great tribute</t>
  </si>
  <si>
    <t>j****s</t>
  </si>
  <si>
    <t>Gta 6, Budokai Tenkaichi 4, and another avatar!??</t>
  </si>
  <si>
    <t>LETS GOOOOOOO</t>
  </si>
  <si>
    <t>Uuuyyyy por fin salió algo mejor</t>
  </si>
  <si>
    <t>That looks promising.</t>
  </si>
  <si>
    <t>n****e</t>
  </si>
  <si>
    <t>finally the live action that we deserve</t>
  </si>
  <si>
    <t>u****w</t>
  </si>
  <si>
    <t>bi şeyin b*kunu çıkarmadan duramıyosunuz yeni şeyler bulun artık zaten güzel olan şeyleri kirletmeyin</t>
  </si>
  <si>
    <t>Will renew my Netflix subscription just for this 😆</t>
  </si>
  <si>
    <t>PT</t>
  </si>
  <si>
    <t>Can't wait for this to be cancelled after 2 seasons</t>
  </si>
  <si>
    <t>The moment when grown men cried 😢</t>
  </si>
  <si>
    <t>S****u</t>
  </si>
  <si>
    <t>Danke gute Film bitte mit file sprachen dise Film mahen😊</t>
  </si>
  <si>
    <t>Is that real Netflix? I can't believe it, but i want to see it.</t>
  </si>
  <si>
    <t>PLease, Netflix, this time do it right</t>
  </si>
  <si>
    <t>n****p</t>
  </si>
  <si>
    <t>Imma call it I think it's gonna be bad not as bad as the first live action one but still bad.</t>
  </si>
  <si>
    <t>We didn't need this, it doesn't work in live action either, stop trying please.</t>
  </si>
  <si>
    <t>i cant focus on anything but sokka having forehead wrinkles at the age of like 15........</t>
  </si>
  <si>
    <t>r****y</t>
  </si>
  <si>
    <t>This is what we should have gotten all along</t>
  </si>
  <si>
    <t>O****2</t>
  </si>
  <si>
    <t>Looks like absolute shit</t>
  </si>
  <si>
    <t>v****1</t>
  </si>
  <si>
    <t>They better not mess up this movie again.😞</t>
  </si>
  <si>
    <t>Amazing how great it looks super pumped for it Feb 22, 2024 LETS GOOOOO!</t>
  </si>
  <si>
    <t>h****8</t>
  </si>
  <si>
    <t>I never understood why people say netflix is washed, they actually got some of the best Originals/Exclusives of any streaming platform. Cyberpunk, Arcane, Nimona, Blue Eye Samurai, Castlevania, One Piece, now Avatar?</t>
  </si>
  <si>
    <t>D****g</t>
  </si>
  <si>
    <t>Where are all of the Eastern Indians?</t>
  </si>
  <si>
    <t>o****o</t>
  </si>
  <si>
    <t>APPA!!!! He looks so awesome!!!! Yaaaaaaaaaaay!!!! 😁😁😁😁</t>
  </si>
  <si>
    <t>Hopefully the makes trilogies 🔥 3 now 3 later</t>
  </si>
  <si>
    <t>.... looks promising, but I'm scared to get my hopes up ...</t>
  </si>
  <si>
    <t>Please Netflix don't ruin this one</t>
  </si>
  <si>
    <t>The voice behind is Avatar Roku?</t>
  </si>
  <si>
    <t>t****u</t>
  </si>
  <si>
    <t>if they introduce a gay couple imma be real mad</t>
  </si>
  <si>
    <t>l****s</t>
  </si>
  <si>
    <t>bald lul</t>
  </si>
  <si>
    <t>I****e</t>
  </si>
  <si>
    <t>Characters look like trash</t>
  </si>
  <si>
    <t>How do you even put 2 seasons worth of material into a movie?</t>
  </si>
  <si>
    <t>live action of anime always feel so terrible. The characters just never translate over to real life. Looks terrible.</t>
  </si>
  <si>
    <t>for everyone whining over the movie, suck it up, go rewatch the movie, and only start comparing it to the show after its done. yes some bits are cut out, when a show gets turned into a movie some "filler" would get cut out, even if it did help with worldbuilding. however if it was given the chance at a sequel (or trilogy) it wouldn't be seen as the horrid memory you claim it to be.and from the looks of this teaser, it looks a bit too "fake", as if its a play where the actors have perfect makeup and their costumes have never even had a spec of dust on them before.... if that sounds familiar, congratulations you've watched the show.</t>
  </si>
  <si>
    <t>P****O</t>
  </si>
  <si>
    <t>The difference between this and it The dumpster fire is this is actually made by the actual creators of avatar</t>
  </si>
  <si>
    <t>Equally going to suck</t>
  </si>
  <si>
    <t>My God even the details in Appa's fur when flying ,the details alone make it worth watching.  ❤️❤️</t>
  </si>
  <si>
    <t>Please dont. Im scared. I love this show too much for this to be bad.</t>
  </si>
  <si>
    <t>Is this gonna be a movie or a show?</t>
  </si>
  <si>
    <t>Let's jst accept Netflix fuckdup nd ruining the nostalgia 😑 One piece successfully ruinedNow Avatar atleast they could have tried animeAnd alot other content</t>
  </si>
  <si>
    <t>YALL ARE MAKING IT HAPPEN! GOOD LUCK I'M SO HYPE</t>
  </si>
  <si>
    <t>I think Netflix really dropped the ball here. Aang should have been black. What a missed opportunity</t>
  </si>
  <si>
    <t>S****w</t>
  </si>
  <si>
    <t>Hopefully this one is actually good )</t>
  </si>
  <si>
    <t>Se les pasó un poco la mano con las cejas de azotador jaja</t>
  </si>
  <si>
    <t>Are we gonna see Bumi or will that be season 2?</t>
  </si>
  <si>
    <t>T****r</t>
  </si>
  <si>
    <t>I'm actually keeping my hopes up for this. I just need something like this to watch instead of the current garbage</t>
  </si>
  <si>
    <t>Trailer looks good. First movie was aweful big disappointment</t>
  </si>
  <si>
    <t>j****y</t>
  </si>
  <si>
    <t>At last the og background sound is back.</t>
  </si>
  <si>
    <t>When did guitara turn white</t>
  </si>
  <si>
    <t>Plz just follow the original and its going to b glorious !</t>
  </si>
  <si>
    <t>m****t</t>
  </si>
  <si>
    <t>Netflix The show is great and with good ratings, let's cancel it after season 1/2!</t>
  </si>
  <si>
    <t>D****h</t>
  </si>
  <si>
    <t>I'm not sure if lifting the costume design straight from the cartoon was such a good idea. It looks kind of like cosplay. Too clean, obviously fake fabrics and armour... Also some TERRIBLE wigs.. What's up with that? The CGI looks great though.</t>
  </si>
  <si>
    <t>v****e</t>
  </si>
  <si>
    <t>Looks good</t>
  </si>
  <si>
    <t>Yussss</t>
  </si>
  <si>
    <t>Looks like Netflix stayed true to the storyline. The live-action movie took too many shortcuts.</t>
  </si>
  <si>
    <t>D****2</t>
  </si>
  <si>
    <t>looks horrible</t>
  </si>
  <si>
    <t>This looks surprisingly watchable...</t>
  </si>
  <si>
    <t>Thats my 18th birthday😆</t>
  </si>
  <si>
    <t>E****1</t>
  </si>
  <si>
    <t>After they nailed it with One Piece I think Netflix will manage that this doesn't suck either! I am hyped!</t>
  </si>
  <si>
    <t>This looks like a fanfilm 💀</t>
  </si>
  <si>
    <t>I like the the movie too</t>
  </si>
  <si>
    <t>U****k</t>
  </si>
  <si>
    <t>they went from turning aang into a fodder in the anime to turning aang into a god in the movie that’s crazy</t>
  </si>
  <si>
    <t>Yes please,Thank you.</t>
  </si>
  <si>
    <t>Ohh you've gotten me optimistic now, I swear though if you've got your left wing identity politics shit in it then I'm canceling my subscription.</t>
  </si>
  <si>
    <t>i just hope that azula actress would be actually HOT 🔥</t>
  </si>
  <si>
    <t>V****n</t>
  </si>
  <si>
    <t>I’m not gunna judge, let’s just hope they beat all expectations. I’ll leave the hype.</t>
  </si>
  <si>
    <t>j****8</t>
  </si>
  <si>
    <t>It's so sad, watch this trailer 4 times and spent an hour looking for more info ( I can't believe it's been out for a month and I wasn't aware of it. I just hope it's good, the fact that the US is involved makes me think it's going to be another shit like the witcher, but they still have good shows coming out, mostly they're from Asian countries though.</t>
  </si>
  <si>
    <t>I thought it would be more anime</t>
  </si>
  <si>
    <t>this better not suck</t>
  </si>
  <si>
    <t>Is it a movie or a series, either way it looks so good 👍</t>
  </si>
  <si>
    <t>Um sonho</t>
  </si>
  <si>
    <t>Good luck Netflix... I genuinely mean that</t>
  </si>
  <si>
    <t>The makeup looks like amateur cosplay… the rest looks excellent…</t>
  </si>
  <si>
    <t>Take my money, please!</t>
  </si>
  <si>
    <t>o****1</t>
  </si>
  <si>
    <t>Woooouu!!! Grande netflix</t>
  </si>
  <si>
    <t>029  Zuko looks his age and that's giving me chills already.Honestly the only thing I'm unsure about is the casting for Sokka but I'm gonna put my life on the line and trust them a little here 😭</t>
  </si>
  <si>
    <t>I checked out the cast. They'll also show the cabbage merchant😂😂😂😂</t>
  </si>
  <si>
    <t>That's one big head😅</t>
  </si>
  <si>
    <t>u****l</t>
  </si>
  <si>
    <t>10 out of 10</t>
  </si>
  <si>
    <t>now this looks way cooler than the past movie</t>
  </si>
  <si>
    <t>I m waiting for long..one of mu fav cartoon series.still i watch on old epi.ths time i hope it will be better dhn old version</t>
  </si>
  <si>
    <t>don't be like the previous movie. fire manipulators cannot make fire themselves. They depending on the existing fire.</t>
  </si>
  <si>
    <t>f****0</t>
  </si>
  <si>
    <t>Nostalgia 😢</t>
  </si>
  <si>
    <t>The Bald hair always gets me 💀🔥</t>
  </si>
  <si>
    <t>NO</t>
  </si>
  <si>
    <t>бля для кого снимают эту хуету N</t>
  </si>
  <si>
    <t>Finally a live action Avatar that deserves its name. Toph's voice actor is so cool and she's doing reaction videos to the original show. 2024 will be such a great year! Hopefuly, enough to erase this cumstain of a year 2023 was from history.</t>
  </si>
  <si>
    <t>c****e</t>
  </si>
  <si>
    <t>❤❤❤❤❤❤❤❤😊 N</t>
  </si>
  <si>
    <t>Squeezing a 20 something episode season into only 8, one hour episodes...that's a feat. Please be GOOD!😂</t>
  </si>
  <si>
    <t>NOW  this is way better, cant wait.</t>
  </si>
  <si>
    <t>Better still have humor</t>
  </si>
  <si>
    <t>Aang die in the First episode and Katara is the main character.</t>
  </si>
  <si>
    <t>no Toph, i really dont have high hopes for this movie..</t>
  </si>
  <si>
    <t>e****y</t>
  </si>
  <si>
    <t>Movies will never get close to cartoons</t>
  </si>
  <si>
    <t>I like how the ost is the one from the show</t>
  </si>
  <si>
    <t>Just when I was gonna cancel Netflix!!!</t>
  </si>
  <si>
    <t>sdsd</t>
  </si>
  <si>
    <t>lol</t>
  </si>
  <si>
    <t>n****.</t>
  </si>
  <si>
    <t>ok this one looks good</t>
  </si>
  <si>
    <t>w****r</t>
  </si>
  <si>
    <t>Hopefully they pronounce the names properly this time.</t>
  </si>
  <si>
    <t>not a fan of turning games and cartoons into live action because there 9/10 trash but lets see how this goes</t>
  </si>
  <si>
    <t>q****m</t>
  </si>
  <si>
    <t>Do I dare get my hopes up? Is this another One-Piece level adaptation?!!</t>
  </si>
  <si>
    <t>c****g</t>
  </si>
  <si>
    <t>UA</t>
  </si>
  <si>
    <t>Looks exactly like the movie (( But firebending seems better</t>
  </si>
  <si>
    <t>e****t</t>
  </si>
  <si>
    <t>CAN'T WAIT FOR IT!;</t>
  </si>
  <si>
    <t>Do not taint your victory.  Even on streaming services Netflix has more honor than Disney.</t>
  </si>
  <si>
    <t>So dope</t>
  </si>
  <si>
    <t>omg once i heard the original theme i can tell this will be a good one. please i cant wait</t>
  </si>
  <si>
    <t>I****I</t>
  </si>
  <si>
    <t>Ok ok imma give it a shot</t>
  </si>
  <si>
    <t>q legal vey</t>
  </si>
  <si>
    <t>F****e</t>
  </si>
  <si>
    <t>this looks fantastic!</t>
  </si>
  <si>
    <t>please no don't</t>
  </si>
  <si>
    <t>b****6</t>
  </si>
  <si>
    <t>We're so scared because we'd been burned so bad 🥲</t>
  </si>
  <si>
    <t>its a no from me</t>
  </si>
  <si>
    <t>Release date?</t>
  </si>
  <si>
    <t>Yay! The fact that they are age and ethnically correct to the source.. OMG Yay! Now, if we can keep to the correct pronunciations so i dont cringe watching, oh I'll live past winter just to see this baby!</t>
  </si>
  <si>
    <t>please be good....</t>
  </si>
  <si>
    <t>no............. please don't...........</t>
  </si>
  <si>
    <t>S****1</t>
  </si>
  <si>
    <t>They better not screw up Uncle Iroh like the movie.</t>
  </si>
  <si>
    <t>This kid looks nothing like Aang.</t>
  </si>
  <si>
    <t>Bro....off rip, I got goosebumps</t>
  </si>
  <si>
    <t>R****i</t>
  </si>
  <si>
    <t>All i can say is, dont get so hyped. We must see the series first The AvatarLast airbender movie(what movie?) was also promising but the movie itself didnt deliver.</t>
  </si>
  <si>
    <t>Chutti Tv😊</t>
  </si>
  <si>
    <t>e****5</t>
  </si>
  <si>
    <t>Can’t wait for toph blind jokes 😂😂</t>
  </si>
  <si>
    <t>t****9</t>
  </si>
  <si>
    <t>El cast mejoró pero sigo teniendo la duda de ¿porqué Katara y Zokka siguen pareciendo esquimales de Noruega? 🤣</t>
  </si>
  <si>
    <t>L****n</t>
  </si>
  <si>
    <t>im a bit iffy about zukos scar looking more like face paint than an actual scar, but other than that this show looks promising</t>
  </si>
  <si>
    <t>i hope its even half as good as the anime counterpart</t>
  </si>
  <si>
    <t>v****5</t>
  </si>
  <si>
    <t>It's giving hope</t>
  </si>
  <si>
    <t>I mean the CGI looks bad and the actors look awkward</t>
  </si>
  <si>
    <t>i****A</t>
  </si>
  <si>
    <t>No Korra please.</t>
  </si>
  <si>
    <t>Excited to watch this. Have watched all three seasons on Nickelodeon in childhood. Memories 🎉</t>
  </si>
  <si>
    <t>i****6</t>
  </si>
  <si>
    <t>I want to hate this but I can't??</t>
  </si>
  <si>
    <t>Ughhh whyyyyyyyyyyyyyy</t>
  </si>
  <si>
    <t>this looks promising</t>
  </si>
  <si>
    <t>I remember kid me being super hype after seeing the trailer for the live action movie lmao I won't make that mistake again as an adult lmao</t>
  </si>
  <si>
    <t>M****I</t>
  </si>
  <si>
    <t>Omgomgomg they have recognizable locations!!!</t>
  </si>
  <si>
    <t>Z****1</t>
  </si>
  <si>
    <t>I'm surprised this is from Netflix because all of the characters aren't black</t>
  </si>
  <si>
    <t>🤯🤯🤯 looks like we might have something epic on our hands!!!</t>
  </si>
  <si>
    <t>Apa yip yip</t>
  </si>
  <si>
    <t>i****m</t>
  </si>
  <si>
    <t>I am so stoked for this</t>
  </si>
  <si>
    <t>N****y</t>
  </si>
  <si>
    <t>oh no.... we going back it again with this</t>
  </si>
  <si>
    <t>M. Knight gotta learn to take notes and give the people what THEY want. Not what he wants.</t>
  </si>
  <si>
    <t>Looks like we will see the air nomad genocide</t>
  </si>
  <si>
    <t>Por  fin.. estamos en la era de  bostalgia live actio</t>
  </si>
  <si>
    <t>Como que por fin entendieron.. que no hay que cambiar  nada ni que haya mucha inclusion...</t>
  </si>
  <si>
    <t>Netflix. Esta en su prime.. y sabe que los bostalgicos.. viejos  jovenes. Somos los que mandan.</t>
  </si>
  <si>
    <t>Avatar island back alive wow</t>
  </si>
  <si>
    <t>N****5</t>
  </si>
  <si>
    <t>I swear if they mess this up I'm done with netflix adaptations</t>
  </si>
  <si>
    <t>H****0</t>
  </si>
  <si>
    <t>Nice scenery</t>
  </si>
  <si>
    <t>I remember this cartoon</t>
  </si>
  <si>
    <t>S****2</t>
  </si>
  <si>
    <t>Yes, keep the orders and the happenings as the Three books.. pleaseee!!</t>
  </si>
  <si>
    <t>I'm guessing that the official trailer will be released on the winter solstice. Aang knew what was to be expected on that day, now it's our turn.</t>
  </si>
  <si>
    <t>This looks really cool, incredible visuals. I just hope it brings the same goofy energy as the original series. Didn’t really get any silly goose vibes from the trailer.</t>
  </si>
  <si>
    <t>I can’t wait ..!!!!</t>
  </si>
  <si>
    <t>Hope it not be too serious like the movie.this show's humour is a one thing made it the best show in this whole time.🥺🥺🥺</t>
  </si>
  <si>
    <t>Dragon Ball evolution next please</t>
  </si>
  <si>
    <t>v****8</t>
  </si>
  <si>
    <t>the fact that this teaser alone surpasses alot of netflix trailer is so wild. avatar community is one of the most supportive and passionate in this generation.</t>
  </si>
  <si>
    <t>there's something about this teaser that I can keep on coming back watching. I think it's the soundtrack that gives me nostalgia</t>
  </si>
  <si>
    <t>Y'all should've made legends of Korra instead. Cause we know Aang story and on top of that they've already made a last air bender without a sequel.</t>
  </si>
  <si>
    <t>O my please change aang😢he didn’t look like the original one 😤</t>
  </si>
  <si>
    <t>E****t</t>
  </si>
  <si>
    <t>Don't get me wrong but I don't like some of the characters, and I thought kitara was brown skinned</t>
  </si>
  <si>
    <t>Ok im gonna say it, I don’t think this looks good at all, and I think this going to turn out very bad. I don’t think ATLA (just like all anime/cartoon for that matter) isn’t meant to be live action. It just translates badly every time it’s done. I just now watched ATLA over again and there are so many moments that just don’t work in a live action adaption (lots of the humor for instance is dependent on overly comically faces of defying the laws of physics). Also the acting I hope the beats of the story hit the same and the actors can cary their roles. Especially for Aang who’s a 12 year old kid. The drama, carachter arcs and emotional moment hit so hard in the animated series and will require alot from that actor. That’s a lot to live up to. I sincerely hope that it’s going to work, but I doubt it very much…</t>
  </si>
  <si>
    <t>I will never forgive everyone involved for how miserably bad the movie was. Still amazes me to this day tbh.</t>
  </si>
  <si>
    <t>trailer looking fire</t>
  </si>
  <si>
    <t>I can´t wait anymore!! The teaser looks so promising, the CGI, the effects, the actors, the scenery - everything looks AMAZING! At first I thought "Hm, maybe Aang´s actor is a bit too young" though he has the same age, I think, but now I´m sure this role suits him really good and the cast is perfect overall 😍 I´m really excited for this series and have high hopes so please don´t disappoint us (I´m still traumatized by the movie from 2010).One of the best shows ever is coming back to the screens after so many years as a live action series, I can't believe it 😭</t>
  </si>
  <si>
    <t>this shit looks ass and all the characters look ugly asf</t>
  </si>
  <si>
    <t>n****4</t>
  </si>
  <si>
    <t>Best Trailer cut by Netflix ever</t>
  </si>
  <si>
    <t>n****1</t>
  </si>
  <si>
    <t>Great another remake and we know Netflix will insert "the message" so it's bound to be awful.</t>
  </si>
  <si>
    <t>5****y</t>
  </si>
  <si>
    <t>Not bad!</t>
  </si>
  <si>
    <t>Looks great! But where is the humor that is such a large part of the series?</t>
  </si>
  <si>
    <t>they rlly said "another one"</t>
  </si>
  <si>
    <t>Hopefully, Nextflix will make it from Book of Water, Earth, and then fire so that we will see Katara do Blood Bending.</t>
  </si>
  <si>
    <t>Just a single complaint-  They should not have revealed Ozai's face 😭</t>
  </si>
  <si>
    <t>Finally thery dont need fire to throw fire at ppl</t>
  </si>
  <si>
    <t>no dissapointment pls?🥲</t>
  </si>
  <si>
    <t>y****6</t>
  </si>
  <si>
    <t>This boutta be some doo doo butter lets be real</t>
  </si>
  <si>
    <t>Meu deus, eu preciso ver.</t>
  </si>
  <si>
    <t>G****x</t>
  </si>
  <si>
    <t>its giving high quality fan made and i am here for it 🥰🥰</t>
  </si>
  <si>
    <t>I forgive you Netflix.</t>
  </si>
  <si>
    <t>M****.</t>
  </si>
  <si>
    <t>Oh be! Sonunda geliyor.</t>
  </si>
  <si>
    <t>m****r</t>
  </si>
  <si>
    <t>Where is Tof?</t>
  </si>
  <si>
    <t>how can i tell if a netflix trailer is a series or a film??? they never mention it.</t>
  </si>
  <si>
    <t>j****r</t>
  </si>
  <si>
    <t>All i could think when i saw iroh was “1910 Japan attack korea”😅</t>
  </si>
  <si>
    <t>My only worry is that we’re not getting much dialogue from Aang in the trailer</t>
  </si>
  <si>
    <t>I was scared coming into this trailer until I saw my boi Zuko, I’m HYPED! This looks good</t>
  </si>
  <si>
    <t>Hopefully it’s not like the last movie they made which was terrible but it does look good so far I’m excited for it</t>
  </si>
  <si>
    <t>O que me encantava em avatar era as coreografias e os ensinamentos que tinham durante os diálogos mais maduros do que eu esperava. Mas eu duvido que vão conseguir focar nessas coisas.</t>
  </si>
  <si>
    <t>But why must it be a remake?</t>
  </si>
  <si>
    <t>D****7</t>
  </si>
  <si>
    <t>I think this still needs a shit ton of work.</t>
  </si>
  <si>
    <t>Plz don't screw it up</t>
  </si>
  <si>
    <t>Couldn’t cast someone darker for Katara and Soka?</t>
  </si>
  <si>
    <t>Okay. As a fan of the original animated series who never bothered with the atrocious movie, I'm intrigued. Just please don't eff this one up like so many other shows before. Like, oooh, I dunno...The Witcher.</t>
  </si>
  <si>
    <t>Oof..I can't even imagine how much they've spent on creating the most accurate and very close to the  version of anime. This looks so promising we really appreciate Netflix for bringing our childhood to live action. Can't wait for release!</t>
  </si>
  <si>
    <t>when the show stop being wokethen money comes first</t>
  </si>
  <si>
    <t>A****n</t>
  </si>
  <si>
    <t>Not this flopped film Again!!!!</t>
  </si>
  <si>
    <t>they ruined it again</t>
  </si>
  <si>
    <t>n****m</t>
  </si>
  <si>
    <t>Finally an ATLA movie!</t>
  </si>
  <si>
    <t>Why CGI is so poor?</t>
  </si>
  <si>
    <t>Hopefully.</t>
  </si>
  <si>
    <t>z****j</t>
  </si>
  <si>
    <t>totally carbon copy of origional Avatar  the last airbender ......................we are waiting for Part 2 of Avatar ...............not for this kind of shit</t>
  </si>
  <si>
    <t>Espectacular.</t>
  </si>
  <si>
    <t>r****8</t>
  </si>
  <si>
    <t>is it movie or series?</t>
  </si>
  <si>
    <t>h****u</t>
  </si>
  <si>
    <t>cant waitt</t>
  </si>
  <si>
    <t>i think they should've just adapted the sequel comics in the style of the original show, but if there's one thing im glad about, is the existence of this adaption demonstrates that ATLA hasn't been forgottenwhich means animating the sequel comics could happen, eventually.</t>
  </si>
  <si>
    <t>I can't wait anymore!! The teaser looks so promising, the CGI, the effects, the actors, the scenery - enerything looks AMAZING! At first I thought ''Hm, maybe Aang's actor is a bit too young'' though he has the same age, I think, but now I'm sure this role suits him really good and the cast is perfect overall 😍 I'm really excited for this series and have high hopes so please don't disappoint us (I'm still traumatized by the movie from 2010).One of the best shows ever is coming back to the screens after so many years as a live action series, I can't believe it 😭</t>
  </si>
  <si>
    <t>Hello world!</t>
  </si>
  <si>
    <t>if they actually pull this off...but that would be impossible right?cartoon to live action adaptation...I dont know anything that pulled it off.</t>
  </si>
  <si>
    <t>That’s a pretty solid teaser trailer. If I do say so myself I think Momo’s flying animation could’ve been tweaked a little bit better, but if that’s the only complaint I’ll have for the show. Damn it’s a 10 out of 10.</t>
  </si>
  <si>
    <t>m****l</t>
  </si>
  <si>
    <t>I waited my whole life for this 🥹</t>
  </si>
  <si>
    <t>m****i</t>
  </si>
  <si>
    <t>18mil viewsss…. This shows how big this community is</t>
  </si>
  <si>
    <t>why do so many people rag on the M Night version, it was the greatest comedy of all time</t>
  </si>
  <si>
    <t>F****g</t>
  </si>
  <si>
    <t>There is only one Avatar and it has no aliens in it</t>
  </si>
  <si>
    <t>They out here wasting millions on things that don’t need to be put to live action when berserk still hasn’t gotten a good anime adaptation 🙄</t>
  </si>
  <si>
    <t>K****_</t>
  </si>
  <si>
    <t>Brooooo I hope this lives up to the expectations the animated series set.</t>
  </si>
  <si>
    <t>I can't wait  it so realistic  the elements 🌊🔥🪨🌪️ and the animals Apa and Momo</t>
  </si>
  <si>
    <t>Just don't be like Kennedy and put a chick in it and make her "g*y"</t>
  </si>
  <si>
    <t>Y****9</t>
  </si>
  <si>
    <t>I'm having a bit of a hard time understanding that you want to try again an Avatar movie or series after the fiasco that The Last Airbender was.just because the cast looks better doesn't mean the show or movie will be just as good you should be wary.I don't think I'm ready to take another fiasco of the level of the last film.</t>
  </si>
  <si>
    <t>WTF NOOOOOOOO</t>
  </si>
  <si>
    <t>Why do they keeping putting these white characters in an Asian show</t>
  </si>
  <si>
    <t>Ang is just too young… but still looking forward to this somehow</t>
  </si>
  <si>
    <t>Bushy brows, is that you ???</t>
  </si>
  <si>
    <t>IN NETFLIX WE TRUST</t>
  </si>
  <si>
    <t>always remember who you are....donchu think this dialogue has been overly used in cinema?</t>
  </si>
  <si>
    <t>One piece and now avatar ok 👍</t>
  </si>
  <si>
    <t>no one should ever have a big arrow on their forehead.  It's uncouth.</t>
  </si>
  <si>
    <t>I****t</t>
  </si>
  <si>
    <t>Bait and switch</t>
  </si>
  <si>
    <t>lets hope its not like the other movie i want deleted from earth haha i love the cartoon big big fan here haha</t>
  </si>
  <si>
    <t>A****o</t>
  </si>
  <si>
    <t>Looks.. promising..</t>
  </si>
  <si>
    <t>Remind me again, what's the definition of insanity?</t>
  </si>
  <si>
    <t>F****8</t>
  </si>
  <si>
    <t>OMG MAKE AN ORIGINAL. MAKE SOMETHING GOOD. YOUR ALL FIRED</t>
  </si>
  <si>
    <t>Thank the lords that it seems Netflix knew how important Avatar is and not just another shitty kids cartoon! There's a reason all of us still watch it as adults cuz behind all the silly child humor is one of the best stories, fictional worlds, and character set of anything including more iconic worlds like star wars or Harry Potter! Avatar is like perfection with the only thing holding it back from everyone loving it is that they think it's only for kids</t>
  </si>
  <si>
    <t>Please dont screw this up please dont screw this up</t>
  </si>
  <si>
    <t>K****i</t>
  </si>
  <si>
    <t>they was right to make them true asian and not them fake ass asian indians.</t>
  </si>
  <si>
    <t>Ah shit. Here we go again</t>
  </si>
  <si>
    <t>A pile of hot steaming garbage</t>
  </si>
  <si>
    <t>Everybody scream and run in terror</t>
  </si>
  <si>
    <t>Finally 🤓</t>
  </si>
  <si>
    <t>Oh no... it's happening again</t>
  </si>
  <si>
    <t>s****v</t>
  </si>
  <si>
    <t>BE</t>
  </si>
  <si>
    <t>Please let this be actually good. Yours truly, the fans</t>
  </si>
  <si>
    <t>Excited to see My favorite series remake 🎉 they nailed the outfits and bending</t>
  </si>
  <si>
    <t>Ngl this looks horrible. Just watch the show</t>
  </si>
  <si>
    <t>Looks a lot better than last time, but what we really want is the animated series with the original people working on it</t>
  </si>
  <si>
    <t>ok the cast is so much better</t>
  </si>
  <si>
    <t>Just by the trailer I can tell the anime still gonna rein #1.</t>
  </si>
  <si>
    <t>V****y</t>
  </si>
  <si>
    <t>surprised a lot of people actually feeling hopeful about this, i am expecting people would doubt this movie and say things such as "they never learn do they?"</t>
  </si>
  <si>
    <t>Yip Yip</t>
  </si>
  <si>
    <t>Ohhhhh ?????🤫</t>
  </si>
  <si>
    <t>I****5</t>
  </si>
  <si>
    <t>What is this trash</t>
  </si>
  <si>
    <t>Lord of the rings vibes yo</t>
  </si>
  <si>
    <t>Interaction with the animals might be a bit odd, but the bending looks great</t>
  </si>
  <si>
    <t>M****h</t>
  </si>
  <si>
    <t>Beautiful movie</t>
  </si>
  <si>
    <t>The CGI is too clean and so I would say it looks bad. In comparison to shows like HBO produces such as House of the Dragon and Last of us it looks bad. That being said I hope they delve deeper into Aang's life rather than just stop at the Fire Lord's defeat. To those saying it looks great you need to watch something else other than netflix.</t>
  </si>
  <si>
    <t>Looks like trash. Just watch the cartoon.</t>
  </si>
  <si>
    <t>O****S</t>
  </si>
  <si>
    <t>I can't wait!!!!</t>
  </si>
  <si>
    <t>MY GOD</t>
  </si>
  <si>
    <t>V****l</t>
  </si>
  <si>
    <t>you know what you have to do better than.... you got this. follow the script.</t>
  </si>
  <si>
    <t>M****7</t>
  </si>
  <si>
    <t>This is looks way better than the movie!!! Cross your fingers that Netflix does the series justice!!!</t>
  </si>
  <si>
    <t>O****3</t>
  </si>
  <si>
    <t>Can't wait please release it's releasing date</t>
  </si>
  <si>
    <t>I love all the casting choices, but why is zuko's scar like that??? Everything ells is fine, just not thatTHE COSTUMES ARE SO PRETTY I WISH I COULD SEW SO I COULD MAKE MY OWN RIGHT THIS SECOND!!!!!</t>
  </si>
  <si>
    <t>I hope they can make lenged of korra live action series too that would be awesome.</t>
  </si>
  <si>
    <t>Come back to ur golden era NETFLIX, we need ya.</t>
  </si>
  <si>
    <t>CGI looks horrible. Bad vibe from this trailer.</t>
  </si>
  <si>
    <t>You know the best we can hope for is a shallow retread of the original. The animated show was already perfect the way it was, and this is coming from someone who wasn’t big on it. What can this really add to it.</t>
  </si>
  <si>
    <t>This will all depend on how much justice they did my boy sokka.</t>
  </si>
  <si>
    <t>R****e</t>
  </si>
  <si>
    <t>if this bad like the first one Ima be tight</t>
  </si>
  <si>
    <t>BU DİZİYİ TAM 5 YILDIR BEKLİYORUM!! SÜREKLİ İPTAL OLDU VE SONUNDA GELEBİLDİ! ÇOK HEYECANLIYIM VE SANA GÜVENİYORUM NETFLİX HARİKASIN</t>
  </si>
  <si>
    <t>can't wait!</t>
  </si>
  <si>
    <t>AU</t>
  </si>
  <si>
    <t>fingers crossed.</t>
  </si>
  <si>
    <t>B****t</t>
  </si>
  <si>
    <t>the theme still hits hard smh</t>
  </si>
  <si>
    <t>n****o</t>
  </si>
  <si>
    <t>Being in my 30's yet 😅Excited</t>
  </si>
  <si>
    <t>Oh hell no...</t>
  </si>
  <si>
    <t>H****Z</t>
  </si>
  <si>
    <t>Fye, Fye.</t>
  </si>
  <si>
    <t>I'm ready for it but if any of them says Ong I'm turning it the fk off😂</t>
  </si>
  <si>
    <t>you already screwed up. STOP TRYING TO MAKE THE LAST AIRBENDER SERIOUS! the first movie failed doing the exact same thing. this movie will fail making the same mistakes! ATLA was good because of action AND humor. If you remove the humor you will LOSE. this will bomb i promise you.</t>
  </si>
  <si>
    <t>I hope its not trash like the last one.😂</t>
  </si>
  <si>
    <t>Hey look! Accuracy!</t>
  </si>
  <si>
    <t>I mean... Idk.I give it a chance I guess. One Piece was a banger and they nailed it. Maybe this will be good as well</t>
  </si>
  <si>
    <t>x****a</t>
  </si>
  <si>
    <t>is it white washed?</t>
  </si>
  <si>
    <t>y****4</t>
  </si>
  <si>
    <t>hopefully dave filoni helps make it</t>
  </si>
  <si>
    <t>R****5</t>
  </si>
  <si>
    <t>This looks just like M Night's yikes.</t>
  </si>
  <si>
    <t>w****9</t>
  </si>
  <si>
    <t>Gak sabar pengen nonton duhhhhhh</t>
  </si>
  <si>
    <t>Y****h</t>
  </si>
  <si>
    <t>Finally and hopefully a worthy and better version of Avatar the last airbender. Trailer looks interesting  ! can't wait to watch it !!!</t>
  </si>
  <si>
    <t>this actually looks good, avatar is a rare one where I hope they are not afraid to explore more about the world the original was so good I don't see a point in an exact copy because it will fail. I hope they stay respectful but maybe give me more about the side characters or new arcs the original didn't have time for.</t>
  </si>
  <si>
    <t>I WANNA SEE TOPH IN LIVE ACTION AHHHHHHHHHH</t>
  </si>
  <si>
    <t>1****r</t>
  </si>
  <si>
    <t>Si querían hacer a Zuko asiático tenía que ser coreano. Guapo, blanco, alto. No chino.Y Katara es morena, no blanca. Esto explica por qué después de un mes no había visto noticias de este trailer, el de One Piece lo vi a escasas hr de haber salido y sin conocer la historia me emocioné toda.Nup nup nup</t>
  </si>
  <si>
    <t>Oh finally no more indian zuko no more indian uncle iroh</t>
  </si>
  <si>
    <t>I hope the cabbages man will feature ❤❤❤</t>
  </si>
  <si>
    <t>8****y</t>
  </si>
  <si>
    <t>I want to see everyone's faces and all hyped up sht when katara blood bends if we get to that point</t>
  </si>
  <si>
    <t>Better than 2010</t>
  </si>
  <si>
    <t>девушка😍 N</t>
  </si>
  <si>
    <t>Please don't make it serious.... Anime Ann was all funny</t>
  </si>
  <si>
    <t>Kinda worry about the "too serious" Aang here</t>
  </si>
  <si>
    <t>Everyone except Aang looks good</t>
  </si>
  <si>
    <t>S****t</t>
  </si>
  <si>
    <t>I don't see toph (</t>
  </si>
  <si>
    <t>no body asked for this</t>
  </si>
  <si>
    <t>m****h</t>
  </si>
  <si>
    <t>I got so emotional watching this. Best show ever!!</t>
  </si>
  <si>
    <t>This actaully looks good. Dont fuked this up lol</t>
  </si>
  <si>
    <t>omg the nostalgia filled soundtrack 🔥</t>
  </si>
  <si>
    <t>at the end of the trailer there should have been a dude shouting “My cabbage!”</t>
  </si>
  <si>
    <t>It's not possible to replicate the success and quality of the anime. Some things are not meant to be, and I think this is one of them.</t>
  </si>
  <si>
    <t>ahh finally!! how many years since the movie</t>
  </si>
  <si>
    <t>Absolutely breathtaking. This is so beautiful &amp; looks stunningly artistically accurate I can not wait to watch</t>
  </si>
  <si>
    <t>I don't understand why they're pouring all of this effort into making this 'liveaction'. Why not keep it 2D, and continue the story? I'm pretty sure they continued writing a commic too. Even if that wasn't the case, I'd stick with why this show worked so well. Some things just work better animated.</t>
  </si>
  <si>
    <t>M****W</t>
  </si>
  <si>
    <t>Hope you guys do Selection.</t>
  </si>
  <si>
    <t>The musical score alone brings back memories</t>
  </si>
  <si>
    <t>Teaser looking good. They found the right kid to play Aang. Looking forward to this movie</t>
  </si>
  <si>
    <t>Was never a fan of one piece but im really excited for this one cause fans said the live action was actually great.</t>
  </si>
  <si>
    <t>k****1</t>
  </si>
  <si>
    <t>THEY'RE GONNA COOK SO GOOD ISTG THIS IS GONNA BE THE BEST SHOW OF 2024!!!! CAN'T WAIT TO SEE GORDON EYES GO FULL BLANK AS AANG WHEN HE TRIGGERS HIS AVATAR 😭😭😭🤍🤍🤍🤍🤍</t>
  </si>
  <si>
    <t>what a disgrace</t>
  </si>
  <si>
    <t>s****j</t>
  </si>
  <si>
    <t>🤞 please be good at acting 🤞 please be good at acting 🤞 please be good at acting</t>
  </si>
  <si>
    <t>Oh this looks bad</t>
  </si>
  <si>
    <t>a****r</t>
  </si>
  <si>
    <t>Why do Katara and Sokka still look like they got white actors to play them</t>
  </si>
  <si>
    <t>I am really, _really_ not feeling Katara’s actress. But everyone else is chef’s kiss</t>
  </si>
  <si>
    <t>one of the very few problems I have is that they revealed fire lord Ozais face already. Would've loved if it was a ystery like in the original</t>
  </si>
  <si>
    <t>My name is  o o n g</t>
  </si>
  <si>
    <t>Apa, momo ❤</t>
  </si>
  <si>
    <t>Oh god. Please please please please let it be good. 🙏</t>
  </si>
  <si>
    <t>It's the same story with the last Airbender, so i don't understand why to watch this one!!! As a child I was hoping that i could see the 2nd part.</t>
  </si>
  <si>
    <t>b****f</t>
  </si>
  <si>
    <t>Looks better than cringe One Piece live action.</t>
  </si>
  <si>
    <t>Pleease for the love of god don't pronounce Aang's name as "ong"</t>
  </si>
  <si>
    <t>Yeah! Lets ruin this good thing! Originality is dead!</t>
  </si>
  <si>
    <t>In my forties and this is still my all time favorite TV show so after watching this trailer, all i can say, is that it looks really good but how are they going to ruin the whole thing with wokeness?</t>
  </si>
  <si>
    <t>YO LET'S GOOOOOO</t>
  </si>
  <si>
    <t>z****n</t>
  </si>
  <si>
    <t>Netflix I’m still waiting an exciting to see The Casagrandes Movie teaser.  Can you turn now please?</t>
  </si>
  <si>
    <t>Hollywood "Ok...let's try this one last time."</t>
  </si>
  <si>
    <t>Finally Ang and not Ong</t>
  </si>
  <si>
    <t>Ждём N</t>
  </si>
  <si>
    <t>Is it a series</t>
  </si>
  <si>
    <t>ну хоть негром трансгендером не сделали N</t>
  </si>
  <si>
    <t>B****o</t>
  </si>
  <si>
    <t>Catara y su hermano no eran blancos.</t>
  </si>
  <si>
    <t>N****s</t>
  </si>
  <si>
    <t>а где негры? N</t>
  </si>
  <si>
    <t>How many time's do we have to teach you this lesson old man</t>
  </si>
  <si>
    <t>how did they manage to whitewash the only two brown leads AGAINedit i've been corrected, great to hear the actors are indeed inuit!!! Already way better than the OG movie, good to see</t>
  </si>
  <si>
    <t>r****v</t>
  </si>
  <si>
    <t>Finally they got a little Chinese kid to play ang</t>
  </si>
  <si>
    <t>just hope they manage a decent movie because the cgi in the trailer is pretty good</t>
  </si>
  <si>
    <t>just decided im rewatching the show again</t>
  </si>
  <si>
    <t>Cant wait this legendary story</t>
  </si>
  <si>
    <t>You have a responsibility Netflix…</t>
  </si>
  <si>
    <t>cartoon serie version always stay best in our memories. This movie looks suck against it ( sad but truth.</t>
  </si>
  <si>
    <t>lets hope one piece broke the curse</t>
  </si>
  <si>
    <t>This is FIRE 🔥 or should I say this is Air 💨🎉</t>
  </si>
  <si>
    <t>H****D</t>
  </si>
  <si>
    <t>Netflix Make The Witcher and ruined it and they are going do the same with this</t>
  </si>
  <si>
    <t>Avatar Last Air bender is probably my most highly rated TV show of all time - and that's only after seeing it for the first time in 2020 - long after seeing Breaking Bad and Game of Thrones and thinking nothing would ever beat those shows - and of all things, it was a kids show. Incredible really - with that said,  I can safely say, that this recreation will be inferior. If anything, they should have updated the animation and sound of the old series. I am not looking forward to a live recreation at all.. and as always with most modern content, they will find a way to ruin it</t>
  </si>
  <si>
    <t>w****7</t>
  </si>
  <si>
    <t>the last kid who play him was more charismatic, why the changed?</t>
  </si>
  <si>
    <t>Wow, the CGI looks quite good! I’m glad Appa doesn’t look creepy lol</t>
  </si>
  <si>
    <t>r****a</t>
  </si>
  <si>
    <t>honestly i just cant understand ppl anymore. CGI looks very cheap here, casting hit and miss, an yet everyone hyping this up.</t>
  </si>
  <si>
    <t>M****4</t>
  </si>
  <si>
    <t>L</t>
  </si>
  <si>
    <t>n****6</t>
  </si>
  <si>
    <t>Now Hollywood is realizing that character costumes being more accurate to the source material can actually look good.</t>
  </si>
  <si>
    <t>2/22/2222(Feb, 22 2024) Mannnnn I'm so excited for this!!!!!!!!!!!</t>
  </si>
  <si>
    <t>странно, почему он белый, а не чернокожая собака трансгендер? это же нетфликс.. N</t>
  </si>
  <si>
    <t>v****x</t>
  </si>
  <si>
    <t>I think they’re gonna get it right this time for sure I’m excited for it</t>
  </si>
  <si>
    <t>maximum cringe</t>
  </si>
  <si>
    <t>This teaser alone already put the movie to shame this trailer looks bad ass and I am excited. Can’t wait for this to come out, great job on the actors, the CGI the kid who’s playing Aang. I’m watching this trailer with a big smile on my face. 😁😁</t>
  </si>
  <si>
    <t>It looks amazing!!!! Im excited!! (Can I just say, except for the fact that katara looks like Aangs mom or something, their age difference looks huge in here… it’s probably gonna look weird ) 😅 I hope I’m wrong…! Also, I cried when I saw Appaaaa!! Looooveee</t>
  </si>
  <si>
    <t>both Katara and Sokka are whitewashed</t>
  </si>
  <si>
    <t>Looks dumber then the movie</t>
  </si>
  <si>
    <t>ouh, that look promising.if it get's DVD or BlueRay i migth watch it.</t>
  </si>
  <si>
    <t>r****.</t>
  </si>
  <si>
    <t>i can't get over how weird sokka looks.</t>
  </si>
  <si>
    <t>Eh, I've seen this story. Do something new.</t>
  </si>
  <si>
    <t>O****s</t>
  </si>
  <si>
    <t>IT</t>
  </si>
  <si>
    <t>So wait....you're saying we'll get another cool live action remake after One Piece?!</t>
  </si>
  <si>
    <t>OHH COME ON NETFLIX, WHY ISN'T THE WATER BENDERS INUITS?? GOD Damn white washing again, another Shaymalan BS!</t>
  </si>
  <si>
    <t>H****s</t>
  </si>
  <si>
    <t>055 N</t>
  </si>
  <si>
    <t>Please just let Sokka be goofy</t>
  </si>
  <si>
    <t>M****a</t>
  </si>
  <si>
    <t>Is it a series???</t>
  </si>
  <si>
    <t>so excited to see this !!!</t>
  </si>
  <si>
    <t>*Goosebumps</t>
  </si>
  <si>
    <t>Made in china</t>
  </si>
  <si>
    <t>im so happy they're making a better version</t>
  </si>
  <si>
    <t>Here we go again.</t>
  </si>
  <si>
    <t>S****5</t>
  </si>
  <si>
    <t>I mean it looks good…</t>
  </si>
  <si>
    <t>I'm old enough to remember what they did to both this and DBZ. I'm going to avoid this one like the plague.</t>
  </si>
  <si>
    <t>I want to hope, but I’ve been hurt by Netflix too many times.</t>
  </si>
  <si>
    <t>I just hope this is as good as the animated version and not the movie version. The movie version I will not speak of because it was that bad!!!! 😠😡🤬</t>
  </si>
  <si>
    <t>D****9</t>
  </si>
  <si>
    <t>t****c</t>
  </si>
  <si>
    <t>The animated show is my childhood...The music still gives me goosebumps...very very very excited for this.❤</t>
  </si>
  <si>
    <t>This already looks 1,000 times better than “The Last Airbender”. But this live action has MAAASSSSIIIVVVEEE shoes to fill!!! The CGI looks pretty good, but I’m not so sure about the casting…. They might not be bad, I’m hopeful, but I don’t feel like they look anything like their counterparts……and before anybody says “iT’s a CaRtOoN, ThEy WoN’T LoOk the SaMe”. Sukki’s actress looks great though!</t>
  </si>
  <si>
    <t>🔥🔥🔥 N</t>
  </si>
  <si>
    <t>Hopefully his name isnt ong this time.</t>
  </si>
  <si>
    <t>O****a</t>
  </si>
  <si>
    <t>new version ?</t>
  </si>
  <si>
    <t>Oh boy, another series for Netflix to mess up</t>
  </si>
  <si>
    <t>a****i</t>
  </si>
  <si>
    <t>sheehshhh!!!</t>
  </si>
  <si>
    <t>ong</t>
  </si>
  <si>
    <t>this seems like it will actually be accurate to the source material. after the movie, im scared to be hyped, but it is looking quite promising</t>
  </si>
  <si>
    <t>you can see from the thumbnail that it's trash</t>
  </si>
  <si>
    <t>Please, please, please be goodNevermind, i can already tell it won't be.</t>
  </si>
  <si>
    <t>I****_</t>
  </si>
  <si>
    <t>055...... they really should've shaved his Eyebrows.... they look like sh*t smh.</t>
  </si>
  <si>
    <t>Why make a lengthy show a movie .  Pass.</t>
  </si>
  <si>
    <t>It probably won't get past season 2 like The OA.. It looks to expensive</t>
  </si>
  <si>
    <t>the best thing is that fire Benders don't have to carry torches around to bend fire.</t>
  </si>
  <si>
    <t>H****e</t>
  </si>
  <si>
    <t>The last one was trash</t>
  </si>
  <si>
    <t>Yip Yip!</t>
  </si>
  <si>
    <t>S****W</t>
  </si>
  <si>
    <t>I find it sad they didn't give each nation their eye colour, the avatar world was inspired by asiatic cultures, but still fictional, so were the "races" kind of, the blue eyes represented the water tribe, amber eyes the fire nation green eyes the earth kingdom and grey eyes the Air Nomads.</t>
  </si>
  <si>
    <t>K****v</t>
  </si>
  <si>
    <t>Waiting for a long time</t>
  </si>
  <si>
    <t>i****0</t>
  </si>
  <si>
    <t>This looks promising!</t>
  </si>
  <si>
    <t>M****u</t>
  </si>
  <si>
    <t>is it a series or a movie</t>
  </si>
  <si>
    <t>So . . . basically the same thing only different . . . been there, done that.</t>
  </si>
  <si>
    <t>pretty accurate with casting, it seems good so lets hope it is good</t>
  </si>
  <si>
    <t>Just found out this is happening. Day 1 of redeemable live action prayer has commenced.</t>
  </si>
  <si>
    <t>A****u</t>
  </si>
  <si>
    <t>Congratulations</t>
  </si>
  <si>
    <t>no not again</t>
  </si>
  <si>
    <t>they actually made fire Benders asian instead of customer support like in the other movie</t>
  </si>
  <si>
    <t>I want this to be good....but...I don't think so.</t>
  </si>
  <si>
    <t>Kid infront of a genuis</t>
  </si>
  <si>
    <t>nah what they're making a life movie of avatar the last airbender. interesting</t>
  </si>
  <si>
    <t>Z****k</t>
  </si>
  <si>
    <t>why do they need to make every great cartoon into a live action? this looks horrid lmao</t>
  </si>
  <si>
    <t>Avatar The Last Chance</t>
  </si>
  <si>
    <t>o****6</t>
  </si>
  <si>
    <t>Still white Katara+Sokka but at least they got the rest kinda right. Netflix *Mogli* was already far superior to uhm JungleBook.yet I still got one quesiton why?There is *nothing* a remake can improve upon here.</t>
  </si>
  <si>
    <t>F****X</t>
  </si>
  <si>
    <t>This actually looks divine!</t>
  </si>
  <si>
    <t>wow he white</t>
  </si>
  <si>
    <t>B****a</t>
  </si>
  <si>
    <t>Looks kinda good! I hope they nail it!</t>
  </si>
  <si>
    <t>a****t</t>
  </si>
  <si>
    <t>How many timee must they remake this? Yuck</t>
  </si>
  <si>
    <t>X****X</t>
  </si>
  <si>
    <t>actually looks very promising</t>
  </si>
  <si>
    <t>Z****2</t>
  </si>
  <si>
    <t>Ok one can we talk about how ass the first movie was and how ASS katara an sokka look✋🏾😭</t>
  </si>
  <si>
    <t>Yo it just hit me, that music reminds me of the Crysis 2 theme</t>
  </si>
  <si>
    <t>I'm 28 years old ,and I'm excited please redeem that one  disaster</t>
  </si>
  <si>
    <t>I'm hoping that the personalities of each character match that of the original show.</t>
  </si>
  <si>
    <t>Iroh and Sokka look spot on!!!!!</t>
  </si>
  <si>
    <t>This show has a special place in my heart ❤️💯</t>
  </si>
  <si>
    <t>the live actions need to be stopped.</t>
  </si>
  <si>
    <t>Praise the LORD for creating ice water.</t>
  </si>
  <si>
    <t>please do it in 3 parts like the books... don't try to cram it all in 1 movie</t>
  </si>
  <si>
    <t>when the theme song drops 😭😭😭😭</t>
  </si>
  <si>
    <t>I’m not getting my hope up I no y’all saw the movie avatar last airbender and it was horrible</t>
  </si>
  <si>
    <t>Yes!! Diversity sucks. I thought suko will be black or top</t>
  </si>
  <si>
    <t>i****g</t>
  </si>
  <si>
    <t>is not avatar3? 😂</t>
  </si>
  <si>
    <t>Trailer would’ve been x100 times better if it ended with Foaming mouth guy going nuts after seeing the release date.</t>
  </si>
  <si>
    <t>V****_</t>
  </si>
  <si>
    <t>THEY FORGOT THE SIX ELEMENTS - SESTO ELEMENTO BROUGHT TO YEW BY DIABLO THE SATAN HIMSELF.</t>
  </si>
  <si>
    <t>wow that looks reallly good</t>
  </si>
  <si>
    <t>appa yip yip🦬🦬</t>
  </si>
  <si>
    <t>i hope they say aangs name corrently this time</t>
  </si>
  <si>
    <t>t****o</t>
  </si>
  <si>
    <t>They actually hired ASIANS this time?</t>
  </si>
  <si>
    <t>It better be funny asf</t>
  </si>
  <si>
    <t>Is this a show or a movie</t>
  </si>
  <si>
    <t>e****4</t>
  </si>
  <si>
    <t>Wasn’t the first part already made by M night shyamalan few years back</t>
  </si>
  <si>
    <t>This looks better then what I expected. As long they follow the source closely this should be amazing.</t>
  </si>
  <si>
    <t>g****o</t>
  </si>
  <si>
    <t>i didnt watch the original one, so i kinda like the shamalan's movie. i saw hate around it, but didnt understand why</t>
  </si>
  <si>
    <t>merakla bekliyoruz</t>
  </si>
  <si>
    <t>e****7</t>
  </si>
  <si>
    <t>The songs sound epic</t>
  </si>
  <si>
    <t>One of my favorites this gon be 🔥🔥🔥 not like the movie 😅 hopefully they do Legend of Korra too 🤞🏾</t>
  </si>
  <si>
    <t>EU AMO O FILME DOAVATAR❤</t>
  </si>
  <si>
    <t>Haven’t we done this before?</t>
  </si>
  <si>
    <t>No claims to the people that created effete, but to the actors a lot of claims, well, how can you pick up on so many not suitable actors?, and actors to them too how can you so talentless to play roles prescribed in the anime?</t>
  </si>
  <si>
    <t>V****u</t>
  </si>
  <si>
    <t>Not a big fan of avatar.</t>
  </si>
  <si>
    <t>Aang needs to be played by Vin Diesel.</t>
  </si>
  <si>
    <t>I wanna watch this 🗣</t>
  </si>
  <si>
    <t>They should make Anng and Sokka more goofy, trying to mimic the animated version and putting it into reality is how you make a real movie great</t>
  </si>
  <si>
    <t>i wonder if netflix wil destroy this too?</t>
  </si>
  <si>
    <t>I hope this one isn't as absolutely terrible like the last one was my kids got so mad at it and honestly so did I</t>
  </si>
  <si>
    <t>hes making fire out of nothing! - uvotar live action fire nation soldier</t>
  </si>
  <si>
    <t>Looks so great!!!</t>
  </si>
  <si>
    <t>b****0</t>
  </si>
  <si>
    <t>This is different to what actually on Netflix with other actors, id rather watch this one in the trailer</t>
  </si>
  <si>
    <t>q****7</t>
  </si>
  <si>
    <t>Please break this up into three movies.</t>
  </si>
  <si>
    <t>Bland faces, overuse of greenscreen and spottable VFX. Looks super cheap. Same cheap as in the 80s looked Soviet TV adaptation of Lord of the Rings. Some peices of art should never be reimagined, as you fail here second time same as Avatar the movie adaptation.</t>
  </si>
  <si>
    <t>I wanted season 5😢</t>
  </si>
  <si>
    <t>hope they don't screw the pooch on this one. the last movie flopped after book 1.</t>
  </si>
  <si>
    <t>This looks sick</t>
  </si>
  <si>
    <t>A****6</t>
  </si>
  <si>
    <t>No me hagas esto netflix, no juegues con mis sentimientos por favor 😢</t>
  </si>
  <si>
    <t>i cant wait for this</t>
  </si>
  <si>
    <t>f****y</t>
  </si>
  <si>
    <t>Am I the only one hoping that if they go this far for atla, they’ll do the same and expand on alok?</t>
  </si>
  <si>
    <t>i****2</t>
  </si>
  <si>
    <t>Thats the way to go.</t>
  </si>
  <si>
    <t>My initial reaction would be "I don't need an avatar live action, it will be terrible". But One Piece was pretty good, maybe this one will be too. I'll give it a go, it look nice.</t>
  </si>
  <si>
    <t>n****u</t>
  </si>
  <si>
    <t>yaaaaayy they finally gave avatar some justice</t>
  </si>
  <si>
    <t>I’m ready to see Azula . She was my favorite character</t>
  </si>
  <si>
    <t>how avatar is not black as shit? don't believe it</t>
  </si>
  <si>
    <t>I wonder how it would look if sokka and katara actually would have blue eyes and aang grey like in the original series 🤔</t>
  </si>
  <si>
    <t>Guys, there's Uncle right there, im happy</t>
  </si>
  <si>
    <t>Cant be worse than the last one...</t>
  </si>
  <si>
    <t>At least i don't see Ong in this trailer</t>
  </si>
  <si>
    <t>Damn it they didn’t choose me 😭 COME ON NETFLIX MY VIDEO HAS LIKE 57k views for my audition tf I EVEN LOOK LIKE KATARA 😭</t>
  </si>
  <si>
    <t>L****Y</t>
  </si>
  <si>
    <t>All they needed to do was remake the animated series with a 169 screen ratio, embellished fight scenes, and as much of the original cast as can still sound like their characters. Rest in power, Iwamatsu-san.</t>
  </si>
  <si>
    <t>Is this a movie or a TV series? Thank you. ^^</t>
  </si>
  <si>
    <t>I watched this today on tv1000</t>
  </si>
  <si>
    <t>l****k</t>
  </si>
  <si>
    <t>Book nr 1 of 4 ?</t>
  </si>
  <si>
    <t>8****r</t>
  </si>
  <si>
    <t>Charles issac britt lumbee rap god</t>
  </si>
  <si>
    <t>M****p</t>
  </si>
  <si>
    <t>They better not mess this up! Expectations are high...</t>
  </si>
  <si>
    <t>not again</t>
  </si>
  <si>
    <t>Really wondering what the creative differences were that made the original creators leave</t>
  </si>
  <si>
    <t>This brings back nightmares</t>
  </si>
  <si>
    <t>Please don’t suck like the movie did!!!!</t>
  </si>
  <si>
    <t>Hey Hollywood, where is your "Inclusive cast" now?? Why isnt avatar a black woman?? The double standards is disgusting.</t>
  </si>
  <si>
    <t>Lgbt avatar ?</t>
  </si>
  <si>
    <t>Sure wish it wasn't on stupid Netflix only</t>
  </si>
  <si>
    <t>When the Release Starts ?</t>
  </si>
  <si>
    <t>Bro it's the same story I don't care why not  make a new story</t>
  </si>
  <si>
    <t>they did him dirty bro</t>
  </si>
  <si>
    <t>netflix making Shamalong look like the Ember Island playwright</t>
  </si>
  <si>
    <t>I cant wait for it!! 😆</t>
  </si>
  <si>
    <t>dont know if the bar is 4 kilometers deep underground, or somewhere in the atmosphere</t>
  </si>
  <si>
    <t>VE</t>
  </si>
  <si>
    <t>👍👏♥️😍🥰🥰🥰♥️🇻🇪 N</t>
  </si>
  <si>
    <t>W****k</t>
  </si>
  <si>
    <t>Been waiting for this for a long time. hope it's good.</t>
  </si>
  <si>
    <t>please no more “ ong”  like the last one</t>
  </si>
  <si>
    <t>m****H</t>
  </si>
  <si>
    <t>They have to cast Dwayne Johnson as Toph for the Ember Island Players play</t>
  </si>
  <si>
    <t>G****d</t>
  </si>
  <si>
    <t>Yeah boy</t>
  </si>
  <si>
    <t>Holy shit..... Its time. Let it rain awesomeness.</t>
  </si>
  <si>
    <t>I'm on the fence. Whoever did the set design though absolutely nailed it. Don't love the casting choices but don't hate them either. Didn't really see much actual acting/speaking so can't judge that. Aang looks decent. Fights shown look kind of meh but not much shown.Yea. Could go either way as long as this isn't the best of it and is just a small tease.</t>
  </si>
  <si>
    <t>V****0</t>
  </si>
  <si>
    <t>Just watched through the series with my wife a couple weeks ago. I'm wondering how the Netflix show is going to handle the episode "Zuko Alone" when the racial ambiguity is no longer present because of the live action medium. In the animated series it is very easy to blend ethnicities to suspend disbelief for the viewer and because that episode is so pivotal to Zuko's development it is a must. I wonder how the characters are going to be able to look at Zuko and not immediately think he's fire nation. I guess we will have to wait and see since I don't recall seeing any Earth nation people in the teaser. I have high hopes Netflix. Don't let us down.</t>
  </si>
  <si>
    <t>People will finally respect the Shyamalan film after this show turns out to be a huge turd. I guarantee that the story is hollow and the characters lack depth.</t>
  </si>
  <si>
    <t>ok Ill bite, again.</t>
  </si>
  <si>
    <t>v****n</t>
  </si>
  <si>
    <t>The original creators left because they wanted something true to their vision but netflix wanted something more "netflix". I've seen enough netflix shows to know what this live action is gonna be like. All I'm gonna say is, netflix never ceased to amaze me. They can turn anything to shit. On that note, this series is doomed when the creators left. The writers are full of woke craps.</t>
  </si>
  <si>
    <t>I hope they make it better this time</t>
  </si>
  <si>
    <t>Looks pretty good</t>
  </si>
  <si>
    <t>W****_</t>
  </si>
  <si>
    <t>No.</t>
  </si>
  <si>
    <t>C****k</t>
  </si>
  <si>
    <t>M. Night Shyamalan leaves the chat 🙌</t>
  </si>
  <si>
    <t>It looks so bad</t>
  </si>
  <si>
    <t>R****f</t>
  </si>
  <si>
    <t>That is the power of kundalini meditation</t>
  </si>
  <si>
    <t>The locations look absolutely amazing</t>
  </si>
  <si>
    <t>Just copy the beloved material that you have and make it beautiful</t>
  </si>
  <si>
    <t>I hope Aang will kiss Ozai and have a baby with him.😍 Please do it Netflix make Aang gay with Ozai</t>
  </si>
  <si>
    <t>I just want to see some PROPER Earthbending by OBE GUY! If i see SIX GUYS moving one Pebnle, I will be like Chit Sang in the Boiling Rock Episodes"RIOT!"</t>
  </si>
  <si>
    <t>Yeah but how do you guys pronounce "Aang"?</t>
  </si>
  <si>
    <t>D****z</t>
  </si>
  <si>
    <t>Netflix if you nail the flowing choreography of the bendings and have amazing VFX i'll be more than pleased. i'll even forgive terrible acting and story pacing. Just give us entertaining action moments.</t>
  </si>
  <si>
    <t>I feel like the new Aang actor looks like Meelo’s character from TLOK but I mean that’s just my opinion</t>
  </si>
  <si>
    <t>AE</t>
  </si>
  <si>
    <t>Greetings from Kyrgyzstan🇰🇬</t>
  </si>
  <si>
    <t>I hope it isn't as bad as the 2010 movie and has the cabbage man</t>
  </si>
  <si>
    <t>T****n</t>
  </si>
  <si>
    <t>They're only covering book 1 for now? Was so excited to see who is gonna play toph</t>
  </si>
  <si>
    <t>I'm not enthousiastic. The original show is a classic, and I don't know why they keep insisting on refilming it in live action. The trailer didn't really hype me up, but sure I'll watch it. It starts of at a 0-1 disadvantage though because the source material is already so good.</t>
  </si>
  <si>
    <t>WHO IS GAY??</t>
  </si>
  <si>
    <t>i hope its as childish funny as the original series not all sentimental</t>
  </si>
  <si>
    <t>i know you think im crazy but i am watching it first time after a month trust me🙃</t>
  </si>
  <si>
    <t>h****6</t>
  </si>
  <si>
    <t>haha</t>
  </si>
  <si>
    <t>so am i the only one who noticed, they havent showed a single bit of Toph?</t>
  </si>
  <si>
    <t>Honestly, this actually looks pretty good. I can’t wait for it. I was a huge avatar fan when I was a kid.</t>
  </si>
  <si>
    <t>7****7</t>
  </si>
  <si>
    <t>Aang is not black ... so thats a good sign</t>
  </si>
  <si>
    <t>z****0</t>
  </si>
  <si>
    <t>Oh, so now we get the race right. Took long enough but okay, getting there.</t>
  </si>
  <si>
    <t>THIS LOOKS SO GOOOD</t>
  </si>
  <si>
    <t>Nah thats really disgusting, racist and misogynistic. The fact that they made Aang like In the actual series and not as a Woman of Color shows their true intentions. Netflix doesnt want to give us the true Avatar experience, instead Its anti LGBTQ+.  Boycott this and Dye your Hairs BLUE !!!!</t>
  </si>
  <si>
    <t>Gila sih mirip banget sama di kartun yaa ga sabar ingin ntn</t>
  </si>
  <si>
    <t>k****V</t>
  </si>
  <si>
    <t>How is it possible for just one trailer to already be 20x better than the entire M Night Shyamalan movie?</t>
  </si>
  <si>
    <t>It's already better than the movie... Momo seals that deal</t>
  </si>
  <si>
    <t>P****r</t>
  </si>
  <si>
    <t>CHiLLS! CHILLS CHILLS EVERYWHERE!</t>
  </si>
  <si>
    <t>I hope Sokka will be Sokka.</t>
  </si>
  <si>
    <t>R****n</t>
  </si>
  <si>
    <t>Santos bacalaos, el instrumental me pone la piel de gallina.</t>
  </si>
  <si>
    <t>Do not ruin it this time</t>
  </si>
  <si>
    <t>IQ</t>
  </si>
  <si>
    <t>يا الهي هل تعلم الى اين ذهبت بي للتو لقد ارجعتني الى 2013 عندما كنت اشاهد افتار انك والان في 2023 تقول لي انه سينتج فلم لا اعرف ماذا اقول من شده السعادة شكرا جزيلا N</t>
  </si>
  <si>
    <t>A****.</t>
  </si>
  <si>
    <t>not it</t>
  </si>
  <si>
    <t>Are they going to dub this on Japanese too or not ?😢😢</t>
  </si>
  <si>
    <t>Sad that Dante basco isn’t Zuko but this looks good</t>
  </si>
  <si>
    <t>Do Not F Up My Childhood Netflix!If this does not tearbend me to shreds, then I don't want it 😢</t>
  </si>
  <si>
    <t>Just hope they have not those brainwashed woke idiots at the set...</t>
  </si>
  <si>
    <t>r****o</t>
  </si>
  <si>
    <t>Where is the cabbage merchant</t>
  </si>
  <si>
    <t>The fact that M. Night Shyamalan is not involved, is already an improvement! The Shyamalan version could honestly be defined as a hate crime.</t>
  </si>
  <si>
    <t>v****3</t>
  </si>
  <si>
    <t>Yay! They didnt make Aang black!</t>
  </si>
  <si>
    <t>D****e</t>
  </si>
  <si>
    <t>More tea please</t>
  </si>
  <si>
    <t>They definitely did their research on this series and I can’t wait to watch it</t>
  </si>
  <si>
    <t>z****3</t>
  </si>
  <si>
    <t>Mehh</t>
  </si>
  <si>
    <t>g****2</t>
  </si>
  <si>
    <t>i think i can speak for all of us when i say that M. Night Shyamalan needs to stay far away from this one.</t>
  </si>
  <si>
    <t>T****o</t>
  </si>
  <si>
    <t>Hey, that's going to be on my birthday. Hopefully it's a good present. )</t>
  </si>
  <si>
    <t>Saw a fake version. Got worried, saw this one, more hope still worried.</t>
  </si>
  <si>
    <t>This makes me think Netflix can pull off a CGI Chopper. Loved this trailer by the way.</t>
  </si>
  <si>
    <t>I like how this ONG doesn't always look constipated.</t>
  </si>
  <si>
    <t>I can't wait to watch it! This show was and still is one of my favorite and from the looks of it it might not be as bad as the other one, i love the effects and the CGI are so good! and even tho sokka looks kinda old they still did a grate casting and i can't wait to see toph (she's my favorite character after zuko D)</t>
  </si>
  <si>
    <t>There's no way this can be worse than the other one.. looks better from the preview</t>
  </si>
  <si>
    <t>Ok, ok. I remembered when Shaymalan's trailer was first released. Had been very worried that an 8 hour 1st season clocked in at a 108 minute movie. I felt hopeful after the trailer. The best 3D I had seen st the time. Then the movie debute and I saw it opening weekend. Quite possibly the worst movie I had ever seen. The only great 3D was the footage that was also in the trailer. Only about 15 minutes of the entire movie was palatable and it contained no spoken lines. Seriously it reminded of the stage play at the end of book 3 because, aside from Katara being beautiful, she did cry for much of the movie, though she was the only one of the young stars aside from Zuko who delivered her terrible lines well, at least half the time. Uncle Iroh and (what was his name?) the Fire Lord performed well. For everyone else I had to wince and hidey head in shame.</t>
  </si>
  <si>
    <t>God, I can feel this big deception happening again</t>
  </si>
  <si>
    <t>Please, please, please 🙏No white, black, indian or middle eastern actorsEveryone should be East Asian, don't ruin the show, please🙏🙏🙏</t>
  </si>
  <si>
    <t>This just might actually be good!</t>
  </si>
  <si>
    <t>I don't understand they're making only one movie about a whole series? At least make a few then right</t>
  </si>
  <si>
    <t>Let’s hope this movie is great</t>
  </si>
  <si>
    <t>Thank you. Simply thank you...</t>
  </si>
  <si>
    <t>This is pretty damn impressive and is reviving some hope for good live-acting remake of this absolute legend of a series. Only thing I personally am a little iffy about is Zuko's scar, I feel like they could probably go a little more wild with the makeup and facial transformation for that - but besides that, this is looking pretty damn good!</t>
  </si>
  <si>
    <t>Yes please!!!</t>
  </si>
  <si>
    <t>D****r</t>
  </si>
  <si>
    <t>Ну впринципе можно и посмотреть а если всем зайдёт это адаптация то 2 сезон сделают а если и 2 сезон зайдёт то можно будет ждать адаптацию по легенде о Корре N</t>
  </si>
  <si>
    <t>Speaking to Entertainment Weekly, the Avatar showrunner revealed his origins with Nickelodeon's beloved animated series, having watched Avatar with his daughter and, like many people, found its storytelling "just so epic and much beyond the audience it was targeted for." However, after joining the show, Kim had to deal with the public fallout of Avatar co-creators Michael Dante DiMartino and Bryan Konietzko leaving the project and the expectations of making the first live-action Avatar adaptation since M. Night Shyamalan's much-maligned The Last Airbender film. On trying to live up to these expectations, Kim admitted, "You'd have to be an idiot not to be intimidated a little bit. My first reaction after 'Hell yeah!' was 'Holy s---! Do I really want to do this? Is there a way to improve upon the original?' Whenever you tackle something that's already beloved by millions of fans, you have to ask yourself those questions."Ultimately, Kim decided to stick with Avatar given the original series' groundbreaking cultural roots in Eastern philosophy, mythology, and martial arts. Translating this to live-action, he pointed out, "meant setting new benchmarks for representation by featuring an all Asian and Indigenous cast," with Avatar casting Gordon Cormier, Kiawentiio Tarbell, and Ian Ousley as original Team Avatar leads Aang, Katara, and Sokka. Other notable additions include Paul Sun-Hyung Lee (Kim's Convenience, The Mandalorian) as Iroh, Dallas Liu (PEN15) as Prince Zuko, Amber Midthunder (Prey) as Princess Yue, and Yvonne Chapman (Kung Fu) as former Avatar Kyoshi, amongst many more. Likewise, Kim was enthusiastic about the chance to retell Avatar over a decade after it created a multimedia franchise, stating, "That was really appealing to me, being able to bring this story to a new generation."-CBR</t>
  </si>
  <si>
    <t>S****.</t>
  </si>
  <si>
    <t>Here is to hoping this is at least as good as One Piece.</t>
  </si>
  <si>
    <t>a****x</t>
  </si>
  <si>
    <t>this came out like 15 years ago was a movie</t>
  </si>
  <si>
    <t>Hoping for a redemption for dragonball z as well in the future</t>
  </si>
  <si>
    <t>h****g</t>
  </si>
  <si>
    <t>This Sokka looks to much like the actor in the 2010 movie.</t>
  </si>
  <si>
    <t>You guys need to report all of the people on YouTube who are making fake trailers for this. They are making money by stealing copyrighted footage.</t>
  </si>
  <si>
    <t>I’m hoping it’s better then the last</t>
  </si>
  <si>
    <t>Cartoons don’t need to be insulted by creating an unnecessary, surely worse product</t>
  </si>
  <si>
    <t>gosh please please pleeease don't ruin this ;-;</t>
  </si>
  <si>
    <t>w****0</t>
  </si>
  <si>
    <t>DANG IT LOOKS MORE ACCURATE THAN THE FIRST CANT WAIT FOR IT TO RELEASE</t>
  </si>
  <si>
    <t>M****L</t>
  </si>
  <si>
    <t>The first 1 netflix did poor Aangs new name was Awng</t>
  </si>
  <si>
    <t>F****y</t>
  </si>
  <si>
    <t>let's just hope it won't be cringey!</t>
  </si>
  <si>
    <t>well looks bad again</t>
  </si>
  <si>
    <t>B****h</t>
  </si>
  <si>
    <t>I just hope after so many years of waiting for this movie, the producers are not going to waste this movie like how Napoleon Bonaparte producers destroyed such a great movie... I hope this will be hope to us adventure movie lovers once again....</t>
  </si>
  <si>
    <t>The fact this teaser shows no acting or comedy is a red flag for me, I hope it doesn't take itself too seriously.. it was a kids show</t>
  </si>
  <si>
    <t>W****y</t>
  </si>
  <si>
    <t>Water. Earth. Fire. Air.</t>
  </si>
  <si>
    <t>A****5</t>
  </si>
  <si>
    <t>If we're going to apply contemporary notions of science to the shrek universe, then we must take into consideration the possibility that it is a far flung future civilization.  Since talking donkeys and dragons do not exist in the modern world, it's possible that they were genetically manipulated or uplifted species, perhaps using donkeys as the base material for dragons.</t>
  </si>
  <si>
    <t>I need one main thing out of this. PLENTY OF GOOFY HUMOR MIXED IN. Sokka must be a quirky jokester trying to prove he's tough, and all the other humorous parts of characters' personalities must be present. Avatar is Avatar because of the BALANCE of drama and humor!!!Obviously, the M. Night Shyamalan movie got that wrong.</t>
  </si>
  <si>
    <t>Please don’t screw us over with the bending like the movie we do not mention</t>
  </si>
  <si>
    <t>bro ... literal. tears in my eyes rn</t>
  </si>
  <si>
    <t>Just this trailer was better than the movie</t>
  </si>
  <si>
    <t>Ooo 015 it shows the fire nation attacking and the air nation fighting back 😮 NOT a part in the show BUT open to watching their perspective 🧐</t>
  </si>
  <si>
    <t>Aang boy charachter is not a good match with Katara, at least not on this teaser. Remember they were getting closer towards the end of the series.</t>
  </si>
  <si>
    <t>please stop</t>
  </si>
  <si>
    <t>I dont want to watch this, fall in love with it, only for them to cancel it at its height just like they did to EVERYTHING ELSE</t>
  </si>
  <si>
    <t>r****9</t>
  </si>
  <si>
    <t>Aang and Uncle Iroh are perfectly cast imo but... Zuko...oof</t>
  </si>
  <si>
    <t>I love you Netflix ❤</t>
  </si>
  <si>
    <t>sad. not a single joke or bit. mark missed again for sure</t>
  </si>
  <si>
    <t>w****5</t>
  </si>
  <si>
    <t>Come on netflix..dont spoil this pleaseeeeee</t>
  </si>
  <si>
    <t>2 be fair looks kinda scuffed way to cheap CGI</t>
  </si>
  <si>
    <t>l****l</t>
  </si>
  <si>
    <t>Looks sickEspecially the fire bending scenes</t>
  </si>
  <si>
    <t>y****8</t>
  </si>
  <si>
    <t>I am SO happy they are using the original music. Only thing I don't like is so far Soka looks very serious in ever picture and scene he's in. If he's not funny like he is in the cartoon that will be a huge mistake with fans.</t>
  </si>
  <si>
    <t>if i only hear his name said wrong I'm done watching.</t>
  </si>
  <si>
    <t>I'm too excited thats why I'm commenting again lol 🤷 but for real  the Avatar cartoon has gave so many people happiness the world needs a show that teaches compassion in these dark times 🙏  keep the Avatar around for long time 👍</t>
  </si>
  <si>
    <t>6****n</t>
  </si>
  <si>
    <t>M Night kiss my ass, this is the real deal for Real 🥹🥹🥹🥹</t>
  </si>
  <si>
    <t>Love it</t>
  </si>
  <si>
    <t>M****S</t>
  </si>
  <si>
    <t>This might be good, crossing fingers, guess we will see at 22 February.</t>
  </si>
  <si>
    <t>just please pronounce his name right</t>
  </si>
  <si>
    <t>e****r</t>
  </si>
  <si>
    <t>finally giving the people what they want</t>
  </si>
  <si>
    <t>B****g</t>
  </si>
  <si>
    <t>momo</t>
  </si>
  <si>
    <t>Am here for Sokka 😂😂😂😂😂</t>
  </si>
  <si>
    <t>Uncle looks so adorable! Just wanna pinch his cheeks!</t>
  </si>
  <si>
    <t>I don’t think this will be a good</t>
  </si>
  <si>
    <t>Ну наконец-то, до них дошло, что люди давно ждут сериал по книгам, а не ту дичь в 90мин с 3 книгами. Надо было сразу сериал  мутить. И аанг похож, а то до этого слишком упитанный был😂 N</t>
  </si>
  <si>
    <t>please be better than the first live action please please plaease please</t>
  </si>
  <si>
    <t>E****3</t>
  </si>
  <si>
    <t>my first epression was a feelng of "cringe" (as a huge avatar fan lol)</t>
  </si>
  <si>
    <t>Zukos scar is trash! Why didn't they keep it like in the show, its a brutal scar that burned all the way to his ear, he looks like he has a black eye</t>
  </si>
  <si>
    <t>It's becoming increasingly more difficult for studios to respect the source material these days, in favour of making it political, woke or giving a commentary on today's society. Netflix, just tell the story we want to see!</t>
  </si>
  <si>
    <t>THIS ACTUALLY LOOKS GOOD WTF. Let's hope their acting chops do it justice, unlike One Piece.</t>
  </si>
  <si>
    <t>I never want to hear about the little mermaids skin color after this btw. IM FINE with it but I don’t wanna hear any rigamarole about skin color anymore</t>
  </si>
  <si>
    <t>I'm so curious about Toph's character</t>
  </si>
  <si>
    <t>Real talk that better have the cabbage guy in here..... He was great comic relief..</t>
  </si>
  <si>
    <t>P****f</t>
  </si>
  <si>
    <t>Please please please, make it right</t>
  </si>
  <si>
    <t>r****k</t>
  </si>
  <si>
    <t>We dont need a Live action Avatar movie again. What we really need is a New Avatar series. We had Aang, Kora and now we need a new (or old one?)</t>
  </si>
  <si>
    <t>P****s</t>
  </si>
  <si>
    <t>If this was made by Disney they’d all be black and gay</t>
  </si>
  <si>
    <t>I****T</t>
  </si>
  <si>
    <t>If Netflix can successfully adapt One Piece, they can do so with Avatar the Last Airbender 🤞🔥. LET’S GO!!!</t>
  </si>
  <si>
    <t>K****4</t>
  </si>
  <si>
    <t>Zuko look like Zuko</t>
  </si>
  <si>
    <t>Looks identically bad as the movie ngl, but wait the actors are actually racially accurate so that must mean it has to be good thats what the internet has been telling me ☝🏼🤓</t>
  </si>
  <si>
    <t>x****8</t>
  </si>
  <si>
    <t>Can we talk about the fact that zuko was the hottest character in the animated show but now it's Suki. Not complaining thoSuki is hot</t>
  </si>
  <si>
    <t>N****j</t>
  </si>
  <si>
    <t>Aaaaaaahhhhhh! The background music at the last part. If you don't feel goosebumps, this teaser is not for you. Leave.</t>
  </si>
  <si>
    <t>Momo looks like shit</t>
  </si>
  <si>
    <t>Ang better be funny</t>
  </si>
  <si>
    <t>ALRIGHT IT LOOKS GOOD PLEASE DON'T MESS IT UP I'M BEGGING YOU</t>
  </si>
  <si>
    <t>Yeah!</t>
  </si>
  <si>
    <t>as a big avatar fan please stop it will be the next catastrophethe last movie was fault that i have stopped watched one of my favourite series years agoplease stop it</t>
  </si>
  <si>
    <t>i didnt like it 😢</t>
  </si>
  <si>
    <t>Can’t wait!😍 Very curious to see how the characters are portrayed. Most curious about Azula and Sokka. I think those 2 are the hardest to portray</t>
  </si>
  <si>
    <t>this doesnt look like the movie....perfect</t>
  </si>
  <si>
    <t>A****2</t>
  </si>
  <si>
    <t>ok so actors and music seems good, lets just hope they don't mess it up like the first time</t>
  </si>
  <si>
    <t>Holy shit! I am 100% ready for this!</t>
  </si>
  <si>
    <t>Have we learned nothing from disney?</t>
  </si>
  <si>
    <t>This is either gonna be really good or extremely disappointing. I’m betting the latter</t>
  </si>
  <si>
    <t>R****r</t>
  </si>
  <si>
    <t>Les français qui attendent le club jdg on est là !</t>
  </si>
  <si>
    <t>AF</t>
  </si>
  <si>
    <t>Claramente no va a desepcionar por mas que sea una shit, esperamos 20 años a volver a ver algo relacionado con La leyenda de ang, además de los comics!</t>
  </si>
  <si>
    <t>o****7</t>
  </si>
  <si>
    <t>When is the release of the next trailer with more plot and dialogue?</t>
  </si>
  <si>
    <t>I wish they would have upped the buddget for the CGI just a bit more. Oppa and Momo are pretty central to everything, the bending looks great though.</t>
  </si>
  <si>
    <t>Please, I'm begging you Netflix, don't screw this up.</t>
  </si>
  <si>
    <t>this trailer is already better than whatever happened 13 years ago</t>
  </si>
  <si>
    <t>They really tried a live action again</t>
  </si>
  <si>
    <t>The special effects looks pretty bad, but hopefully this is good.</t>
  </si>
  <si>
    <t>I don't think ATLA is a show that could ever be adapted well.Faithful or not.</t>
  </si>
  <si>
    <t>E****n</t>
  </si>
  <si>
    <t>me ve uma asinatura gratis porfavor</t>
  </si>
  <si>
    <t>y****y</t>
  </si>
  <si>
    <t>My name is Aauugh.</t>
  </si>
  <si>
    <t>It's gonna suck.</t>
  </si>
  <si>
    <t>This looks intensely promising.</t>
  </si>
  <si>
    <t>T****5</t>
  </si>
  <si>
    <t>why the hell does zuko have eyebrows on the burnt side of his face</t>
  </si>
  <si>
    <t>k****l</t>
  </si>
  <si>
    <t>Avatar The Last Airbender (2024) Update SynopsisThe series is set in an Asiatic, war-torn world where certain people can "bend" one of the four classical elements—water, earth, fire, or air. Aang, the "Avatar" and the last living Airbender, is the "bridge" between the mortal and spirit world, and the only one capable of bending all four of the elements. The Avatar maintains the balance of the world and nature to bring peace, and Aang is now faced with the responsibility of ending the ambitions of the militaristic Fire Nation to conquer the world. With his new companions Katara and Sokka, Aang sets out to master the four classical elements while pursued by the exiled Fire Nation crown prince Zuko, who seeks to regain his honor by capturing him.Avatar The Last Airbender Netflix Live Action Season 2 Cast Update SynopsisList of potential castings for the netflix live action avatar the last airbender season 2Avatar The Last Airbender Netflix Live Action Season 3 Cast Update SynopsisList of potential castings for the netflix live action avatar the last airbender season 3Avatar The Last Airbender (Netflix Season 1 - Book 1 Water) Update SynopsisAvatar on Netflix. Book 1 - WaterAvatar The Last Airbender (Netflix Season 2 - Book 2 Earth) Update SynopsisAvatar on Netflix. Book 2- EarthAvatar The Last Airbender (Netflix Season 3 - Book 3 Fire) Update SynopsisAvatar on Netflix. Book 3 - Fire</t>
  </si>
  <si>
    <t>😍 N</t>
  </si>
  <si>
    <t>I’m keen❤</t>
  </si>
  <si>
    <t>good night Shaymalan, go to sleep</t>
  </si>
  <si>
    <t>h****s</t>
  </si>
  <si>
    <t>ty netflix.but i watch this in torrent</t>
  </si>
  <si>
    <t>e****G</t>
  </si>
  <si>
    <t>pls pls pls pls god make it good this time</t>
  </si>
  <si>
    <t>Y****2</t>
  </si>
  <si>
    <t>if its a shot for shot remake it might be good but it would be pointless to watch, if its a reboot, its not pointless but also not going to be even near as good. I won't be watching this cashgrab sorry</t>
  </si>
  <si>
    <t>так это же лютая хуйня. снова прогорит как и прошлый фильм. мульт лучше в разы N</t>
  </si>
  <si>
    <t>m****u</t>
  </si>
  <si>
    <t>Calling it now. It's gonna be mid at best.</t>
  </si>
  <si>
    <t>I really hope its good, because it looks so fake....</t>
  </si>
  <si>
    <t>Yeahhhhhhhh!!!!!!!!!!!!!!</t>
  </si>
  <si>
    <t>im ready to be hurt again</t>
  </si>
  <si>
    <t>GREATTT but please make live action of naruto too! That will shed my tears even more🥹🥹🥹</t>
  </si>
  <si>
    <t>фигня ..... почему не черный баб мужик в главной роли?)))) щас же так модно менять цвета и пол главных героев ..русалочка....Питер Пэн...ГТа 6 тоже вроде баба будет фигурировать ето не точно N</t>
  </si>
  <si>
    <t>I've been hearing about Netflix adapting the anime for like 8 years ! I truly hope this is going to be as a banger as the original ! Because I love the anime sooooooooooooooooo much ! It's all my childhood, the story is amazing !I'm counting the days !</t>
  </si>
  <si>
    <t>Exiting! But must aks.. Santa could you give us a new animated series a prequel would be fantastic please!</t>
  </si>
  <si>
    <t>w****8</t>
  </si>
  <si>
    <t>the graphics are going to be good but the characters just look way too off</t>
  </si>
  <si>
    <t>goes fire with the screen turned off🔥🔥🔥</t>
  </si>
  <si>
    <t>W****E</t>
  </si>
  <si>
    <t>Love the look but it's hard to get over the controversy about the guy who's playing sokka. It sucks to think to they spend alot of time vetting people and here comes that guy lying saying that he's some part native American just to get the part. Typical white man move.</t>
  </si>
  <si>
    <t>k****h</t>
  </si>
  <si>
    <t>Team azula 😘❤</t>
  </si>
  <si>
    <t>That looks AMAZING</t>
  </si>
  <si>
    <t>Is this a remake of the first movie or the second part of the story</t>
  </si>
  <si>
    <t>this got me screaming like a little girl</t>
  </si>
  <si>
    <t>Finally live action bending that actually looks devastating unlike the movie from long ago</t>
  </si>
  <si>
    <t>did you finally fired most of your shit writers and woke retards?because this looks fire</t>
  </si>
  <si>
    <t>Ain't no way Netflix casting actually makes sense and looks incredible</t>
  </si>
  <si>
    <t>s****n</t>
  </si>
  <si>
    <t>❤Konečne je tu❤</t>
  </si>
  <si>
    <t>S****o</t>
  </si>
  <si>
    <t>The irony that Netflix is using actors that match the race of the characters unlike the first Airbender movie that used Indian actors. Yet for "documentaries" they feel a need to swap races lol. If you haven't heard Denzel Washington has been cast as Hannibal who sacked Rome.</t>
  </si>
  <si>
    <t>Why can’t we just leave certain things animated and not try to cash grab people with a shitty live action show that no one even asked for in the first place? 🤦🏼‍♂️ maybe it’s gonna be good, maybe it’s gonna be bad but like for once could we just respect that something did really good for what it was originally and just leave it at that?</t>
  </si>
  <si>
    <t>Dude... yes</t>
  </si>
  <si>
    <t>Hmm this might not suck</t>
  </si>
  <si>
    <t>wait Katara is not white</t>
  </si>
  <si>
    <t>Don't f*** this one up Netflix.</t>
  </si>
  <si>
    <t>L****y</t>
  </si>
  <si>
    <t>Glad everyone is of Asian decent. 🔥</t>
  </si>
  <si>
    <t>Please don't mess this up like you did with the witcher</t>
  </si>
  <si>
    <t>1113 N</t>
  </si>
  <si>
    <t>I'm getting M Night Vibes a little</t>
  </si>
  <si>
    <t>i'm going to hold off hope until I hear how they pronounce "Aang"</t>
  </si>
  <si>
    <t>Ima be honest I wasn’t sure about the actress who was gonna play azulaNot on cause she doesn’t look much like herBut also because she doesn’t have the same ageBut that one shot at 102 won me overShe’s perfect</t>
  </si>
  <si>
    <t>I dunno…. This seems a lil “The unmentionable movie we all hate”ish. Mostly because it was all darkness and intensity, without a single lick of the iconic lightness and humor and depth of character we all love about the series. I know this is just the trailer and it’s short. But the trailer sets the tone. With the exception of Aang smiling momentarily and a brief visual of Momo who makes us smile by his presence alone, this trailer was pure intensity and drama. And I hoped that maybe there would be a hint of the humor here. A way to let those of us, the OG fans,  who truly love the original series know - “don’t worry, we didn’t mess this amazing show up, agaaaain”   So far I didn’t see it. I’m worried already 😕.  Everyone has high hopes but this trailer gives me pause to wonder if I should just lower my expectations and go along for the visual ride. Expecting round 2 of the first series portrayal and utter cinematic flop and if we get anything above that to rejoice with a showering of confetti in the shape and taste of popcorn. Yeah, it’ll just be popcorn. Side note  I’m unsure at present how I feel about the borrowing of the Lion King quote. I don’t yet know if that proves to be a clever nod to another classic daddy issues story or just a general lack of creativity the script and it’s characters that deliver it will display. We’ll know the answer soon enough ….. Netflix we’re counting on you</t>
  </si>
  <si>
    <t>Avatar The Last Airboner</t>
  </si>
  <si>
    <t>That’s looks good</t>
  </si>
  <si>
    <t>The last movie should stay in Lake Laogai - let’s hope this series does the OG one justice and is what we all hope a perfect balance of humor, drama, character development and good feels. Yip Yip Netflix, we await with non Fire Nationy bated breath.</t>
  </si>
  <si>
    <t>Тут нет негров и геев? Наконец-то!!! N</t>
  </si>
  <si>
    <t>L****u</t>
  </si>
  <si>
    <t>i hate how much hope this trailer is giving me... but im a MN Vikings fan so im used to being given hope and consistently let down lol so i think im ready</t>
  </si>
  <si>
    <t>D****8</t>
  </si>
  <si>
    <t>This for sure is going to be better than the one that came out in 2010.</t>
  </si>
  <si>
    <t>A****1</t>
  </si>
  <si>
    <t>Where is the cabbage seller?</t>
  </si>
  <si>
    <t>I believe this will be an incredible redemption by Netflix. From the budget to the cast, the soundtrack, the promos, the effects, and this trailer. I know it’ll be great. I literally get to see my childhood favorite show come to live action, as an adult. It’s beautiful lol.</t>
  </si>
  <si>
    <t>When the trailer already looks ass</t>
  </si>
  <si>
    <t>Wow. Next childhood serie will be destroyed by bunch of idiots that only care about lgbt and blacks!</t>
  </si>
  <si>
    <t>😭😭😭😭😭🤌🏻 N</t>
  </si>
  <si>
    <t>Why? There is a great cartoon series of it. Why didnt they just continue the story with an adult aang and the gang?</t>
  </si>
  <si>
    <t>q****p</t>
  </si>
  <si>
    <t>Why Aang looks like kid bretman</t>
  </si>
  <si>
    <t>trash adaptation. ıf i shave my head i would more lookalike.</t>
  </si>
  <si>
    <t>God Bless Gordon Cormier Aang 👑😂💪💪👍</t>
  </si>
  <si>
    <t>The trailer is better than the last avatar movie</t>
  </si>
  <si>
    <t>1****6</t>
  </si>
  <si>
    <t>😈 Always remember who you are 😇</t>
  </si>
  <si>
    <t>l****1</t>
  </si>
  <si>
    <t>How many of u want this to be a web series with several episodes like Game of thrones.   The animated version is longer with multiple episodes explained in detail and the movie that released before this shortened everything which disappointed the fans including me. As a movie this should have more parts like Harry Potter.</t>
  </si>
  <si>
    <t>AT</t>
  </si>
  <si>
    <t>is this one gonna continue after Korra? because the second Avatar after Aang was his grand-child Korra.</t>
  </si>
  <si>
    <t>Well it cant be worse than the last movie we got right?</t>
  </si>
  <si>
    <t>q****0</t>
  </si>
  <si>
    <t>this looks awesome! don’t screw it up netflix.</t>
  </si>
  <si>
    <t>Anyone else scared they’re gonna do a crap job on this?</t>
  </si>
  <si>
    <t>The fact that the original show has had 2 adaptations and is still regarded as one of the best TV shows of all time is a true testament to the quality of this story. I love ATLA</t>
  </si>
  <si>
    <t>Otra pelicula donde katara es de piel blanca, y no la morenasa de la serie</t>
  </si>
  <si>
    <t>Please don't ruin this. They messed up the martial arts scenes so badly with. the first live action.</t>
  </si>
  <si>
    <t>why i have de ja vu ?</t>
  </si>
  <si>
    <t>BY</t>
  </si>
  <si>
    <t>НУ НАКОНЕЦ ТО N</t>
  </si>
  <si>
    <t>C****p</t>
  </si>
  <si>
    <t>If they keep "inclusion" and "diversity" out and just cast appropriately, this movie has a chance.  I really hope it works!</t>
  </si>
  <si>
    <t>this does not look good</t>
  </si>
  <si>
    <t>bruh why they do that to katara</t>
  </si>
  <si>
    <t>Looks promising.Sokka and Toph better be funny!</t>
  </si>
  <si>
    <t>I'm suprised that they didn't cast a black actor to play him</t>
  </si>
  <si>
    <t>نتفلكس مبدعة ب صنع عالم الانمي N</t>
  </si>
  <si>
    <t>Abibas habibi</t>
  </si>
  <si>
    <t>This is BS😮</t>
  </si>
  <si>
    <t>D****5</t>
  </si>
  <si>
    <t>This has nothing to do with the messed up one from years ago? I hope so.</t>
  </si>
  <si>
    <t>V****5</t>
  </si>
  <si>
    <t>Why am i feeling a turn in the adaption world.</t>
  </si>
  <si>
    <t>G****7</t>
  </si>
  <si>
    <t>BAHAHAHA you  think NETFLIX of all producers will make a watchable avatar adaption? Jeez, you guys are DELUSIONAL</t>
  </si>
  <si>
    <t>WHERE IS TOPH?!</t>
  </si>
  <si>
    <t>they just dont want darker skinned characters like the cartoon</t>
  </si>
  <si>
    <t>Hmm.. CGI looks bad. Maybe that means the budget went in to a good script? Might seem a little judgemental but we've been hurt too many times now, Netflix. and I'm not sure how much longer I can keep loving you!</t>
  </si>
  <si>
    <t>CGI on that flying mount looked a little worrisome.</t>
  </si>
  <si>
    <t>j****c</t>
  </si>
  <si>
    <t>This just looks bad again, I'm sure it wont be as bad as the movie, but why do they keep pushing adaptions? I'm sure they can make more avatar cartoons that would be way better.</t>
  </si>
  <si>
    <t>q****s</t>
  </si>
  <si>
    <t>Just looks like an over CGIed bore fest. Nothing will beat the original animated series so why bother trying to make it in live action.</t>
  </si>
  <si>
    <t>why is uncle iroh looking like monkey king in this?</t>
  </si>
  <si>
    <t>Horrible cast of course...</t>
  </si>
  <si>
    <t>please be better then the movie</t>
  </si>
  <si>
    <t>s****_</t>
  </si>
  <si>
    <t>There's one thing I can't understand. Why are you re-shooting something that already works? It’s not enough for you to cover you with dicks - you are again touching something almost sacred. It worked once with one piece, do you think it will always work? Well, once a year the stick shoots.</t>
  </si>
  <si>
    <t>Initial concerns are there’s only 8 episodes in the first season. Dunno if that means that they’ll be a lot of seasons or if it’ll all be condensed. There were 20 episodes in the first season of the original series.</t>
  </si>
  <si>
    <t>C****r</t>
  </si>
  <si>
    <t>Please be good.</t>
  </si>
  <si>
    <t>L****t</t>
  </si>
  <si>
    <t>This literally looks like Last Airbender just with the right ethnicities. It's going to be absolute garbage, the tone looks bland, the actors look like cosplayers more than ever, and there's no dialogue because they have no good dialogue to put in the trailer. But hey, you people eat up anything nowadays so enjoy your mind numbing entertainment, morons.</t>
  </si>
  <si>
    <t>Cool trailer... Mr. Night broke my heart many years ago... Please don't break it again Netflix...</t>
  </si>
  <si>
    <t>WHERE IS MY TOPH ??</t>
  </si>
  <si>
    <t>q****8</t>
  </si>
  <si>
    <t>Shame on you Netflix you Just promode a Film war you did delet cors of Bad chlics and now you Just reupload it you did Not iwn Change te Trailer rly shame on you</t>
  </si>
  <si>
    <t>a****f</t>
  </si>
  <si>
    <t>The Lord of the Elements 2010 year?????????????</t>
  </si>
  <si>
    <t>If they can at least say Aang correctly, it's already going to be better than the movie was.</t>
  </si>
  <si>
    <t>All looks amazing, the only thing I would change is their eyes colors tho, because each nation, in Aang's Era, have a unique color, Ambar for the Fire Nation, Blue for the Water Tribes, Grey for the Air Nomads and Green for the Earth Kingdom... But, if they respect the story and don't make some absurd changes like in the movie, it won't matter at the end</t>
  </si>
  <si>
    <t>OMG</t>
  </si>
  <si>
    <t>W****4</t>
  </si>
  <si>
    <t>Whos that girl by 103 ??</t>
  </si>
  <si>
    <t>horrendous</t>
  </si>
  <si>
    <t>M. Night Shyamalan needs to take notes.</t>
  </si>
  <si>
    <t>pls dont ruin it</t>
  </si>
  <si>
    <t>fingers crossed</t>
  </si>
  <si>
    <t>Looks like shit.</t>
  </si>
  <si>
    <t>If y’all make a new movie then I’ll go into the avatar state and destroy the video for you</t>
  </si>
  <si>
    <t>Please be good</t>
  </si>
  <si>
    <t>I****7</t>
  </si>
  <si>
    <t>For some reason the CGI looks worse then the Original</t>
  </si>
  <si>
    <t>The trailer actually gave me goosebumps...Here's to hoping its good. the Anime is still one of my favs of all time.</t>
  </si>
  <si>
    <t>Visually good, but overall not reassuring. Characters look great, but let's be real any actor can stare into a camera. The show was a cartoon and had a lot of expressiveness. This trailer and these kid actors all dead stare into the camera. Avatar was story driven, with the dialogue being the best selling point. What this trailer needed was a narrative with the characters sharing something of their journey. That is the core of avatar. For me, not showing that makes me think Netflix isn't confident in their own product. if the acting is too serious it's going to be way  too corny.</t>
  </si>
  <si>
    <t>J****_</t>
  </si>
  <si>
    <t>Waited soooooo long😭😭😭😭</t>
  </si>
  <si>
    <t>well future me, is the show good !?!</t>
  </si>
  <si>
    <t>a****h</t>
  </si>
  <si>
    <t>I am hoping beyond all hope that they stay true and faithful to the original and do not change the story or characters "for a modern audience". Last airbender was a formative animation for many peoples childhoods. All everyone wants to see is a fricken faithful adaptation of the originals in live action. Please please dont screw this up. This more than anything in more than a decade looks to be at least trying... I'm sure they will find a way to make us all cringe and hate it... but man, I hope not.</t>
  </si>
  <si>
    <t>Sokka actor looks like the Sokka actor from The Ember Island Players</t>
  </si>
  <si>
    <t>Finally something they did amazing job out of it, One Piece was joke but this one looks more promising</t>
  </si>
  <si>
    <t>E****i</t>
  </si>
  <si>
    <t>Ok .. atleast lore accurate firebending instead of the waterstyle firebind like in the trash movie</t>
  </si>
  <si>
    <t>AS LONG AS THEY DONT NEED 4 EARTH BENDERS TO MOVE A ROCK IM DOWN FOR IT</t>
  </si>
  <si>
    <t>_****_</t>
  </si>
  <si>
    <t>Just curious why isn't Aang black?</t>
  </si>
  <si>
    <t>i dunno, sokka looks like you didn't even bother to make his hair...</t>
  </si>
  <si>
    <t>1****g</t>
  </si>
  <si>
    <t>I've never been more excited and scared b4. It looks SO good. My hopes are up. If this lands it'll be another step in the 'cartoons r for kids' constant bs situation. I rewatch avatar all the time. My favorite show ever. Absolutely a masterpiece. Already im getting some like uncanny valley stuff? So odd to see it live action. Cant wait 🤩😁🎉</t>
  </si>
  <si>
    <t>E****j</t>
  </si>
  <si>
    <t>lot of wrong things</t>
  </si>
  <si>
    <t>YESSSSSSSSSSSSSSSSSS!!!!!!!!!!!!! I AM SOOO FREAKING HAPPY!!!!!!!!!!!!!!!!! THANK YOUU!!!!!!! I hope you do justice to all the characters.</t>
  </si>
  <si>
    <t>Zuko’s scar is on the wrong side!!</t>
  </si>
  <si>
    <t>believe me nothing matches the cartoon</t>
  </si>
  <si>
    <t>Why must we fly so close to the sun!</t>
  </si>
  <si>
    <t>Why is they no back person? 😢</t>
  </si>
  <si>
    <t>i want to see them portray earthbending the strong bending skill it is...and not like the ''lets dance for 2 minutes as a whole group to make a single pebble fly at 5mph to our enemy''</t>
  </si>
  <si>
    <t>w****o</t>
  </si>
  <si>
    <t>i miss u so much old friend aang</t>
  </si>
  <si>
    <t>B****L</t>
  </si>
  <si>
    <t>Absolutely miscast</t>
  </si>
  <si>
    <t>Excelente</t>
  </si>
  <si>
    <t>z****2</t>
  </si>
  <si>
    <t>Good to see that the majority of sane people think this looks good, now pray for me, for I shall now sort the comments by newest so I can see virgins cry because “X character’s mole is on the wrong side of their face!!!111”</t>
  </si>
  <si>
    <t>“CGI BAD!!!1” hey fuckhead, it’s a teaser, remember the Hulk being in the Infinity War Trailer and then not even involved in the final battle?  Studios will outright lie to you so they can blow your ass away when the product comes out, it’s called a bait and switch.</t>
  </si>
  <si>
    <t>Please don't mess it up please don't mess it up like that movie did</t>
  </si>
  <si>
    <t>Wow, they didn’t change the race of any of the characters! Might actually get an honest adaptation.</t>
  </si>
  <si>
    <t>I have high expectations for this everybody entitled to their opinion even though they might make some minor changes I got a feeling it’s going to be amazing ❤🙏🏾🤞🏾</t>
  </si>
  <si>
    <t>If yall mess this up I swear I'll never watch Netflix again... 🎉🎉🎉🎉😢🎉🎉🎉 beautiful</t>
  </si>
  <si>
    <t>why he has such so thick eyebrows ☹️😫Aang dont have eyebrows like that its triggering me so much</t>
  </si>
  <si>
    <t>O****8</t>
  </si>
  <si>
    <t>One of my favorites anime I hope its did not messed up like its previous one</t>
  </si>
  <si>
    <t>d****3</t>
  </si>
  <si>
    <t>I think Netflix is going to get this right for all of us. i knew the first one was going to be diarrhea garbage when i saw the trailer.</t>
  </si>
  <si>
    <t>Go gordon 🇵🇭 💪 represent</t>
  </si>
  <si>
    <t>Tengo fe en Netflix, tengo fe de que no harán una basura como Saint Seiya, tengo fe en que Netflix respetará la obra original y mostrará respeto a sus creador. Tengo fe en que no habrá inclusión forzada LGBTIQ+. Netflix por favor NO LA CAGUES.</t>
  </si>
  <si>
    <t>So, who is gay?</t>
  </si>
  <si>
    <t>Petition for a naruto shippudden live action adaptation? Like if you support✨</t>
  </si>
  <si>
    <t>hyi vittu on paska filmi</t>
  </si>
  <si>
    <t>Whatever M Night Shymalan did, just do the opposite and you'll have something great.</t>
  </si>
  <si>
    <t>please make as many seasons as possible like on the graphic novels but to life, like TOPH an avatar film 7min video teaser with the real mole experience Avatar deserves that much, since the Animated Series didn't finish their work and casted more on Aangs adult and teenage life. @NETFLIX</t>
  </si>
  <si>
    <t>Cast is meh. I only hope that they'll get Iroh right.</t>
  </si>
  <si>
    <t>g****s</t>
  </si>
  <si>
    <t>почему ска китайцы ? в фильме были белые и арабы . такую историю запороть китайцами , пцзд..... Ведь книги и мульт вообще американцы выпустили N</t>
  </si>
  <si>
    <t>Doesn’t look realistic, characters are too clean and cosplay looking. I want to feel like this world is real and imperfect. Zuko’s scar doesn’t even look like a burn. Avatar just doesnt lend itself well to live action. It needs another animated spin off. I think it’d be fun to see more of the past avatars.</t>
  </si>
  <si>
    <t>P****h</t>
  </si>
  <si>
    <t>wtf this looks just like the M.Night Shyamalan film.Horrible.Why do you movie people never learn?And btw Korra is the better source material anyways. Guess I should be glad no one has yet tried to violate that legacy yet.</t>
  </si>
  <si>
    <t>yasssss lets put some respect on the gang!!! Team avatarrrrrr is back babiiii!!!</t>
  </si>
  <si>
    <t>This looks a million times better than the other movie they made.</t>
  </si>
  <si>
    <t>Absolute awful casting of Katara,Iroh and Azula tho</t>
  </si>
  <si>
    <t>h****_</t>
  </si>
  <si>
    <t>The original Avatar had lessons and insights reflecting traditional and tested wisdom, abundant humor, and a considerable amount of good old common sense. Furthermore, the character development and nuanced introspective manifestations of those characters were genius. If this manages to replicate that, it might just be a modern miracle. However, like many movies and other releases that I don't watch, they likely relied on visual effects to the point of being a crutch, neglecting the deep quality that made the original Avatar a legendary series.</t>
  </si>
  <si>
    <t>LEAVE IT ALONE</t>
  </si>
  <si>
    <t>Can’t believe it’s actually happening!😁😁😁😁 can’t wait🫠</t>
  </si>
  <si>
    <t>Remember everyone, if this show turns to be not that good, at least it will be better than Fuckup Lord Shyamalan’s abomination we will not speak of.</t>
  </si>
  <si>
    <t>I... I think imma do it guys... I think... I think im gonna watch 🫣🫣🫣🫣🫣</t>
  </si>
  <si>
    <t>Interesting but I don't know if they can recapture the magic</t>
  </si>
  <si>
    <t>this might be the very first atla movie which is on point</t>
  </si>
  <si>
    <t>B****i</t>
  </si>
  <si>
    <t>Chills literally 😂😂😂</t>
  </si>
  <si>
    <t>He suppose to be black, trans woman. It is Netflix</t>
  </si>
  <si>
    <t>meh at best, did we really needed a live action of everything</t>
  </si>
  <si>
    <t>d****p</t>
  </si>
  <si>
    <t>Очень красиво и круто!!! 👍 N</t>
  </si>
  <si>
    <t>V****1</t>
  </si>
  <si>
    <t>I just want to see mai character</t>
  </si>
  <si>
    <t>🇮🇳 Avatar never die im fan of (Aang) The Legendary Airbender ❤</t>
  </si>
  <si>
    <t>another autism version of aang</t>
  </si>
  <si>
    <t>k****t</t>
  </si>
  <si>
    <t>SO FREAGIN EXCITED! when I heard the soundtrack I immediately felt nostalgic, ATLA NEVER GETS OLD!</t>
  </si>
  <si>
    <t>Only thing is Azula didn't feel scary/intimidating/too cunning for her own good here. she looks almost too nice. but everything else looks VERRRRRYYYY promising! can't wait!</t>
  </si>
  <si>
    <t>I swear to glob, if they call him “ong” in this one</t>
  </si>
  <si>
    <t>E****h</t>
  </si>
  <si>
    <t>These movie makers keep repeating the same damn thing.. can the story just continue?!</t>
  </si>
  <si>
    <t>_****3</t>
  </si>
  <si>
    <t>Prefer animated</t>
  </si>
  <si>
    <t>НЕт, вы рхуели?!?!?!? Где черные и геи! ??? Это что за росистский сериал намечается с азиатами и чуть чуть европейцами?*!?!??!?!? N</t>
  </si>
  <si>
    <t>D****s</t>
  </si>
  <si>
    <t>Finally a live action version of Avatar that looks promising</t>
  </si>
  <si>
    <t>This is a sincere warning If you misinterpret Uncle Iroh's character, you destroy the essence of the entire movie. The profound impact of his character could transform him into a hero for countless people. Better make him right.</t>
  </si>
  <si>
    <t>Who has watched this a hundred times already 🔥 😅</t>
  </si>
  <si>
    <t>I****L</t>
  </si>
  <si>
    <t>No... I'm not crying. It's just dust of 15 years.</t>
  </si>
  <si>
    <t>a****z</t>
  </si>
  <si>
    <t>My eyes Hurt! Orginal anime still better</t>
  </si>
  <si>
    <t>uh oh loox like everyone forgot their dignity again!!</t>
  </si>
  <si>
    <t>Мурашки побежали когда за играла музыка) эх молодость вспомнил и как пересмотрел раз 5 аанга N</t>
  </si>
  <si>
    <t>USOp is a miss 😂</t>
  </si>
  <si>
    <t>Azula actor looks nothing like her</t>
  </si>
  <si>
    <t>Avatar live action, it’s about to get real!!! 😱</t>
  </si>
  <si>
    <t>Secret Tunnle!</t>
  </si>
  <si>
    <t>Next on the list for Netflix to fix is Eragon and if they succeed at that they can take on the final boss...DBZ.</t>
  </si>
  <si>
    <t>CAN'T WAIT to see the Air-Benders fight the Fire-Nation. CAN'T WAIT to see Monk Gyatzo's last stand. I truly believe they will deliver on the epicness of those scenes.</t>
  </si>
  <si>
    <t>Wanting to watch this is one of the reasons I'm still alive. It's pathetic, I know, but there you have it. Gotta find the little things sometimes.</t>
  </si>
  <si>
    <t>Oh my fuckin god, don't do that, please!</t>
  </si>
  <si>
    <t>o****3</t>
  </si>
  <si>
    <t>DONT FAIL US NOW!!! 👏🏼</t>
  </si>
  <si>
    <t>t****_</t>
  </si>
  <si>
    <t>finaly atleast after a decade</t>
  </si>
  <si>
    <t>R****v</t>
  </si>
  <si>
    <t>It’s wild Netflix is putting out stuff that looks so good for start off as just a streaming service. This looks better than what’s his names and he is a very successful director. 😂🤦🏻‍♂️</t>
  </si>
  <si>
    <t>I****k</t>
  </si>
  <si>
    <t>Netflix about to ruin another franchise sad</t>
  </si>
  <si>
    <t>Do people seriously think this looks good? It looks gay asf</t>
  </si>
  <si>
    <t>I couldn't convince my online friends to watch "The Last Airbender" because they all see it as just some kid's cartoon. I hope that Albert Kim succeeds and change their minds.</t>
  </si>
  <si>
    <t>If i hear them say fuckin Uung Ima lose my shit</t>
  </si>
  <si>
    <t>Зачем? Просто, зачем? Для чего? N</t>
  </si>
  <si>
    <t>cant wait for netflix to cancel this!</t>
  </si>
  <si>
    <t>This movie came out years ago….Netflix renew this</t>
  </si>
  <si>
    <t>Hey guys, i haven't seen any of these related movies. Can anyone plz give me the order to watch</t>
  </si>
  <si>
    <t>Yes, it will be better than the Shyamalan adaptation, because he set the bar incredibly low. It still doesn't need to exist though, and will not be better than the original cartoon, which I implore people to watch at some point if they're even remotely interested in this adaptation. Additionally, a ton of the scenery is not great CGI, it looks like it's straight out of a video game or pixar film, which never mixes well with live action. Zuko, Ozai, and Iroh look mostly fine. Almost all the skin in this looks way too smooth, they've definitely done something to it in post, and it puts the actors straight into the uncanny valley. Aang's tattoos look like face paint. Sokka looks fine. The Kyoshi Warriors look great. Appa and Momo look fine. Ozai's throne room looks good (probably low light masking the same unfinished looking CGI). Idk, I might watch this, or rewatch the original and have an experience that I know isn't going to rip me out of my suspension of disbelief every time there's an establishing shot.</t>
  </si>
  <si>
    <t>Yaa bak yine olmamış işte, karakterler çok çocuk duruyor, bu tipler büyümüşte küçülmiş gibi durmalı hele AANG abi bu çocuk yakışıklı olmasa bile bi çazibesi olması lazım bi bişey lazım, yine yalap şalap olmasın lütfen ışınlanmasınlar sağa sola tek istediğim  " YOL HİKAYESİ " hissetmek o yolun zorluğunu hissetmek gerekirse gece ormanda uyurken sırtlarına batan taş sahnesi görmek istiyorum tozu toprağı kıyafetlerindeki yıpranmayı lekeleri,  zaten hikayeyi biliyoruz,  müthiş efekler yapacağız diye duyguları hissedemezsek olmaz, bak rings of power'a görsel şölen ama unutuldu gitti konuyu bile hatırlamıyoruz, game of thrones ilk 6 sezondaki karakterlerin yol hikayesi gibi hissettirmeli, bükücülüğün zorlu bi süreç olduğunu hissetmek istiyorum elementleri bükerken büyü yapar gibi değil aynı ağırlık kaldırır gibi bedenlerindeki yorgunluğu görmek istiyorum, ateş kralının yüzünü animede uzun süre göremedik o gizemin yarttığı korkuyu hissettik, tak ilk fragmandan vermişler bari bi çekimle bişeyle o büyüklüğü hissetseydik heybet görseydik,YİNEDE lütfen güzel olsun lütfen izlerken bu dediklerime pişman olayım o keyif içime dolar umarım</t>
  </si>
  <si>
    <t>E****k</t>
  </si>
  <si>
    <t>YESSSSSSSSSSSSSSSSSSSS</t>
  </si>
  <si>
    <t>R****t</t>
  </si>
  <si>
    <t>where is diversity?!?! witcher had to be cultural mix why no last airbender? As black transexual woman i feel realy uderrepresented!</t>
  </si>
  <si>
    <t>G****o</t>
  </si>
  <si>
    <t>PLEASE BE GOOD DEAR GOD</t>
  </si>
  <si>
    <t>I can’t wait for the anime version of the live action adaptation of the original anime.</t>
  </si>
  <si>
    <t>Could have done with better CGI</t>
  </si>
  <si>
    <t>J****c</t>
  </si>
  <si>
    <t>o****d</t>
  </si>
  <si>
    <t>Remember people, the writers of the original show, who were supposed to also write this show, left due to creative differences. It's probably going to make tons of dumb and unnecessary changes. Look at the Halo TV show. The trailers all looked dope but the actual show ended up terrible and unwoethy of the title of Halo. I'm scared this is going to be a similar situation. Trailer looks good. Let's hope it's accurate</t>
  </si>
  <si>
    <t>YES Netflix… THANK YOU for hopefully correcting a HUGE INJUSTICE that was the first movie. Absolutely horrible. I’m sooo looking forward to this. The previews alone look awesome!!! Please don’t F this up. Lol. 🙏🏽🙏🏽🙏🏽 Do Ang and the rest of the crew justice.</t>
  </si>
  <si>
    <t>Can't wait for them all to be gay</t>
  </si>
  <si>
    <t>The Aang in the movie looked exactly like the cartoon. This guy hopefully is a more seasoned actor and the script is better (more comedy),  but he doesn't look too much like Aang other than being bald and short to me. I look forward to this either way.</t>
  </si>
  <si>
    <t>I just finished the cartoon for the fifth time today.</t>
  </si>
  <si>
    <t>vamooooo</t>
  </si>
  <si>
    <t>with the sucesss of the one piece live action, I really hope this is does well</t>
  </si>
  <si>
    <t>S****6</t>
  </si>
  <si>
    <t>Oh my gosh it’s so beautiful 😭😭😭 I’m so excited ❤️❤️❤️ just still wish zuko was hotter, that’s it 😆I’m also very excited that the music studio on this worked on star wars and the graphics studio is from GoT. Netflix is really setting this up for success. Thank God! I think it’s gonna be incredible!</t>
  </si>
  <si>
    <t>If this is bad istg</t>
  </si>
  <si>
    <t>im so excited for this! gave me goosebumps</t>
  </si>
  <si>
    <t>This looks like it’s going to be done right!!</t>
  </si>
  <si>
    <t>Wow ❤❤❤❤</t>
  </si>
  <si>
    <t>B****m</t>
  </si>
  <si>
    <t>Pretty stoked about this!</t>
  </si>
  <si>
    <t>i hope this one will be good.</t>
  </si>
  <si>
    <t>I am a huge fan of avatar</t>
  </si>
  <si>
    <t>Can you make Katara and Zuko each up with each other? Like they were always meant too?</t>
  </si>
  <si>
    <t>C****b</t>
  </si>
  <si>
    <t>this is gonna suck so badly</t>
  </si>
  <si>
    <t>This looks good. Let’s hope it more than makes up for things I won’t even speak of yet we all know what I’m talking about LOL 😂😂😂</t>
  </si>
  <si>
    <t>WHY DOES THIS LOOK LIKE ITS GONNA SLAP</t>
  </si>
  <si>
    <t>How about the old movie 2010 the last airbender 13yrs now now one part 2</t>
  </si>
  <si>
    <t>The one issue i feel like might bring this down is Netflix trying to hard to bring in an older crowd to watch an thus making the show way to serious, losing the fact that Aang is still a kid and he dosen't exactly know what he is doing so he resorts to jokes and gags to help ease some tension when he feels overwhelmed. Hopefully this comment ages like fine milk.</t>
  </si>
  <si>
    <t>I used to be obsessed with Alta and I'm so excited for this 😭</t>
  </si>
  <si>
    <t>M. Night Shyamalan PTSD</t>
  </si>
  <si>
    <t>I'm forever boycotting Netflix if this sucks like the movie did.</t>
  </si>
  <si>
    <t>That looks absolutely phenomenal!</t>
  </si>
  <si>
    <t>thank God its not a OA movement Bending</t>
  </si>
  <si>
    <t>You guys should adapt Dragon ball to a live action series</t>
  </si>
  <si>
    <t>G****4</t>
  </si>
  <si>
    <t>this looks so good. hope you guys stick with the story</t>
  </si>
  <si>
    <t>h****z</t>
  </si>
  <si>
    <t>Hopefully it doesn't take 5 men to launch a small rock towards the enemies like the movie one did</t>
  </si>
  <si>
    <t>Ngl inwas so mad at the scene where 5 or 6 eartbender starting bending i was like yo thats gona be something cool and when a saw the rock i was like bruh u could just have thrown it by hand like wth all that dance for this 😂</t>
  </si>
  <si>
    <t>Omashu looks just.. damn sonalso the EE, wowthe actors? the elements?IS IT TIME?</t>
  </si>
  <si>
    <t>This is our LAST chance to get what us fans have wanted</t>
  </si>
  <si>
    <t>As a huge fan of the Cartoon version i cant wait for the Netflix Series to come out</t>
  </si>
  <si>
    <t>w****3</t>
  </si>
  <si>
    <t>Please don’t make it woke</t>
  </si>
  <si>
    <t>is that the homie from kim's convience?</t>
  </si>
  <si>
    <t>Looks good expecting the worst!</t>
  </si>
  <si>
    <t>Stop it, Netflix. We don’t need this. Rather put that money into more things like Legend of Kora. Take the established universe and drawing style and add to it.</t>
  </si>
  <si>
    <t>Produce a Human series not a Movie</t>
  </si>
  <si>
    <t>Finally, the animated series will get justice with this adaptation. The movie was just horrible</t>
  </si>
  <si>
    <t>Please don’t suck. Please don’t suck. Please don’t suck.</t>
  </si>
  <si>
    <t>That soundtrack sounded a lot like an Asian instrumental version of the Crysis 2 Main Theme from Hans Zimmer.</t>
  </si>
  <si>
    <t>C****T</t>
  </si>
  <si>
    <t>Speriamo</t>
  </si>
  <si>
    <t>Well let us hope they don't screw this up like they did with the Witcher.</t>
  </si>
  <si>
    <t>Bro, this better be much much better than the last one</t>
  </si>
  <si>
    <t>Wow this actually looks really good</t>
  </si>
  <si>
    <t>I really enjoyed the live action one piece and the casting!! (In my opinion) can’t wait to watch this now!</t>
  </si>
  <si>
    <t>_****1</t>
  </si>
  <si>
    <t>With the results of Netflix’s live action remakes being more better than the movie, i really hope this dose well. I even hope It dose better than shamalan’s remake</t>
  </si>
  <si>
    <t>*Now, that's more likely from the 2010 production I tend to forget quite a lot. Hopefully Netflix will readdress the franchise as it supposed to be. Crossing my fingers!*   😇😇😇</t>
  </si>
  <si>
    <t>A****x</t>
  </si>
  <si>
    <t>FR</t>
  </si>
  <si>
    <t>Firelord Surgeon</t>
  </si>
  <si>
    <t>This better be freakin' awesome, or there will be hell to pay. None of this weak ass kung fu where they're waiting for the easily dodgable, and all the cultural references are horribly bad.Scribbles on parchment are not Chinese.  A wave of the hand is not martial arts.Just saying, this must not suck like the live action film before.</t>
  </si>
  <si>
    <t>J****l</t>
  </si>
  <si>
    <t>Графика полное дно, нетфликс в итоге сделает не лучше чем у шьямалана N</t>
  </si>
  <si>
    <t>Z****n</t>
  </si>
  <si>
    <t>Here's my issue. Even normal, current Kung-fu, we can do stuff you can't imagine is possible. So if the effects are freakin' slow and the martial arts is bad, you lose the audience from the beginning no matter how good the special effects may be.The film was such a massive disappointment because the animated feature was so spot on.I'm just saying, if it isn't mind blowing, you're in trouble.</t>
  </si>
  <si>
    <t>Oh god not again</t>
  </si>
  <si>
    <t>It's gonna be hard for me to like the live action because the voices won't be the same as what I've been used to for the last 2 decades, not that it won't be good</t>
  </si>
  <si>
    <t>OK SLAYYYY THE CASTING IS PERFECT🥹🥹🥹🥹CG IS SO GOOD TOO; APPA CG IS DETAILED WELL + FIRELORD OZAI LOOKS LITERALKY THE SAME WTF AND AANG!!! FINALLY SOMEONE CASTED A KID WHO LOOKS GOOD IN SHAVED HEAD W ARROW🤌🤌 A GIRL WHO HAS READ BOTH MANHWAS AND WATCHED ANIME VERSION IS VERY PROUD AND HAPPYYYY!!!! FINALLYYYY!!!! I GENUINELY CANNOT WAIT OMGGG</t>
  </si>
  <si>
    <t>k****o</t>
  </si>
  <si>
    <t>They really be stingy on showing promotional stuff</t>
  </si>
  <si>
    <t>really excited for this.  I honestly don't care about the quality its just really refreshing to see something from my childhood rebooted in such a fashion.</t>
  </si>
  <si>
    <t>p****7</t>
  </si>
  <si>
    <t>Anyone seen toph yet?</t>
  </si>
  <si>
    <t>o****b</t>
  </si>
  <si>
    <t>Think the casting is great and the CGI is super great. Can't wait till the full show</t>
  </si>
  <si>
    <t>I saw Mr. Kim I clicked</t>
  </si>
  <si>
    <t>Woah 🤯</t>
  </si>
  <si>
    <t>Oookay, now i think it's worth to buy netflix subscriptions.</t>
  </si>
  <si>
    <t>Porfavor aca los que quieren una cuarta temporada de la serie👇😢</t>
  </si>
  <si>
    <t>c****a</t>
  </si>
  <si>
    <t>Not sure who asked for this when the orifinal exists.</t>
  </si>
  <si>
    <t>🤢🤮 N</t>
  </si>
  <si>
    <t>l****n</t>
  </si>
  <si>
    <t>I cannot wait for this I'm so excited i feel like I'm gonna blow up</t>
  </si>
  <si>
    <t>This looks extremely accurate to the original Nickelodeon Cartoon. Just as how I remembered it when I was a kid.</t>
  </si>
  <si>
    <t>Its about time…</t>
  </si>
  <si>
    <t>o****n</t>
  </si>
  <si>
    <t>please dont be bad please</t>
  </si>
  <si>
    <t>c****y</t>
  </si>
  <si>
    <t>Awesome, 😃</t>
  </si>
  <si>
    <t>My childhood review</t>
  </si>
  <si>
    <t>Original creators left, just have that in mind</t>
  </si>
  <si>
    <t>because it went so well the first time</t>
  </si>
  <si>
    <t>C****P</t>
  </si>
  <si>
    <t>I saw the movie when it came out without ever watching the series. I didnt think the movie was all that bad other than bad acting, but its a kids movie. Now that ive watched the series, the movie really is horrible in comparison. Fingers crossed for this bc it already looks better.</t>
  </si>
  <si>
    <t>Yoooo I was waiting for this sense I was like 3 4 46789 years old❤❤</t>
  </si>
  <si>
    <t>Ok so I’m officially hyped</t>
  </si>
  <si>
    <t>W****n</t>
  </si>
  <si>
    <t>HU</t>
  </si>
  <si>
    <t>Simba always remember who you are!!!</t>
  </si>
  <si>
    <t>I have some decently high hopes for this show. Looks like it may actually be worth watching</t>
  </si>
  <si>
    <t>I got goosebumps watching this.</t>
  </si>
  <si>
    <t>VFX is done pretty well. I will buy subscription for netflix if this series meets my expectations</t>
  </si>
  <si>
    <t>Vemca esse e um filme ou so uma serie se for um filme fai ser de mais tou esperando acontinuaçao do ultimo filme a anos</t>
  </si>
  <si>
    <t>u****i</t>
  </si>
  <si>
    <t>Lack luster casting. Bland color palette. TV quality visual effects. It reminds me of the first live action ATLA film.</t>
  </si>
  <si>
    <t>If absolutely nothing else. This adaptation will at least "look" good.</t>
  </si>
  <si>
    <t>G****t</t>
  </si>
  <si>
    <t>Oh no, not again...</t>
  </si>
  <si>
    <t>I didn't think they were going to pull it off, but it looks better than I expected okay Netflix I'm intrigued</t>
  </si>
  <si>
    <t>ok so the next flopatar is coming</t>
  </si>
  <si>
    <t>F*ck the shippers and f*ck this fandom but i will still watch this series. Because of the fandom it makes me wanna hate some characters</t>
  </si>
  <si>
    <t>I hope they don't cram all of it into one season of 5 episodes, like how they completely destroyed Yu Yu Hakusho.</t>
  </si>
  <si>
    <t>Oh God it looks so much better then The Media That Shall Not Be Named 😅</t>
  </si>
  <si>
    <t>Man I can’t wait for Uncle Iroh. He’s my favorite character and convinced me to give tea a try😂👊</t>
  </si>
  <si>
    <t>Holy F*** It actually looks good.</t>
  </si>
  <si>
    <t>Is it gonna be a movie or serie?</t>
  </si>
  <si>
    <t>M****i</t>
  </si>
  <si>
    <t>Look at me I'm hollywood I can't come up with an original Idea</t>
  </si>
  <si>
    <t>finally no more ultra kungfu bendings 😂😂</t>
  </si>
  <si>
    <t>Is this going to be a single movie or series?</t>
  </si>
  <si>
    <t>You just know it's gonna be shit...Maybe not everything needs a live action remake?..</t>
  </si>
  <si>
    <t>I****o</t>
  </si>
  <si>
    <t>That coming on my birthday, LET'S GOOOOO</t>
  </si>
  <si>
    <t>I CAN'T FATHOM HOW BEAUTIFUL THIS IS</t>
  </si>
  <si>
    <t>u****0</t>
  </si>
  <si>
    <t>Everything looks good, except for appa and momo. They look too much like cgi.</t>
  </si>
  <si>
    <t>You show me Avatar &amp; I'll show you the next beloved IP big business will strategically destroy.</t>
  </si>
  <si>
    <t>Why?</t>
  </si>
  <si>
    <t>g****5</t>
  </si>
  <si>
    <t>Ya que sea 22 de Febrero 🇲🇽🙏🏼Equipo BoomerAang 💪🏼</t>
  </si>
  <si>
    <t>I can’t believe where gonna see the air temples burn I won’t be ready for that even when I was kid I hated the scene of the geatos skeleton</t>
  </si>
  <si>
    <t>lol I was so angry when they made zuko indian. I'm finally happy when they finally adapted to the source material.</t>
  </si>
  <si>
    <t>r****x</t>
  </si>
  <si>
    <t>Ohm omg omg log omg log omg ❤️😭😭😭</t>
  </si>
  <si>
    <t>Z****z</t>
  </si>
  <si>
    <t>I wish can be better than first movie</t>
  </si>
  <si>
    <t>No…no…NO! Stop, please, we beg you!</t>
  </si>
  <si>
    <t>the thing that concerns me is the acting especially for aang thats gonna be a tough role to act in but he looks like he'll forsure  fight like aang cuz hes a athletic actor. Sokka is gonna be tough aswell</t>
  </si>
  <si>
    <t>M****j</t>
  </si>
  <si>
    <t>❤❤❤❤ N</t>
  </si>
  <si>
    <t>b****l</t>
  </si>
  <si>
    <t>Man I'm scared and excited 😂😂</t>
  </si>
  <si>
    <t>A****_</t>
  </si>
  <si>
    <t>Time ain’t that funny.</t>
  </si>
  <si>
    <t>The scar is on the wrong side.</t>
  </si>
  <si>
    <t>Hope it wasn’t like the other movie</t>
  </si>
  <si>
    <t>will the be the exact same story as the original series or a new plot?</t>
  </si>
  <si>
    <t>Why is Zuko fighting back on his Agni Kai the whole point is that he refused to fight</t>
  </si>
  <si>
    <t>Don't ruin it please!</t>
  </si>
  <si>
    <t>Am I the only one who kinda liked the movie lol. It had some good moments and my expectations were low anyway as I dont really watch the cartoon. Atleast it wasn't as bad as Dragonball haha. This one looks alot better tho..</t>
  </si>
  <si>
    <t>x****e</t>
  </si>
  <si>
    <t>Aang-antichrist?</t>
  </si>
  <si>
    <t>P****4</t>
  </si>
  <si>
    <t>I hope they at least pronounce the names right in this one! 😅</t>
  </si>
  <si>
    <t>I just hope everyone in it is excellent with martial arts or it won't live up to the cartoon standard. This has to be bang on or not even made.</t>
  </si>
  <si>
    <t>Who's in the last month we watched the cartoon of aang and korra and then almost collapsed when they saw this 😂</t>
  </si>
  <si>
    <t>Wait for korra her series will be so dominant, I wonder who they would use for that.</t>
  </si>
  <si>
    <t>But I believe...Netflix can revive the show</t>
  </si>
  <si>
    <t>Yep. Chills</t>
  </si>
  <si>
    <t>PLEASE DONT NERF KATARA+TOPH. ALSO GIVE SOKKA HIS CHARACTER DEVELOPMENT PLEASE</t>
  </si>
  <si>
    <t>Perfecta y entretenida</t>
  </si>
  <si>
    <t>Well... One Piece kinda suck. They deleted some of the characters, skiped fight between Don Krieg VS Luffy, and changed some character into womanWhen I watched One Piece be like... I Saw some American doing cosplay, playing fanfiction of One PieceI don't think this series gonna make it to season 2 if they keep doing same mistake like One Piece</t>
  </si>
  <si>
    <t>R****8</t>
  </si>
  <si>
    <t>This looks dope af🔥</t>
  </si>
  <si>
    <t>lets gooo bbjjjjjjiujij</t>
  </si>
  <si>
    <t>Looks great, but of all the times for skin color to take part in film, I would like to have seen even better casting for Sokka and Katara. Still looks better than its predecessor 😬</t>
  </si>
  <si>
    <t>No me gustó el actor de Suko</t>
  </si>
  <si>
    <t>B****x</t>
  </si>
  <si>
    <t>Monk Gyatso talking 👀👀</t>
  </si>
  <si>
    <t>G****2</t>
  </si>
  <si>
    <t>Yip yipp😃</t>
  </si>
  <si>
    <t>can't wait for the final trailer 😢</t>
  </si>
  <si>
    <t>as long they are not calling the main character "Ong" in this one... At least it looks like the person who wrote this actually watched the show this time...</t>
  </si>
  <si>
    <t>3 trailer</t>
  </si>
  <si>
    <t>This actually looks like it might be good. It looks pretty true to the original show.</t>
  </si>
  <si>
    <t>8****9</t>
  </si>
  <si>
    <t>The bendingAppa And the representation of each character. Is the three pillars this must stand on if it’s to succeed</t>
  </si>
  <si>
    <t>*DIRECTED BY M NIGHT SHAMALAN*</t>
  </si>
  <si>
    <t>E****m</t>
  </si>
  <si>
    <t>I’m not sure if there will be the Ember Island play episode, but they should get the cast of the ATLA movie to play the Ember Island cast members</t>
  </si>
  <si>
    <t>L****4</t>
  </si>
  <si>
    <t>This HAS to be better then the last live action right? The scenery looks great tho</t>
  </si>
  <si>
    <t>U****d</t>
  </si>
  <si>
    <t>this has reached 19M views already? i feel like i wasn't the only one who watch this everyday. please give us the new trailer</t>
  </si>
  <si>
    <t>This is coming out on my birthday?! BEST GIFT EVER!!!!!!</t>
  </si>
  <si>
    <t>WE ARE ALMOST THERE BOYS</t>
  </si>
  <si>
    <t>I just hope they release each episode weekly to maintain weekly hype</t>
  </si>
  <si>
    <t>Hmm, did they really needed to reveal Ozai's face in the trailer? 🤔</t>
  </si>
  <si>
    <t>Best animation series film, i hope it will be best</t>
  </si>
  <si>
    <t>u****5</t>
  </si>
  <si>
    <t>Been waiting for the series to come back since a kid man )</t>
  </si>
  <si>
    <t>C****i</t>
  </si>
  <si>
    <t>Oh boi hearing that music is doing something to me man🤯😮‍💨🥹🥹</t>
  </si>
  <si>
    <t>I've been waiting for this for years since I was a child ,I am of the water element</t>
  </si>
  <si>
    <t>2024 is the coming</t>
  </si>
  <si>
    <t>Oh no, here we go again</t>
  </si>
  <si>
    <t>S****B</t>
  </si>
  <si>
    <t>Oh my god, whats up with the perfect casting in avatar and one piece? Every character is spot on!!!</t>
  </si>
  <si>
    <t>LEAVE THE F*CKING CARTOONS OF OUR CHILDHOOD ALONE! FIRST THE DEATH NOTE, THEN THE VANPEACE... WHAT'S NEXT? NARUTO? EVANGELION? GET YOUR DIRTY STICKY CAPITALIST HANDS OFF OTHER PEOPLE'S ACHIEVEMENTS.  DO YOUR OWN THING, NO NEED TO GET INTO PEOPLE'S SOULS AND SHIT THERE WITH YOUR OBNOXIOUS AGENDA MEDIOCRE SHIT!</t>
  </si>
  <si>
    <t>Well, it will suck. I am certain of it based on the trailer alone. Avatar is way more than just visual experience.</t>
  </si>
  <si>
    <t>j****o</t>
  </si>
  <si>
    <t>This looks just like the last one</t>
  </si>
  <si>
    <t>this looks way better than the other film that was made. More closely related to the anime series. shut up and take my money haha Books 1,2,3 please!!!</t>
  </si>
  <si>
    <t>CG도 영화보다 훨씬 낫고 캐스팅도 나쁘지않은듯?</t>
  </si>
  <si>
    <t>My name is Ong</t>
  </si>
  <si>
    <t>i am both excited and terrified</t>
  </si>
  <si>
    <t>For me, the fact that they seem to be really following the animated series and trying to be as pure to the animated series as possible shows that we never needed a different adaptation in the first place. The original is all we’ll ever need but I’m still going to watch the shit out of this show</t>
  </si>
  <si>
    <t>Original ost ❤</t>
  </si>
  <si>
    <t>X****a</t>
  </si>
  <si>
    <t>Надеюсь фильм стоящий синяли N</t>
  </si>
  <si>
    <t>I hope Netflix won't f*ck this up like M. Night Symalan did with the movie.</t>
  </si>
  <si>
    <t>n****n</t>
  </si>
  <si>
    <t>I'm not watching something I've already seen</t>
  </si>
  <si>
    <t>Wow..Wow..( Wow )...!!!</t>
  </si>
  <si>
    <t>W****r</t>
  </si>
  <si>
    <t>Pls netflix u can't mess up the best kids show of this earth... don't make random people gay or weird.</t>
  </si>
  <si>
    <t>looks promising</t>
  </si>
  <si>
    <t>f****I</t>
  </si>
  <si>
    <t>wise words if monk gyatso.</t>
  </si>
  <si>
    <t>awful casting already, the air nomads in this trailer look like white people, water tribe also looks like white people with TINY BIT of indigenous ancestry, earth kingdom and fire nation are mixed whatever asian.</t>
  </si>
  <si>
    <t>e****a</t>
  </si>
  <si>
    <t>Oh, the f*ck. I was hoping they will not try to make an adaptation. The most hurting truth to modern day apologisers is that the criticisers of the previous film were totally wrong. We already saw asian faces in Mulan.ATLA was beautiful because in this amerime as well as in japanese cartoons there s no truly asian faces, only whites. That s because europeoid type is the most diversive in quantity of colours, europeoids are more coloured then asians😊</t>
  </si>
  <si>
    <t>good god here we go again</t>
  </si>
  <si>
    <t>Please don’t be bad</t>
  </si>
  <si>
    <t>Только не подведите нас. N</t>
  </si>
  <si>
    <t>Hello, my name is Ismail, I am 22 years old, and I have an idea that I feel could be turned into a series</t>
  </si>
  <si>
    <t>looks like shiiwill end like everything avatar related except the original series</t>
  </si>
  <si>
    <t>T****3</t>
  </si>
  <si>
    <t>Like only remastered soundtracks on the background 057</t>
  </si>
  <si>
    <t>Ese si es un LIVE ACTION😍❤</t>
  </si>
  <si>
    <t>W****t</t>
  </si>
  <si>
    <t>The Last Airbendog</t>
  </si>
  <si>
    <t>netflix, i'm gonna trust you on this one.. and i better not regret it....</t>
  </si>
  <si>
    <t>as the long as the woke / "the message " stays out this show stays faithful to the source then it will be easy money and views. trailer looks real good too and characters look like the shows characters.</t>
  </si>
  <si>
    <t>w****2</t>
  </si>
  <si>
    <t>Please do not waste your energy on doing such shit</t>
  </si>
  <si>
    <t>I've loved the animation for my whole life you are ruining it.</t>
  </si>
  <si>
    <t>netflix is there any news about the final trailer.</t>
  </si>
  <si>
    <t>Finally something worth watching on netflix.</t>
  </si>
  <si>
    <t>N****m</t>
  </si>
  <si>
    <t>They Nailed everything except they didn't show one thing, is Sokka humorous?</t>
  </si>
  <si>
    <t>It's crazy what AI can do</t>
  </si>
  <si>
    <t>It would be legendary if the opening credits still do the martial arts silhouettes of each element. Just with real actors. haha.</t>
  </si>
  <si>
    <t>thet better stick to the god dam source material and not thing they can do it better like they did with Witcher istg</t>
  </si>
  <si>
    <t>With bated breath.</t>
  </si>
  <si>
    <t>si lo han hecho basándose en one piece todo bien</t>
  </si>
  <si>
    <t>Avatar The Last Airbender is already a perfect show, it cannot be improved upon in any way. All you can do from here is go downhill, please stop doing this. Come up with new ideas. Disney tried to copy Star Wars and everyone hated it. Amazon tried to copy Lord of the Rings and everyone hated it. Don't ruin Avatar as well.</t>
  </si>
  <si>
    <t>✌️✌️ N</t>
  </si>
  <si>
    <t>019 I can accept everything except katara not looking like katara....</t>
  </si>
  <si>
    <t>Casting was perfect. Young so they can grow with the show. A mistake fixed from One Piece LA</t>
  </si>
  <si>
    <t>Kok ampuh banget Ono muhammad di gawe Ra stage Jesus stage.....Musa stage.....firon stage.....pikir stage.....Tesla stage.. Avatar stage......hahahahahahahajahahajahaja koyok game hahahahahahhaha idiot</t>
  </si>
  <si>
    <t>Most likely netflix will ruin this. They ruin everything with their cliche writing and theme music</t>
  </si>
  <si>
    <t>Awesome, a woke version of an awesome series. No thanks.</t>
  </si>
  <si>
    <t>I think you guys haven't gotten it yet because avater was a joke</t>
  </si>
  <si>
    <t>s****o</t>
  </si>
  <si>
    <t>Gonna be watching this to show my daughter the legend and to see how Toph kicks everyones ass.</t>
  </si>
  <si>
    <t>All aboard on the hype train &lt;3</t>
  </si>
  <si>
    <t>i got goosebumps</t>
  </si>
  <si>
    <t>ilki olmadı tekrardanmı cekiyolar nedir bu</t>
  </si>
  <si>
    <t>The protagonist looks so young, he doesnt even look like a teenager,and the actor of zuko isnt attractive</t>
  </si>
  <si>
    <t>Listen, I'll watch it and give it a chance, but i think we all agree that the original is one of the most perfect shows ever made and can't be improved.</t>
  </si>
  <si>
    <t>Please make me forget the movie was ever made</t>
  </si>
  <si>
    <t>Calling it this is going to be big stinker. The artistic decision to make it look like lord of the rings and the first render a 12 year old does when having access to unreal engine is such a stinker, atleast find a unique way to portray this light hearted but powerful story to the audience with some uniqur character</t>
  </si>
  <si>
    <t>Это мы ждем! N</t>
  </si>
  <si>
    <t>I hope it goes as far as korra</t>
  </si>
  <si>
    <t>T****a</t>
  </si>
  <si>
    <t>I came to conclusion that people on netflix will watch anything they are stuffed in their throats at this point.</t>
  </si>
  <si>
    <t>ok, it looks promising, i really hope they are not gonna screw up with a story</t>
  </si>
  <si>
    <t>some things are better left untouched</t>
  </si>
  <si>
    <t>This genuinely looks good I’m very excited!</t>
  </si>
  <si>
    <t>I am definitely watching this ❤! Enthralling and amazing entertainment!</t>
  </si>
  <si>
    <t>Everyone's frothing, while I sit here, knowing I'll never watch it, and hold my boxed set of the original while I rock back and forth, calmly, in my rocking chair, while this hype train rides on past success.</t>
  </si>
  <si>
    <t>YESSSSSS!!! i’ve been waiting for yearssss!!</t>
  </si>
  <si>
    <t>Why didn’t they do a modern day one or genji’s story or a Kai spin off</t>
  </si>
  <si>
    <t>There is nothing in this trailer that makes me think I should watch this. I don't like the visuals, the music is okay, I guess, and the casting seems decent, but those actors will never be as great as the original characters, so what's the point? Story will be the same, as far as I know, so why not watching the original? I don't see how this brings anything new or exciting to the table.</t>
  </si>
  <si>
    <t>Looks promising</t>
  </si>
  <si>
    <t>Sorry Shymalan, but I'm gonna dig this one.</t>
  </si>
  <si>
    <t>G****9</t>
  </si>
  <si>
    <t>Old airbender Was better</t>
  </si>
  <si>
    <t>Is absolutely perfect!!</t>
  </si>
  <si>
    <t>Z****C</t>
  </si>
  <si>
    <t>So they had to make everyone in the series ugly asians? I mean Katara is not sepouse to be asian!!!</t>
  </si>
  <si>
    <t>S****l</t>
  </si>
  <si>
    <t>Beğendim filmi</t>
  </si>
  <si>
    <t>i hate the person who chose the cast for this movie</t>
  </si>
  <si>
    <t>a****p</t>
  </si>
  <si>
    <t>You may not have noticed, but Avatar The Last Airbender is considered one of the best animated films in history.</t>
  </si>
  <si>
    <t>I'm very excited to see this!!!!! 🥰🥰🥰🥰🥰🥰🥰🥰🥰</t>
  </si>
  <si>
    <t>Yess!!! Sorry M Night .. but that movie was a terrible translation of the series.</t>
  </si>
  <si>
    <t>Okay in 21 February ill active Netflix account 😅</t>
  </si>
  <si>
    <t>AZULA IS SLAYING</t>
  </si>
  <si>
    <t>K****e</t>
  </si>
  <si>
    <t>I really curious about live action Zuko will say to his uncle on the ship; I don't need any calming tea! I need to capture the Avatar!</t>
  </si>
  <si>
    <t>The thing I really want to see in the trailers of any ATLA adaption is HUMOR. Where is the humor? That's what 90% of the TV show is about. The action looked cool but I want to see Sokka crack a joke or maybe have the characters smile more than just once in the trailer?I'm worried this adaption will be too serious but we'll see.</t>
  </si>
  <si>
    <t>another adaptation to murder</t>
  </si>
  <si>
    <t>I hope ong and Souka are good in this version too.</t>
  </si>
  <si>
    <t>They should've showed us Appa's face. The first live-action Appa looks like a diseased monkey. I hope they managed to make Appa's face adorable in this version like the animated one.</t>
  </si>
  <si>
    <t>I'll admit. Visually... it looks good.</t>
  </si>
  <si>
    <t>I can't wait for this. Doing it as a series is definitely the way to go, rather than film, so it's a great thing they never attempted one to begin with.</t>
  </si>
  <si>
    <t>Q****s</t>
  </si>
  <si>
    <t>agr vai</t>
  </si>
  <si>
    <t>Super buena me encantó 👍👍</t>
  </si>
  <si>
    <t>agora sim n tem como dar errado</t>
  </si>
  <si>
    <t>I mean, it looks good. But I don't trust Netflix until I've seen the whole season. I just want to feel like I'm 10 years old again, watching and being amazed by the world of Avatar for the first time. Please no woke crap or political narratives! That era of tv is over. Put it to rest.</t>
  </si>
  <si>
    <t>t****t</t>
  </si>
  <si>
    <t>it all looks amazing, now we just gotta see if they have actual (and accurate!!) personalities and chemistry</t>
  </si>
  <si>
    <t>u****7</t>
  </si>
  <si>
    <t>I'm super impressed with the scenery. Oomashu and Crescent Island look great and it's awesome that they will make an appearance in the show despite them playing a small part of the actual story. Makes me excited to see what else they are going to fit into the show.</t>
  </si>
  <si>
    <t>Ya queda poco. Ya va siendo hora de un nuevo tráiler</t>
  </si>
  <si>
    <t>It's so close to release !!!</t>
  </si>
  <si>
    <t>It really hits different in live action that these are CHILDREN</t>
  </si>
  <si>
    <t>This is automaticakky better bc it doesn't have Shymalan's name on it.</t>
  </si>
  <si>
    <t>d****c</t>
  </si>
  <si>
    <t>It looks so promising ❤</t>
  </si>
  <si>
    <t>t****a</t>
  </si>
  <si>
    <t>Visually it looks nice, but whether or not it is actually any good will come down to the acting and storytelling.</t>
  </si>
  <si>
    <t>C****7</t>
  </si>
  <si>
    <t>Mr. Kim as general iroh! You know the comic timing is gonna be the best</t>
  </si>
  <si>
    <t>seeing those firebenders fly into the air temple gave me chills. I really hope the fan theory of Gyasto killing all those firebenders by bending all the air out of that locked room turns out to be true thatd be so brutal to see but so cool</t>
  </si>
  <si>
    <t>It's already better than the movie. Whether or not it's any good remains to be seen</t>
  </si>
  <si>
    <t>Netflix gave us One Piece and now ATLA.. tsk ugh... Now just do Fairy Tail 👆🏾</t>
  </si>
  <si>
    <t>Looks promising, I'm still traumatized due to that horrible adaptation we all wish we never saw, but it looks is worth giving it a chance... There is a very, very high bar though...</t>
  </si>
  <si>
    <t>My favorite anime avatar the last airbender I can't wait until february 22</t>
  </si>
  <si>
    <t>First Episode aired on Feb 21 200519 years later (it has 19m views funny enough)The live action premieres on Feb 22 2024Lets hope its good</t>
  </si>
  <si>
    <t>K****d</t>
  </si>
  <si>
    <t>Can't wait for people to compare this to the anime and then complain that it isn't a shot for shot of the anime, or the same tone as the anime or exactly like the anime.</t>
  </si>
  <si>
    <t>H****n</t>
  </si>
  <si>
    <t>This is one of the most watched trailers of netflix of all time on this youtube channel and it is about 1 month old... tells enough how many people are waiting for this series to come out. 😃</t>
  </si>
  <si>
    <t>AANG!!!!</t>
  </si>
  <si>
    <t>Z****c</t>
  </si>
  <si>
    <t>This looks Amazing. Seems like there was no holding back on the money from production side. And I am greatfull because this show deserves it. The only thing I’m worried about is the speech narrator gave during the teaser… as I would expect something in lines of “but then the fire nation attacked”.Still super hyped and for the love of Avatar I am going to watch this! D</t>
  </si>
  <si>
    <t>D****4</t>
  </si>
  <si>
    <t>I have hope</t>
  </si>
  <si>
    <t>No offense but why are Sokka and Katara so...light in skin tone?</t>
  </si>
  <si>
    <t>Looks really good made and full of love and truth. May every soul be enlighted by the film 🙏</t>
  </si>
  <si>
    <t>why Nextflix?</t>
  </si>
  <si>
    <t>126 is mid</t>
  </si>
  <si>
    <t>Azula doesn't make me effrai</t>
  </si>
  <si>
    <t>The trailer is looking good, but I'm afraid to get my hooes up after what they did with the movie, so I'll try not to set any expectations for now. That said, the original show is still one of my favourite series of all time to this say, so I hope they do it justice this time.</t>
  </si>
  <si>
    <t>E****5</t>
  </si>
  <si>
    <t>WHERE IS TOPH?😍😍😍</t>
  </si>
  <si>
    <t>i****X</t>
  </si>
  <si>
    <t>Está muito bom, mas,  o Sokka e a Catara são Negros!! Netflix vai vacilar dnv como sempre 🤦🏻‍♂</t>
  </si>
  <si>
    <t>b****c</t>
  </si>
  <si>
    <t>AAAAAAA</t>
  </si>
  <si>
    <t>APPA Yipp Yipp!</t>
  </si>
  <si>
    <t>Well, One Piece wasn't bad, Fullmetal Alchemist on the other hand was terrible, so hopes for this are 50/50</t>
  </si>
  <si>
    <t>No N 'cause there was no N on the animated series 👌👌 no latinos either 👌👌👌 a story in a world ambientated in Asia must respect their ethnic groups.</t>
  </si>
  <si>
    <t>Why avatar isnt black and not woman???What happened to netflix</t>
  </si>
  <si>
    <t>f****h</t>
  </si>
  <si>
    <t>This better be better than one piece live action im so excited for this show bro its rey be fire i will watch this every day</t>
  </si>
  <si>
    <t>104 N</t>
  </si>
  <si>
    <t>Everything changed when the Shyamalan attacked…</t>
  </si>
  <si>
    <t>K****B</t>
  </si>
  <si>
    <t>Sokka and Aang better be funny!</t>
  </si>
  <si>
    <t>I feel like everyone gets so happy when a live action adaptation gets made thats decent but if its still gonna be worse than the original then why bother? I dont understand</t>
  </si>
  <si>
    <t>Waited like 10 years for this I cannot wait</t>
  </si>
  <si>
    <t>Trust me. This is going to be a shit show.</t>
  </si>
  <si>
    <t>y****5</t>
  </si>
  <si>
    <t>YOOO THEY ACTUALLY LOOK HOW THEY’RE SUPPOSED TO? IN THIS DAY AND AGE?! HOLY SHIT HELL YEAH</t>
  </si>
  <si>
    <t>My cabbages!!</t>
  </si>
  <si>
    <t>AAAAAAAAAAAAAAAAAAAAAA</t>
  </si>
  <si>
    <t>Wow you can actually see Zuko's scar</t>
  </si>
  <si>
    <t>En espérant que cette fois ci il y aura une suite</t>
  </si>
  <si>
    <t>What a shit</t>
  </si>
  <si>
    <t>My only problem is why did they show ozai’s face?? He was so mysterious in the show, why wouldn’t they replicate it?</t>
  </si>
  <si>
    <t>CZ</t>
  </si>
  <si>
    <t>No hate, but why does it look like some students project bruh</t>
  </si>
  <si>
    <t>v****v</t>
  </si>
  <si>
    <t>“Are you the avatar Aang?”</t>
  </si>
  <si>
    <t>Absen</t>
  </si>
  <si>
    <t>Başyapıt olacak ❤</t>
  </si>
  <si>
    <t>z****6</t>
  </si>
  <si>
    <t>looks way better than expected</t>
  </si>
  <si>
    <t>Appa and Momo look strange but the elemental effects and the settings look amazing! Excited to see if this will be good.</t>
  </si>
  <si>
    <t>I think a lot of fans just need to ask themselves why they would even want a live action version of Avatar its just the same story, but with way more limitations</t>
  </si>
  <si>
    <t>T****9</t>
  </si>
  <si>
    <t>Why is the actor who played the avatar not the African!? This is racism!P.S. 😁</t>
  </si>
  <si>
    <t>Another trailer this month?</t>
  </si>
  <si>
    <t>J****6</t>
  </si>
  <si>
    <t>wtf, let the Aang alone! stop doing shit adaptations!</t>
  </si>
  <si>
    <t>Dont Witcher this you hapless gonks.</t>
  </si>
  <si>
    <t>what nobody gets why Avatar is so great and unfortunatly this trailer does not show but maybe its diffrent in the series its the EMOTION of the original series - its allways Excitement the characters play in,  in this trailer they are too serious to tough no joy no lauging</t>
  </si>
  <si>
    <t>E****o</t>
  </si>
  <si>
    <t>2024 is gonna be the year of the dragon guys, what a moment for the new avatar show to come out</t>
  </si>
  <si>
    <t>this better not be a flop</t>
  </si>
  <si>
    <t>Naw they did them dirty the original look way beter</t>
  </si>
  <si>
    <t>Nobody asked for this (make season 2 of one piece instead</t>
  </si>
  <si>
    <t>Wished there was better casting. Like katara and sokka were not that light.</t>
  </si>
  <si>
    <t>This is looking good. Crossing my fingers because it's time this series was adapted right.</t>
  </si>
  <si>
    <t>ATLA doesn't need a live action adaptation. It will never be better that the original. This is just for idiots who refuse to watch anything animated, because they think it's for children.</t>
  </si>
  <si>
    <t>Sadly I can already tell this shits gunna flop</t>
  </si>
  <si>
    <t>It will never capture the same magic of the original show, that was just lightning in a bottle. But I still hope they were able to honor the original heart and soul of the source material.</t>
  </si>
  <si>
    <t>o****4</t>
  </si>
  <si>
    <t>I hope his name is aang this time instead of ONG</t>
  </si>
  <si>
    <t>Even if this sucks its already better than the previous movie judging by this trailer alone and Iam sure they will pronounce the names correctly this time which was the worst thing about the movie XD.</t>
  </si>
  <si>
    <t>This def looks promising</t>
  </si>
  <si>
    <t>044 please make him fly past the screen faster, that looks silly. he's like on a zipline..</t>
  </si>
  <si>
    <t>Are you guys gonna ruin this with more evil political activism?</t>
  </si>
  <si>
    <t>Plis the key of last air bender is sokka. I HOPE THEY MAKE HIM FUNNY NOT LIKE DEAD CHAR</t>
  </si>
  <si>
    <t>i swear to god if they add some political bs</t>
  </si>
  <si>
    <t>Cautious optimism</t>
  </si>
  <si>
    <t>Please don't screw this up, Netflix.  You did great with Arcane and One Piece, now I'm hoping for a 3rd achievement.</t>
  </si>
  <si>
    <t>WOW! The main character is not black!!!</t>
  </si>
  <si>
    <t>r****t</t>
  </si>
  <si>
    <t>Where is Toph ??!! 😢</t>
  </si>
  <si>
    <t>where TF is togh be fong?</t>
  </si>
  <si>
    <t>S****n</t>
  </si>
  <si>
    <t>Super duper epic</t>
  </si>
  <si>
    <t>Hope they don't ruin it with poor script and wokism lol</t>
  </si>
  <si>
    <t>Looks nostalgic, though i watched animated only 5 years ago</t>
  </si>
  <si>
    <t>this is legit impressive, they even look like the character irl in terms of bodybuild and faces</t>
  </si>
  <si>
    <t>I’ve watched this trailer so many times- I’m so excited</t>
  </si>
  <si>
    <t>I just hope it would be hot trash like the movie the series was so good</t>
  </si>
  <si>
    <t>already looks 1000x better than that nightmare from before</t>
  </si>
  <si>
    <t>In the cartoon, they are more European in appearance</t>
  </si>
  <si>
    <t>my name is ong</t>
  </si>
  <si>
    <t>R****l</t>
  </si>
  <si>
    <t>Why would I watch this when I can just watch the animated show?</t>
  </si>
  <si>
    <t>I still have some Vietnam flashback's regarding Shyamalan's work.</t>
  </si>
  <si>
    <t>Please let this be good! 🤞</t>
  </si>
  <si>
    <t>J****r</t>
  </si>
  <si>
    <t>Okay im convinced this looks promising, hope they not ruin it</t>
  </si>
  <si>
    <t>U****g</t>
  </si>
  <si>
    <t>Hmm I'm guessing based on the trailer and nothing else that this is trying appeal to the now older fans of avatar when it first ran Maybe delve into the lore more and make it more serious and brooding.... but given that it's not showing any indication of having a light heated side which was necessary to make avatar as endearing as it has become I predict some backlash after the shows out.</t>
  </si>
  <si>
    <t>Y****w</t>
  </si>
  <si>
    <t>Looks impressive, i've big hopes🙏</t>
  </si>
  <si>
    <t>Why am I a grown man getting emotional about this when I don’t get emotional about nothing Wth 😅😅😅</t>
  </si>
  <si>
    <t>I only hope they won't ruin it like last movie was ruined 🥺🥹</t>
  </si>
  <si>
    <t>Thanks Netflix for the actor's cast</t>
  </si>
  <si>
    <t>i hope this is as good as the live action</t>
  </si>
  <si>
    <t>ngl i liked the old actors better and aangs tattoos were better in the old film</t>
  </si>
  <si>
    <t>Is it the same story...???</t>
  </si>
  <si>
    <t>JM</t>
  </si>
  <si>
    <t>I hope they pronounce his name right this time!</t>
  </si>
  <si>
    <t>Looks fantastic. Hope the cuteness and the jokes are still in !</t>
  </si>
  <si>
    <t>I'm honestly almost crying. It looks so amazing.</t>
  </si>
  <si>
    <t>A****3</t>
  </si>
  <si>
    <t>oh no</t>
  </si>
  <si>
    <t>GUYS. WHY IS THIS SO PROMISING!!</t>
  </si>
  <si>
    <t>hope this will be better then the last avatar live action movie</t>
  </si>
  <si>
    <t>White wash</t>
  </si>
  <si>
    <t>If we get a big wave again I swear...</t>
  </si>
  <si>
    <t>great another shitty thing thats gonna suck hard</t>
  </si>
  <si>
    <t>i can't watch actors in front of a green screen, not even for a second. it sucks!</t>
  </si>
  <si>
    <t>🙏🙏🙏🙏 N</t>
  </si>
  <si>
    <t>All characters look tooo soft</t>
  </si>
  <si>
    <t>I can say already if this is even remotely good I will be crying in nostalgia rather than raging at the screen watching the movie lol.</t>
  </si>
  <si>
    <t>U****x</t>
  </si>
  <si>
    <t>K****9</t>
  </si>
  <si>
    <t>hype</t>
  </si>
  <si>
    <t>l****a</t>
  </si>
  <si>
    <t>Я так понимаю до этого аватар был ...типо школьное выступление))) а Тут с размахом))) даже аппа есть))ну и лимурчик ) Как очень люблю аниме про Анга ..надеюсь будет норм...но не выше 4 баллов.. N</t>
  </si>
  <si>
    <t>Love you ❤❤❤</t>
  </si>
  <si>
    <t>The actor is full of themselves</t>
  </si>
  <si>
    <t>Seriously</t>
  </si>
  <si>
    <t>Who's gonna be Toph? 😂</t>
  </si>
  <si>
    <t>The fact that 2 original creators left the show before official premiere, telling me to anticipate this with caution. I have mixed feelings about this( please don't dissapoint me like one piece live adaptation)😢</t>
  </si>
  <si>
    <t>Most existing fantasy 🎉 maybe dreams comes true 😮 most awaited one</t>
  </si>
  <si>
    <t>i am hope full that this one is better then the last one</t>
  </si>
  <si>
    <t>Damn that was sick can't expect that ❤🔥</t>
  </si>
  <si>
    <t>I just came</t>
  </si>
  <si>
    <t>Don't be a flop. Don't be a flop. Don't be a flop. Don't be a flop. Don't be a flop. Don't be a flop. Don't be a flop. Don't be a flop. Don't be a flop. Don't be a flop. Don't be a flop. Don't be a flop. Don't be a flop. Don't be a flop. Don't be a flop. Don't be a flop. Don't be a flop. Don't be a flop. Don't be a flop. Don't be a flop. Don't be a flop. Don't be a flop. Don't be a flop. Don't be a flop. Don't be a flop. Don't be a flop. Don't be a flop. Don't be a flop. Don't be a flop. Don't be a flop. Don't be a flop. Don't be a flop. Don't be a flop. Don't be a flop. Don't be a flop. Don't be a flop. Don't be a flop. Don't be a flop.</t>
  </si>
  <si>
    <t>avatar new season nice</t>
  </si>
  <si>
    <t>N****r</t>
  </si>
  <si>
    <t>Porque la tribu del agua tiene piel blanca si en el dibujo son de piel Oscura?</t>
  </si>
  <si>
    <t>A****C</t>
  </si>
  <si>
    <t>The original show was so good!I didn't ever bother to see the live action movie.This looks like they may have finally got a live action adaptation right.</t>
  </si>
  <si>
    <t>Netflix plz, stop live acting movies that are garbage, and maybe finance a good project like arcane(like we all watched by now) with good "new drawing animation technics" and MAYBE , MAYBE , you'll get a hit</t>
  </si>
  <si>
    <t>I really hope they didnt just remake this movie. And leave everyone hanging at the end of the movie again. Waiting to see how they stop the Fire Nation..... I want to see what happens next.... I have been very disappointed with alot of new movies. And I'm big fan of them.</t>
  </si>
  <si>
    <t>This looks soooo good....but I've been here before....and I don't wanna be hurt again</t>
  </si>
  <si>
    <t>r****h</t>
  </si>
  <si>
    <t>This can’t be worst than the one m night shamalan made 😅</t>
  </si>
  <si>
    <t>this is AMAZING I JUST CANT WAIT FOR THE SHOW TO RELEASE</t>
  </si>
  <si>
    <t>h****r</t>
  </si>
  <si>
    <t>Dude, nobody is asking for a remake.... we want an animated sequal or prequal. Add new content, stop rehashing, and spend triple implementing CGI into live action rather than animating the whole thing</t>
  </si>
  <si>
    <t>This better blow my mind!</t>
  </si>
  <si>
    <t>Please don't suck. Resist the temptation to hate your audience with utter contempt.</t>
  </si>
  <si>
    <t>I was hoping someone would just ignore the last live action and do this justice...we'll see</t>
  </si>
  <si>
    <t>typical netflix plot twist incoming - its all an internal battle to discover he's actually a gay non binary gender fluid sometimes woman.</t>
  </si>
  <si>
    <t>116 Aang's smile is so adorable! 🥰</t>
  </si>
  <si>
    <t>p****n</t>
  </si>
  <si>
    <t>Netflix, listen… you better NOT make this show shitty! I have high expectations. And I dare you ruining Zuko because he is by far the greatest character of the show. I mean it, you’re walking on thin ice.</t>
  </si>
  <si>
    <t>I am ready for this, But i wonder if they will do Tales of Ba Sing Se.</t>
  </si>
  <si>
    <t>bbbu ne aq</t>
  </si>
  <si>
    <t>I dont feel it but lets see</t>
  </si>
  <si>
    <t>t****.</t>
  </si>
  <si>
    <t>Good animation bad cast</t>
  </si>
  <si>
    <t>I have a bad feeling</t>
  </si>
  <si>
    <t>Ok.  I'm willing to give this the benefit of doubt.  We'll see when it comes out.</t>
  </si>
  <si>
    <t>when the trailers already better then the movie</t>
  </si>
  <si>
    <t>You know how much I miss that song better make good as heck Netflix</t>
  </si>
  <si>
    <t>Đây chính là bộ đáng để xem</t>
  </si>
  <si>
    <t>i hope this will be good and not bad as the 2010 film</t>
  </si>
  <si>
    <t>If Netflix botches this I’ll never forgive them</t>
  </si>
  <si>
    <t>029*Your costume is pretty good but your scare is on the wrong side!*</t>
  </si>
  <si>
    <t>P****1</t>
  </si>
  <si>
    <t>Sends shivers down my spine, but still HIGHLY skeptical that it will be any good. And again it is still a just another soulless live action remake cash grab I can tell  as again they are try ing tot improve on perfection. Seriously instead of remaking classic media cartoons anime and movies MAKE SOMETHING ORIGINAL, OR AT LEAST FROM A GOOD BOOK THAT LACKS AN ADAPTATION. For example Eragon still needs a GOOD movie or better yet a TV series as the first attempt to adapt it was total crap in part because it was made too soon, and cut KEY plot elements from the story that was still being written. Also it was like they did not even read the book before writing the script, and casting the characters relying on second or third hand accounts from people they knew for their knowledge of the story and characters.</t>
  </si>
  <si>
    <t>Overal looks looked great!! lets hope this adaptation did The Original justice</t>
  </si>
  <si>
    <t>The Fire Nation attacks again</t>
  </si>
  <si>
    <t>I had goosebumps like whaaat 😱the trailer alone is super siickkk I can't wait!!!</t>
  </si>
  <si>
    <t>B****R</t>
  </si>
  <si>
    <t>characters look amazing. I hope you won't destroy another great show for some social b-llsh-t.</t>
  </si>
  <si>
    <t>Shyamalan screwed this up last time so hopefully it's better this round</t>
  </si>
  <si>
    <t>oMG this is the real one!</t>
  </si>
  <si>
    <t>Mais putain ! Arrêtez de caster des blancs pour les rôles de katara et Sokka ! C’est des Inuits bordel 🤦‍♂️</t>
  </si>
  <si>
    <t>Since it's Netflix, one or more of the characters will be gay.</t>
  </si>
  <si>
    <t>... just please make Sokka funny and say Aangs name right.</t>
  </si>
  <si>
    <t>Thats what i needed</t>
  </si>
  <si>
    <t>better than first movie</t>
  </si>
  <si>
    <t>wait a minute! no wokeshit? is this real?</t>
  </si>
  <si>
    <t>n****i</t>
  </si>
  <si>
    <t>can't wait for the movie to release</t>
  </si>
  <si>
    <t>C****D</t>
  </si>
  <si>
    <t>FINALLY AN UPGRADE</t>
  </si>
  <si>
    <t>As atrocious as M Night Shyamalan's version was, Netflix had plenty of time and footage to see all of what NOT to do, so I hope they come correct with this one! 😏</t>
  </si>
  <si>
    <t>Those cgi scenes look like some crap took a crap and stepped in it's own crap</t>
  </si>
  <si>
    <t>o****y</t>
  </si>
  <si>
    <t>Bro please you guys can't tell me Aang doesn't look goofy here</t>
  </si>
  <si>
    <t>Let's hope they stick the landing. I love the anime, but it's notoriously hard to convert so much story (even if it's just e.g. book 1) into a movie. The movie would need to be like 200 minutes long ... maybe even two 200-minute movies (that's almost 5 hours) because each season/book is like 400-440 minutes long. So 3 movies, each being 3.5 hours each might do it justice... might.</t>
  </si>
  <si>
    <t>J****I</t>
  </si>
  <si>
    <t>I hope so much it's not a complete dissapointment.... not again 🙃</t>
  </si>
  <si>
    <t>I seriously hope Azula's actor nails it. She's got some big shoes to fill. Excited to see this!</t>
  </si>
  <si>
    <t>Why are they all Mongoloid?</t>
  </si>
  <si>
    <t>MA</t>
  </si>
  <si>
    <t>جميل جدا N</t>
  </si>
  <si>
    <t>Sokka and Toph love story hopefully 🙏 😊</t>
  </si>
  <si>
    <t>I thought this was supposed to be after the fire nation… no one gives a f for a live action adaptation about season 1 we already know what happened and you’re not making it better… or at least do a pre show from Roku or something idk</t>
  </si>
  <si>
    <t>o****0</t>
  </si>
  <si>
    <t>DO NOT COMPARE THIS TO THE FILM THE FILM WAS MADE AS A GIFT TO SHAM’S DAUGHTER!!! PLEASE HOLD THE FILM ACCOUNTABLE AS ITS OWN, and most of all I hope it’s a different story completely otherwise wtf</t>
  </si>
  <si>
    <t>I just don't see Katara and Azula... hopefully when they act they will look more like them</t>
  </si>
  <si>
    <t>PTSD</t>
  </si>
  <si>
    <t>r****l</t>
  </si>
  <si>
    <t>Finally, it's happening🤩🤩</t>
  </si>
  <si>
    <t>as usual trailer 90% ARE MISSLEADING, no hype for me, but if it turn out to be even remotely decent im happy</t>
  </si>
  <si>
    <t>I just got ptsd from the last time it was live action but I still have hope</t>
  </si>
  <si>
    <t>P****d</t>
  </si>
  <si>
    <t>Wish they casted a better looking zuko. Hopefully the actor grows on me</t>
  </si>
  <si>
    <t>t****y</t>
  </si>
  <si>
    <t>The amazing series</t>
  </si>
  <si>
    <t>I can’t wait to see live action toph</t>
  </si>
  <si>
    <t>B****8</t>
  </si>
  <si>
    <t>❤❤ N</t>
  </si>
  <si>
    <t>Hopefully this ain’t as bad as the last one that one guy made.</t>
  </si>
  <si>
    <t>Anyone know when the next official trailer is going to released?</t>
  </si>
  <si>
    <t>MEH</t>
  </si>
  <si>
    <t>Please someone tell there's also a trailer, after 2 months of the teaser still there is no update on the trailer... but I like the way they're updating the character's looks on Instagram.</t>
  </si>
  <si>
    <t>The irony of Sokka looking like his stage actor from the cartoon will never not make me laugh</t>
  </si>
  <si>
    <t>c****s</t>
  </si>
  <si>
    <t>Why do they always cast Ember island Sokkas</t>
  </si>
  <si>
    <t>Pleaaaase be good. Please</t>
  </si>
  <si>
    <t>Zuko looks legit !!</t>
  </si>
  <si>
    <t>Probably was approved after one piece</t>
  </si>
  <si>
    <t>The most epic thing about the trailer was the music XD</t>
  </si>
  <si>
    <t>Please, just get the names right this time.😭😭</t>
  </si>
  <si>
    <t>looks like fire bending might actually make sense this time</t>
  </si>
  <si>
    <t>w****e</t>
  </si>
  <si>
    <t>I just want them to get Dwayne Johnson to play The Boulder in season 2</t>
  </si>
  <si>
    <t>Imagine if there was 3 movies made and each one was 3 hours long and on the standard of lord of the rings</t>
  </si>
  <si>
    <t>oh shit here we go again</t>
  </si>
  <si>
    <t>e****v</t>
  </si>
  <si>
    <t>If Netflix somehow doesn't mess this up, I promise I'll finally get my own subscription.*few more views later*I can not stress enough how much Netflix can not screw this one up if they just straight up copied the source material. I honestly hope they do it justice.</t>
  </si>
  <si>
    <t>j****m</t>
  </si>
  <si>
    <t>let’s go 🔥 hopefully this isn’t a let down. movie or show?</t>
  </si>
  <si>
    <t>R****b</t>
  </si>
  <si>
    <t>Just seems unnecessary</t>
  </si>
  <si>
    <t>that music though</t>
  </si>
  <si>
    <t>Not again 😭</t>
  </si>
  <si>
    <t>j****d</t>
  </si>
  <si>
    <t>As long as it's better than the film I'll be happy</t>
  </si>
  <si>
    <t>I just hope that they will include iconic lines like ‘water tribe’ 🫳</t>
  </si>
  <si>
    <t>f****7</t>
  </si>
  <si>
    <t>cringe af</t>
  </si>
  <si>
    <t>Skinwashing broh…</t>
  </si>
  <si>
    <t>umay nmn nito.. paulit ulit nlng sa unan... tas walng dugtong</t>
  </si>
  <si>
    <t>DUDE IT LOOKS SOOOOOOOOOOOOOO GOOD</t>
  </si>
  <si>
    <t>ale szit</t>
  </si>
  <si>
    <t>One piece serisinden sonra Avatar serisi... çok doğru işler yapmaya başladı Netflix.</t>
  </si>
  <si>
    <t>n****s</t>
  </si>
  <si>
    <t>The only problem that I don't know if they're gonna be able to handle is that these kids are gonna grow up really fast. Unless they film everything at once, by the last season they'll be all grown up, which could be a problem</t>
  </si>
  <si>
    <t>I am extremely scared for this</t>
  </si>
  <si>
    <t>If monk gyasto don’t suck the life out the of the room and show what happened during the genocide I’m going to riot</t>
  </si>
  <si>
    <t>Looks amazing!</t>
  </si>
  <si>
    <t>Can’t wait for that scene where all the eyes of the statues in the Southern air temple glow.</t>
  </si>
  <si>
    <t>Top show</t>
  </si>
  <si>
    <t>a****o</t>
  </si>
  <si>
    <t>Thankyou so much for the gift ❤️</t>
  </si>
  <si>
    <t>It seems that Netflix is learning from it's mistakes</t>
  </si>
  <si>
    <t>Nice work, Netflix! The CGI and overall look is simply incredible.</t>
  </si>
  <si>
    <t>The creators of ATLA left the team with netflix a few years ago due to not having creative control. In other words, they were not happy how netflix was running things so they left. Its gonna suck guys im sorry to say.</t>
  </si>
  <si>
    <t>Aang is so brutally ugly</t>
  </si>
  <si>
    <t>Always had to be a series of a trilogy</t>
  </si>
  <si>
    <t>For this to be a huge hit, it has to be a series and it has to have 3 seasons like how the OG animation was. The stories from the chapters are too long for them to be squeezed into a movie, they should adapt everything from the animation and it will be a success.</t>
  </si>
  <si>
    <t>the fact im in  love with avatar again so this is going to be great my guys</t>
  </si>
  <si>
    <t>This cant be as bad as the movie that was a nightmare</t>
  </si>
  <si>
    <t>I am not hopeful.</t>
  </si>
  <si>
    <t>Make Ang a girl and make it gay.</t>
  </si>
  <si>
    <t>r****n</t>
  </si>
  <si>
    <t>Can someone simple answer is this gonna be a film or a series I've stayed away from behind the scenes leaks plz and Thnks (praying its a series )</t>
  </si>
  <si>
    <t>Where's my cabbages ??</t>
  </si>
  <si>
    <t>M night shitting his pants right now</t>
  </si>
  <si>
    <t>q****1</t>
  </si>
  <si>
    <t>Avatar for the uncool kidsSamurai jack for the cool kids</t>
  </si>
  <si>
    <t>s****d</t>
  </si>
  <si>
    <t>Oh hell nah</t>
  </si>
  <si>
    <t>One piece live adaption was a 8/10 effort and a 5/10 showThis will be same effort 2/10 show</t>
  </si>
  <si>
    <t>Still doesn't live up to the anime</t>
  </si>
  <si>
    <t>Probably too early to say, but this is looking like the best, most faithful adaptation of an animated series I've seen in a long time. And it works so well, like, it doesn't feel forced.</t>
  </si>
  <si>
    <t>h****n</t>
  </si>
  <si>
    <t>i'm so glad you chose actors that look somewhat like teenagers. really brings home the point of children in a war, and their actual cartoon ages</t>
  </si>
  <si>
    <t>P****g</t>
  </si>
  <si>
    <t>102 lowkey kinda fire</t>
  </si>
  <si>
    <t>this literally give me goosebumps.🤩🤩</t>
  </si>
  <si>
    <t>Espero que no sea el caso de increíble trailer y pésima serie</t>
  </si>
  <si>
    <t>2000s kids are getting redemption for their favorite books and tv shows to be made into tv series and they’re doing them right this time.</t>
  </si>
  <si>
    <t>I also hope that they show Koh the face stealer.That would be so cool 👌</t>
  </si>
  <si>
    <t>Well this already looks better than that dreadful movie from 2010.</t>
  </si>
  <si>
    <t>its been 2 months! we need the official trailer please!!</t>
  </si>
  <si>
    <t>j****_</t>
  </si>
  <si>
    <t>Pls netflix drop the full trailer alreadyyyy I'm beggiiiinngggg</t>
  </si>
  <si>
    <t>D****l</t>
  </si>
  <si>
    <t>Okaaay this one looks better. I hope it doesn't disappoint like the movie. This one will be a series so of course the story would be much better but I hope actors, graphics, effects and dialogs will be better.</t>
  </si>
  <si>
    <t>Hayatımda izlediğim en iyi filmlerden hala etkisinden çıkamadım.</t>
  </si>
  <si>
    <t>v****r</t>
  </si>
  <si>
    <t>woaww looks interesting !!!😍</t>
  </si>
  <si>
    <t>Harika bir flim tek kelimeyle muhteşem</t>
  </si>
  <si>
    <t>🎉🎉 N</t>
  </si>
  <si>
    <t>İzlenmeli ...</t>
  </si>
  <si>
    <t>Çok güzel, hayatımda izlediğim en iyi filmlerden hâlâ itkisinden çıkamadım.</t>
  </si>
  <si>
    <t>Tavsiye ediyorum</t>
  </si>
  <si>
    <t>I just hope they do justice to the real hero/victim of the show.....the cabbage merchant</t>
  </si>
  <si>
    <t>Katara &amp; sokka is white??</t>
  </si>
  <si>
    <t>L****z</t>
  </si>
  <si>
    <t>Çok başarılı bir film olmuş</t>
  </si>
  <si>
    <t>Çok beyendim emeğinize sağlık teşekkürler</t>
  </si>
  <si>
    <t>dude i really need to watch this</t>
  </si>
  <si>
    <t>I have not expected Katara and soka to be this pale.</t>
  </si>
  <si>
    <t>W****1</t>
  </si>
  <si>
    <t>Iyi bir film</t>
  </si>
  <si>
    <t>Waiting for the full trailer to drop 😆</t>
  </si>
  <si>
    <t>Tengo recuerdos de Vietnam...Tengo miedo</t>
  </si>
  <si>
    <t>Ready to watch!</t>
  </si>
  <si>
    <t>See that M. Night? THAT’S HOW IT’S DONE!</t>
  </si>
  <si>
    <t>Prolly another flop😢</t>
  </si>
  <si>
    <t>S****4</t>
  </si>
  <si>
    <t>okay, im subscribing just to watch this</t>
  </si>
  <si>
    <t>Same avatar story new video quality good idea ever ironic</t>
  </si>
  <si>
    <t>This isnt Avatar?</t>
  </si>
  <si>
    <t>I hope it's not like the movie "my name is UUNG"</t>
  </si>
  <si>
    <t>Cabbage guy better be in it</t>
  </si>
  <si>
    <t>Aang looks more like an 8 year old than a 12 year old</t>
  </si>
  <si>
    <t>looks like sh*t</t>
  </si>
  <si>
    <t>They have momo,  it's already better than film</t>
  </si>
  <si>
    <t>Uncle iroh is perfect</t>
  </si>
  <si>
    <t>x****k</t>
  </si>
  <si>
    <t>what, katara is white 🤣🤣🤣🤣🤣🤣</t>
  </si>
  <si>
    <t>I am really crossing my fingers on this one</t>
  </si>
  <si>
    <t>boy this gonna suck</t>
  </si>
  <si>
    <t>Whenever you enjoy something as a kid.. remember there will always be ppl trying to ruin your childhood for money 💰</t>
  </si>
  <si>
    <t>Please please please don't Mess up please please.</t>
  </si>
  <si>
    <t>WOOOOOW THIS LOOKS INCREDIBLEEEEEE</t>
  </si>
  <si>
    <t>Wtf saka and ketara are black</t>
  </si>
  <si>
    <t>i am the avatar</t>
  </si>
  <si>
    <t>T****y</t>
  </si>
  <si>
    <t>Avatar bir filmden daha fazlasıdır🎉</t>
  </si>
  <si>
    <t>The teaser alone makes me wanna sub to Netflix again... But I'll do the smart thing and w8 for the reviews from people I trust</t>
  </si>
  <si>
    <t>Cartoon Aang this is way better than a woman playing me in some playAvatar korra I hope I get to come out and play in this</t>
  </si>
  <si>
    <t>Gayet kaliteli bir film 😁</t>
  </si>
  <si>
    <t>Guzel</t>
  </si>
  <si>
    <t>why am i crying watching this???!?!</t>
  </si>
  <si>
    <t>Çok güzel bir film herkese tavsiye ederim</t>
  </si>
  <si>
    <t>Me gustó esta película.</t>
  </si>
  <si>
    <t>any updates on when the main trailer will release? I feel like it will probably still release in the window of jan 16-23. But there just hasn't been any announcements or news</t>
  </si>
  <si>
    <t>Hmmmm cautiously optimistic is the way to go!!</t>
  </si>
  <si>
    <t>this has the chance to be really gay and bad. but it also has the chance to be good</t>
  </si>
  <si>
    <t>I want to see an animated series of the adult gang. Not the live action version</t>
  </si>
  <si>
    <t>I truly hope Netflix did a great job here, not space for middle terms. You either leave the original series alone or do an incredible live action show.</t>
  </si>
  <si>
    <t>It's not that difficult to improve from a previous adaptation, even the Triler already has better casts and VFX, but nothing can top the original, nonetheless, I'd love to be proven wrong.</t>
  </si>
  <si>
    <t>animations look like a shit tbh</t>
  </si>
  <si>
    <t>Omg thats looks fckin cool!!! Big budget!</t>
  </si>
  <si>
    <t>The fact that they use original sound track means they respect the original cartoon series. For asian culture, Respect for the elderly or the one the come before you is big thing. That’s why it looks promising 😊</t>
  </si>
  <si>
    <t>It's alright they better not screw up</t>
  </si>
  <si>
    <t>I lost my faith in the life actions,thanks and bye</t>
  </si>
  <si>
    <t>*After knowing how the last movies failed so badly*Begin... again</t>
  </si>
  <si>
    <t>This looks almost just as bad as the first live action remake</t>
  </si>
  <si>
    <t>NOOOOOOOOOOOOOOOOOOOOOOOOOOOOOOOOOOOOOOOOOOO!!!!!!!!!!!!!!!!!!!!!!!!</t>
  </si>
  <si>
    <t>Predication It's going to have the same problem as the last live action adaptation. It will be too serious and rely too much on cgi. I hope I'm wrong.</t>
  </si>
  <si>
    <t>M Night Shamylan will be the cabbage man 🥬</t>
  </si>
  <si>
    <t>Don't u dare to mess with the best show ever existed in humanity</t>
  </si>
  <si>
    <t>🤮🤢 N</t>
  </si>
  <si>
    <t>actually looks fire</t>
  </si>
  <si>
    <t>_****0</t>
  </si>
  <si>
    <t>PLEASE HAVE ENGLISH DUB</t>
  </si>
  <si>
    <t>y****k</t>
  </si>
  <si>
    <t>While on my way to work I applied my foot to the breaks in the hopes of stopping just in time. I did not stop in time and hit someone's fender. Luckily the man was bald head and knew how to air bend. Before he left, he told me I hope this is your last time being a careless driver. After 5 minutes of looking for him he vanished. 2 weeks later at a McDonalds I thought I saw him because a bald man walked in the store just as the wind blew, yes I work at McDonalds in this story. Anyways... He walked and said he wanted to buy a burger I asked if he was the bald head dude that I hit, he didn't say a word. I told him, hey man I don't like bald people not telling me there name. He said his name was ang or something. He told me he came from Memphis and likes to listen to jazz occasionally. After a bit of time I realized this man was the last air bending fry cooker. I told my manager about his wonderful powers to keep the fries evenly distributed so you get a 5050 ratio, oil to potato. After his disappearance we were attacked by the Karan's. Their power growing stronger and stronger. When the restaurant needed you the most you disappeared, I said. Now that he was back turns out he had about 2 weeks of PTO so I guess he didn't really have to work. Since he didn't enter his time in though that did have to be readjusted so he wouldn't get fired when he was on break. The fry cooking bender returned to making those delicious fries and he was really good at it. Maybe he was ang or Paul not sure... He does this cool thing where the arrow on his head turns blue and he just serves food slightly faster idk what he calls it but it keeps me from having to walk to people so I will take it as a win!</t>
  </si>
  <si>
    <t>this is ass</t>
  </si>
  <si>
    <t>Oh boy this is going to be another memes for this year, good luck oong😅</t>
  </si>
  <si>
    <t>I hate that Iroh isn't an actual old guy but a middle aged man made to look old. Looks very silly and this is such an important character...</t>
  </si>
  <si>
    <t>🤦🏽‍♂️ its gobba be cringe</t>
  </si>
  <si>
    <t>I wish they would’ve gone with what happens after Aang beats Ozai. The original story is so good that it’s very difficult to remake successfully</t>
  </si>
  <si>
    <t>This shit looks fire 🔥 now this is how it should have been done in 2010</t>
  </si>
  <si>
    <t>The first ever live action adaptation❤Right? 😂</t>
  </si>
  <si>
    <t>G****l</t>
  </si>
  <si>
    <t>Chills everytime I see this ngl. Hopefully it’s just as good as the series and a faithful adaptation</t>
  </si>
  <si>
    <t>This will be the season finale everyone will love to watch it ❤️❤️ i even watched it 5 times</t>
  </si>
  <si>
    <t>nice job team ovatar</t>
  </si>
  <si>
    <t>They always write aang as serious forgetting he’s joking around 80% of the time.</t>
  </si>
  <si>
    <t>literal chills as im watching this</t>
  </si>
  <si>
    <t>Y para cuando el Trailer oficial netflix ya es tiempo de que lo lanzes 🧐🧐🧐🧐🧐🤷🏻‍♂🤷🏻‍♂🤷🏻‍♂</t>
  </si>
  <si>
    <t>R****3</t>
  </si>
  <si>
    <t>So if Avatar The Last Airbender can get a remake worthy of the anime, can we finally get a DragonBall or DragonBall Z live action series to replace that god awful DragonBall Evolution movie?</t>
  </si>
  <si>
    <t>F****n</t>
  </si>
  <si>
    <t>Me mantengo optimista desde México.</t>
  </si>
  <si>
    <t>A****b</t>
  </si>
  <si>
    <t>bruh when is the next trailer coming out💀</t>
  </si>
  <si>
    <t>Wished they invested in animation 😂</t>
  </si>
  <si>
    <t>*Stranger Things S5 looks crazzzzzy! Can't wait for this!!*</t>
  </si>
  <si>
    <t>B****d</t>
  </si>
  <si>
    <t>if Netflix makes a series out of this IT WILL BE THE FIRST I WATCH AND FINISH</t>
  </si>
  <si>
    <t>oh yeah</t>
  </si>
  <si>
    <t>Picked the worst actors possible this is gonna be as bad as the first adaptation</t>
  </si>
  <si>
    <t>Release when?</t>
  </si>
  <si>
    <t>Ano na Netflix. nauumay na'ko sa Teaser na'to. kailan release ng final trailer.</t>
  </si>
  <si>
    <t>Is it just me? or the one they made in 2010 grew on my more just the fighting parts seem more like magic than anything else. I was really hoping for continuation rather than a remake but that's just my opinion.</t>
  </si>
  <si>
    <t>Where’s the full trailer I’m stressing at this point 😂🤣</t>
  </si>
  <si>
    <t>Netflix will probably cancel it after two seasons, regardless of success or fanfare. It's what they do.</t>
  </si>
  <si>
    <t>C****M</t>
  </si>
  <si>
    <t>At least Shama Lama DingDong set the Bar REALLY Low… Here’s Hoping this Series doesn’t Suck.</t>
  </si>
  <si>
    <t>056 to 109 is my favorite part of the trailer</t>
  </si>
  <si>
    <t>Cant wait</t>
  </si>
  <si>
    <t>Where is Toph Beifong?</t>
  </si>
  <si>
    <t>Netflix, where's the full trailer? There are 37 days left until the release of the series and we only have a teaser trailer?</t>
  </si>
  <si>
    <t>Exquisite Ravishing I want to see this movie❤❤❤❤❤❤</t>
  </si>
  <si>
    <t>THATS AMAZING!!!</t>
  </si>
  <si>
    <t>2010 remake LolUP</t>
  </si>
  <si>
    <t>das trash</t>
  </si>
  <si>
    <t>m****z</t>
  </si>
  <si>
    <t>I thought they put a chick to play avatar like in the fire nation play.😮</t>
  </si>
  <si>
    <t>And then the fire 🔥 nation attacked.</t>
  </si>
  <si>
    <t>bro i already know this gonna be ass</t>
  </si>
  <si>
    <t>b****o</t>
  </si>
  <si>
    <t>I'm not crying. You're crying!</t>
  </si>
  <si>
    <t>S****8</t>
  </si>
  <si>
    <t>Wow I can actually tell who is supposed to be who in the trailer</t>
  </si>
  <si>
    <t>Oh pls not from netflix😅</t>
  </si>
  <si>
    <t>3****7</t>
  </si>
  <si>
    <t>FROM ANIME TO MOVIE A GOOD JOURNEY GLAD TO BE THE JOCKEY OF THIS JOURNEY  😊</t>
  </si>
  <si>
    <t>better be better than the MOVIE THAT DOESNT EXIST they better say his name like in the ANIME otherwise im PO'd</t>
  </si>
  <si>
    <t>Trailer? 👀👀👀👀👀</t>
  </si>
  <si>
    <t>I wish they wouldn't rush a lot of the quest into 1 single film. This could be an incredible franchise. Slow it down and make small details count</t>
  </si>
  <si>
    <t>He better be riding around on an air bubble 😒</t>
  </si>
  <si>
    <t>I searched this title up because I wanted to watch the cartoon because I was reminiscing I never imagined that they would adapt this series into a tv show I'm so excited, can't wait to watch this when it comes out!!😁</t>
  </si>
  <si>
    <t>x****i</t>
  </si>
  <si>
    <t>Damn, I guess I'm gonna have to reactivate my account.</t>
  </si>
  <si>
    <t>J****M</t>
  </si>
  <si>
    <t>the trailer looks 1000% better an the entire live action movie im hopeful</t>
  </si>
  <si>
    <t>Momo and Appa are deep in that uncanny valley, but it overall looks so faithful to the animated series and that's the important part.</t>
  </si>
  <si>
    <t>Why do they do this?!</t>
  </si>
  <si>
    <t>Reeaally Hope they maintain the humor from the original story... 🙏</t>
  </si>
  <si>
    <t>wtf is this???? this looks wore than the original</t>
  </si>
  <si>
    <t>No, stop, not again, don’t ruin it again STOP</t>
  </si>
  <si>
    <t>Intrigued by this one.</t>
  </si>
  <si>
    <t>Y****3</t>
  </si>
  <si>
    <t>I really hope it's three seasons please take your time with this</t>
  </si>
  <si>
    <t>Honestly... I just wanted more anime stories. I'm still happy to watch and hopefully it'll be a worthwhile retelling of the original saga.</t>
  </si>
  <si>
    <t>I scared</t>
  </si>
  <si>
    <t>Yaaassss</t>
  </si>
  <si>
    <t>DK</t>
  </si>
  <si>
    <t>Ok so the trailer at least looks better than that disgustingly bad adaptation they made years back</t>
  </si>
  <si>
    <t>This looks terrible oh nooooo</t>
  </si>
  <si>
    <t>Still don't really see the point in remaking something that's already perfect as it is, but I'll try it...we'll see if it's worth the watch...</t>
  </si>
  <si>
    <t>Let's just hope they don't add any 'woke' content to this franchise</t>
  </si>
  <si>
    <t>J****m</t>
  </si>
  <si>
    <t>Is this going to be a show or movie?</t>
  </si>
  <si>
    <t>J****j</t>
  </si>
  <si>
    <t>&lt; I still demand book 4.. Korra sucks but Ang is masterpiece its still sad</t>
  </si>
  <si>
    <t>Can I just have more real show please? lol thanks</t>
  </si>
  <si>
    <t>High Hopes as all the movies after the Original show didnt full filled the expectations.</t>
  </si>
  <si>
    <t>Please make it good 😢😢</t>
  </si>
  <si>
    <t>u****3</t>
  </si>
  <si>
    <t>this is way waaay better than the last one😊</t>
  </si>
  <si>
    <t>Mirip sama kartun nyaa😮😮😮 i like it❤</t>
  </si>
  <si>
    <t>I am so unbelievably excited for this</t>
  </si>
  <si>
    <t>Okay so this looks really really promising. I think Zukos scar needs to be more prominent but other than that, no notes.</t>
  </si>
  <si>
    <t>Since the dogshit Avatar movie I waited for this</t>
  </si>
  <si>
    <t>I just got into ATLA and this is looking so hype!</t>
  </si>
  <si>
    <t>KE</t>
  </si>
  <si>
    <t>Hopefully this will get off the sour taste the first live-action left in my mouth. Judging from the trainer and how they adapted one piece, it looks like it will.</t>
  </si>
  <si>
    <t>but... why tho?Like don't get me wrong, the trailer looks great/promising and it could potentially be a great TV show but... the original show is practically flawless. Is it to appeal to people who are unwilling to watch anime or cartoons? Feels like TV is just gradually becoming overtaken by recycled stories.</t>
  </si>
  <si>
    <t>Thank god it’s not an m night shamallama movie.</t>
  </si>
  <si>
    <t>The one and only thing I was looking for in this trailer was seeing Ang smile and laugh, he was so mischievous and goofy. The live action movie didn't show that side of him at all.</t>
  </si>
  <si>
    <t>The directors and producers of this should direct or should have directed disney remakes 😯👍🏼</t>
  </si>
  <si>
    <t>looks like a amateur low budget version of the original.... also seemed kinda same story, why bother recreating something in worse quality rather than continuing the story? D</t>
  </si>
  <si>
    <t>q****2</t>
  </si>
  <si>
    <t>I'm here again after 2 months and the hype is real! after pulling off One Piece so well we can definitely say this is gonna be banger!</t>
  </si>
  <si>
    <t>x****s</t>
  </si>
  <si>
    <t>It looks horrible</t>
  </si>
  <si>
    <t>More Asian garbage.</t>
  </si>
  <si>
    <t>“Time…”Me finally getting the hand of connecting with the higher self “The timing couldn’t have been more perfectly timed.”</t>
  </si>
  <si>
    <t>I'm excited, but they gotta make momo cuter than that!</t>
  </si>
  <si>
    <t>You're cookin right now...</t>
  </si>
  <si>
    <t>There are such high expectations on this and I believe in them</t>
  </si>
  <si>
    <t>The firey eyes of azula looks very beautiful</t>
  </si>
  <si>
    <t>J****N</t>
  </si>
  <si>
    <t>Well, worst it can do is be worse than Shyamalan's one... right?</t>
  </si>
  <si>
    <t>I hope they haven't lost the comedic element to it. They are kids afterall and Soka and Ang being funny was great to watch as a kid. I hope they don't make Soka the serious one.</t>
  </si>
  <si>
    <t>Just waiting for the trailer 👀👀</t>
  </si>
  <si>
    <t>It better be good</t>
  </si>
  <si>
    <t>H****5</t>
  </si>
  <si>
    <t>Asians owns</t>
  </si>
  <si>
    <t>Че за сал. _па на лбу N</t>
  </si>
  <si>
    <t>I Hope netflix can make special episode the tale of iroh with emotional song little soldier boy</t>
  </si>
  <si>
    <t>I am ready to be hurt again.😅</t>
  </si>
  <si>
    <t>Appa Iroh. 😂❤🎉</t>
  </si>
  <si>
    <t>What we deserved</t>
  </si>
  <si>
    <t>Hopefully this latest movie can be better than the previous one, waiting for the masterpiece legends of aang the last airbender...</t>
  </si>
  <si>
    <t>Saka's complexion was soooooo white. what happened to his brown color?</t>
  </si>
  <si>
    <t>1****9</t>
  </si>
  <si>
    <t>I swear if this ends up like the last live action remake (it shall never be spoken of again), Ima go back to pirating shows on websites not afraid of getting copyrighted</t>
  </si>
  <si>
    <t>Bro can u drop the full trailer already? We can’t wait any longer.</t>
  </si>
  <si>
    <t>I've been burned enough times. I don't trust it.</t>
  </si>
  <si>
    <t>I must admit that I am not convinced, yet. I know that it's supposed to have a sort of cartoonish value to it, but I almost am not sure if this knows which direction it wants its tone to convey- serious, thrilling live-action, or pure homage to light-hearted, but philosophical kids show. I am sure it will tow the line, but this is the difficulty in adapting something that was once Korean animation, into something that embodies whole or in part, real life. The cinematography is really only an amalgam of what I already disliked about the original live-action movie in the first place, although I will say so far the fire bending effects look incredible. I was disappointed that the trailer has not yet chosen to show the "master benders performing their bending art" as perfected by Sifu Kisu. He consulted with the original creators of the show to create a bio-kinetic martial art form for each bending style that best represented the movement orientation (such as Northern Shaolin for Firebending, and Ba'gua for Airbending) that each nation had with respects to its chief element; Tai Chi respects the nature of push and pull, the Tui and La, and this is naturally described in the first season of the show, which is also why it is alled "Book I Water", just for example.. It's really important to show this detail of bending style differences, and is part of why it was included in the original show's intro. Does anyone know if Kisu was a consultant on this show as well? It would only make sense. If he wasn't, then who would know better than he does?</t>
  </si>
  <si>
    <t>Bruder schwätz mir net die Butter vom Brot</t>
  </si>
  <si>
    <t>This just feels like everything I’ve ever wanted out of a live action adaptation. I got chills when I heard the theme playing in the background</t>
  </si>
  <si>
    <t>I just hope they can keep the goofiness of the original instead of being super serious the whole time. Please tell me we get to see cabbage guy at Omashu</t>
  </si>
  <si>
    <t>P****o</t>
  </si>
  <si>
    <t>Can't wait for the next official trailer! So excited!</t>
  </si>
  <si>
    <t>this is going to be so bad, no one needs this half baked mess, nothing will come ever close to the nice and simple original, when i see this lazy excuse of cgi, i very much hope it fails, so that studios like netflix learn their lesson to invest money in the right spots, look at pirates of the caribbean, it has cgi 10 times better and is 10+ years old, like how hard can you mess up? Netflix yes ) and dont forget, there is a reason the original authors left the project, i dont expect from the writing either, this is going to ve delightful in terms of the next big failure</t>
  </si>
  <si>
    <t>I really curious about live action Zuko will say to his uncle on the ship; I don't need any calming tea! I need to capture the Avatar! 😮😅</t>
  </si>
  <si>
    <t>ok this seems to be so good i hope the water bending and katara s fights are also good !!</t>
  </si>
  <si>
    <t>je voudrais pas être l'avatar, être chauve à 10 ans 054, il a vraiment pas de chance</t>
  </si>
  <si>
    <t>P****n</t>
  </si>
  <si>
    <t>Where's toph🤨?</t>
  </si>
  <si>
    <t>I'm so tired of waiting for this . next trailer please</t>
  </si>
  <si>
    <t>Welp, redemption seems near...</t>
  </si>
  <si>
    <t>cast bout ugly asl</t>
  </si>
  <si>
    <t>Ok.If Netflix made it, i think Soka is gay.</t>
  </si>
  <si>
    <t>Avatar is taking over television so quickly!</t>
  </si>
  <si>
    <t>All i want is season four.</t>
  </si>
  <si>
    <t>🌝🌝🌝🌝 N</t>
  </si>
  <si>
    <t>Can we get a new animation for the comic's?</t>
  </si>
  <si>
    <t>Oh yay! The first ever live action of the last airbender 😇! I can’t wait for the first ever live action of the last airbender to come out! (The first ever!!!!!!!!!)</t>
  </si>
  <si>
    <t>I almost peed my pants...  ICANT WAIT... AND mR. kiM IS THERE... OMG OMG OMG</t>
  </si>
  <si>
    <t>tengo miedo gente</t>
  </si>
  <si>
    <t>About to be the best series of 2024!</t>
  </si>
  <si>
    <t>p****d</t>
  </si>
  <si>
    <t>Omg looks godd</t>
  </si>
  <si>
    <t>E****T</t>
  </si>
  <si>
    <t>Se ve bien, pero no me quiero ilusionar todavia 🥲</t>
  </si>
  <si>
    <t>lets hope they dont mess this up</t>
  </si>
  <si>
    <t>I hope they don't turn it into some lame woke shit.</t>
  </si>
  <si>
    <t>Only problem I have is it’s Netflix and they tend to cancel shows quickly.  This though looks great</t>
  </si>
  <si>
    <t>I don’t know if it’s just me or not but I have always wondered this about bending, why is that “Fire” seems to be the only element that doesn’t need the element around to bend?  Cuz with “Air” you just assume it always around all the time but with “Water” and “Earth” you never see bender just those bender those elements unless they are near water, for example.  Yet a “Fire” bender just snaps his fingers and a flame appears even if they are in a desert.  So how does it work?</t>
  </si>
  <si>
    <t>Aang here played by Gordon Kyle Diez Cormier. His smile really resembled that of Aang in animated series.</t>
  </si>
  <si>
    <t>I’m already not going to watch idc if it’s a cartoon why does katara look like that in this show who is that and sakka too who is that white man lol casting is terrible not watching this trash ass show</t>
  </si>
  <si>
    <t>These main characters have good customs, but the way they act doesn't reflect the personalities nor the character of the original characters. And looks like too soft when in the avatar state, Zuko and the fire nation king as well. Nobody looks like angry nor evil. Everybody looks like getting along besides the story line says otherwise. Why is that so hard to accomplish? Is the director so out of touch he can't see what we see? And Zuko scar, what that heck is that? Doesn't even look like a scar at all but painted make up. He is too soft as well to be the son of the most evil man on earth. Not good Netflix. They don't even care. Whatever. I am not watching it.</t>
  </si>
  <si>
    <t>Ang should look Mean when I'm the avatar state, because he is not in control. He must look like possessed to be exact, but instead, he looks like no emotions at all. I'd Netflix doesn't tackle the personalities, emotions, anger and playful behavior of Ang, I highly doubt it they will make a good impression. Because Netflix is more concerned about the male up and the stage and picture quality while the acting part sucks. I can't let this film ruined my experience with the original series. I can't. I smell disappointment all over the place. They should have found real Chinese martial artist to play the fire nation and air benders characters. Just saying.</t>
  </si>
  <si>
    <t>This Ang actor is too low energy to play that. Ang should be hyper and funny and playful and smart, because he is a child, not an actor playing the character like he is cute. He doesn't look bad ass at all.</t>
  </si>
  <si>
    <t>🤑🤑🤑🤑🤑🤑🤣🤣🤣🤣🤣 N</t>
  </si>
  <si>
    <t>I stg if he says “My name is Uung” again I’m killing everybody</t>
  </si>
  <si>
    <t>Albatar</t>
  </si>
  <si>
    <t>güzel olmuş güle giy canım yakışmış</t>
  </si>
  <si>
    <t>m****p</t>
  </si>
  <si>
    <t>bu filmi izlemek için sabırsızlanıyorum</t>
  </si>
  <si>
    <t>Çok iyi görünüyor</t>
  </si>
  <si>
    <t>Süper bir filim izlemenizi Öneririm ❤</t>
  </si>
  <si>
    <t>O numara fil olmuş</t>
  </si>
  <si>
    <t>Harika bi çalışma olmuş emek verenlere teşekkür ediyorum</t>
  </si>
  <si>
    <t>Çok güzel film</t>
  </si>
  <si>
    <t>oldukça etkileyici insan izlerken kapılıp gidiyor çok sürükleyici</t>
  </si>
  <si>
    <t>4****b</t>
  </si>
  <si>
    <t>Yine çok güzel bir film izlemek için sabırsızlık la bekliyorum</t>
  </si>
  <si>
    <t>Çok güzel bir film olmuş</t>
  </si>
  <si>
    <t>Gerçekten çok güzel bir film , izlerken insanı başka diyarlara götürüyor.</t>
  </si>
  <si>
    <t>Çok iyi</t>
  </si>
  <si>
    <t>Çok güzel ve heyecanlı 😮😮</t>
  </si>
  <si>
    <t>Avatar çok sevdiğim bı tapımdır izlemenizi tavsiye ederim</t>
  </si>
  <si>
    <t>Bugüne kadar gördüğüm en iyi film diyebilirim🎉🎉❤❤</t>
  </si>
  <si>
    <t>Süper 🎉🎉🎉🎉</t>
  </si>
  <si>
    <t>Çok güzel olmuş</t>
  </si>
  <si>
    <t>y****p</t>
  </si>
  <si>
    <t>Harika ve fantastik</t>
  </si>
  <si>
    <t>Çok güzel herkese tavsiye ederim</t>
  </si>
  <si>
    <t>🎉efsane geri dönmüş.muhteşem görseller var👍🏼</t>
  </si>
  <si>
    <t>Güzel film olmuş izlemeye değer diye düşünüyorum.</t>
  </si>
  <si>
    <t>Gerçekten yıllardır beklediğim filmlerden birisi</t>
  </si>
  <si>
    <t>İzlediğim en guzel filmlerden biri</t>
  </si>
  <si>
    <t>Harikaaa😊</t>
  </si>
  <si>
    <t>Harika bir film herkese tavsiye ederim 😊</t>
  </si>
  <si>
    <t>Cokgüzel olmuş</t>
  </si>
  <si>
    <t>Mükemmel olmuş</t>
  </si>
  <si>
    <t>Bu film çok güzel.Herkes kesinlikle izlemeli</t>
  </si>
  <si>
    <t>İzlemeyen çok şey kaçırır</t>
  </si>
  <si>
    <t>Wow, last we have something fresh. It looks like very new depictions of Avatar franchise 😀</t>
  </si>
  <si>
    <t>o****8</t>
  </si>
  <si>
    <t>This show has a special place in my heart</t>
  </si>
  <si>
    <t>t****z</t>
  </si>
  <si>
    <t>Merak uyandıran izleyiciyi sabırsızlandıran bir film</t>
  </si>
  <si>
    <t>Harika bir başyapıt kesinlikle izlenmeli izlenmeli ve izlenmeli</t>
  </si>
  <si>
    <t>Nice film</t>
  </si>
  <si>
    <t>Harika çok sürükleyici bir filme benziyor</t>
  </si>
  <si>
    <t>Gerçekten süper harika bir fragman. Bravo</t>
  </si>
  <si>
    <t>Harika bir film olmuş çok başarılı bayıldım</t>
  </si>
  <si>
    <t>Çok güzel bir film olmuş dört gözle bekliyorum.</t>
  </si>
  <si>
    <t>Harika ötesi bir film,herkese tavsiye ederim</t>
  </si>
  <si>
    <t>Muazzammm</t>
  </si>
  <si>
    <t>Film çok güzel</t>
  </si>
  <si>
    <t>u****6</t>
  </si>
  <si>
    <t>Harika❤❤</t>
  </si>
  <si>
    <t>Harika bir film. Herkese izlemeyi tavsiye ederim🎉👍👍👍</t>
  </si>
  <si>
    <t>@netflix, please work on FMA brotherhood as well and Death Note and all other series which were ruined by making into movies 😊 Please bring honour to these stories..</t>
  </si>
  <si>
    <t>Çok iyi çok harika mükemmel ötesi</t>
  </si>
  <si>
    <t>Çok başarılı</t>
  </si>
  <si>
    <t>Mükemmel ötesi yaa ❤❤</t>
  </si>
  <si>
    <t>İzlenmeye değer bir film</t>
  </si>
  <si>
    <t>A great movie to watch with pleasure</t>
  </si>
  <si>
    <t>Simply, Cant wait!</t>
  </si>
  <si>
    <t>j****e</t>
  </si>
  <si>
    <t>İzlerken Kendimi Alamadim Çok Güzel Film 😂</t>
  </si>
  <si>
    <t>Güzel görünüyor 😊❤</t>
  </si>
  <si>
    <t>Mükemmel ❤</t>
  </si>
  <si>
    <t>Bu uzun zamandır gördüğüm en iyi animasyona benziyor 🤤</t>
  </si>
  <si>
    <t>Tarihin en iyi filmlerinden biri. Muhteşem.</t>
  </si>
  <si>
    <t>Good Netflix Avatar The Last Airbender | Official Teaser Good | Netflix</t>
  </si>
  <si>
    <t>Netflix I beg you please stop making live action crap make another season of the same show animated!! That’s what he wanna see not this</t>
  </si>
  <si>
    <t>aang have a old face!!</t>
  </si>
  <si>
    <t>Please tell me they say Aang correctly</t>
  </si>
  <si>
    <t>ITS HORRENDOUS. WTF ARE THOSE</t>
  </si>
  <si>
    <t>❤❤❤❤❤❤❤❤❤❤❤❤❤❤❤❤❤❤❤❤❤❤❤❤❤❤❤❤❤❤❤❤❤❤❤❤❤❤❤ N</t>
  </si>
  <si>
    <t>I am feeling this, but I really wish they would give us avatar roku he he he</t>
  </si>
  <si>
    <t>Looking good so far. Must watch. It would be cool if they do a live action of Kora as well😊😅</t>
  </si>
  <si>
    <t>hopefully not only staying true to the source material but take their time and not rush this like they did with the live action yu yu hakusho</t>
  </si>
  <si>
    <t>Creators leaving put a huge bad omen on the show  especially since it was do to creative directions 😢</t>
  </si>
  <si>
    <t>Aang looks way too young</t>
  </si>
  <si>
    <t>V****s</t>
  </si>
  <si>
    <t>YESSSSSSSS IM CRYIN</t>
  </si>
  <si>
    <t>Please don’t F this up</t>
  </si>
  <si>
    <t>I still love the fact that the first live action was demolished for being a “whitewashed” adaption of an animated tv series where half the characters had blue eyes and was created by 2 white guys</t>
  </si>
  <si>
    <t>I can't wait 🤩🍿</t>
  </si>
  <si>
    <t>sabırsızlıkla bekliyorum en sevdiğim çizgi film milyon kere izledim fragman süper. film gibi tam bir hayal kıkırlığına benzemiyor</t>
  </si>
  <si>
    <t>When aang gets on shadowfax and says 'show us the meaning of haste' literally chills</t>
  </si>
  <si>
    <t>Who is the narrator supposed to be? Is that Roku?</t>
  </si>
  <si>
    <t>Unpopular opinion but it would have been sick if they had created a new avatar for the live-action. Reset expectations and continue the story</t>
  </si>
  <si>
    <t>p****a</t>
  </si>
  <si>
    <t>OMG....The quality is superb...When watching my hair stood up</t>
  </si>
  <si>
    <t>I've had doubts but this looks promising. Will see next month.</t>
  </si>
  <si>
    <t>Can't wait to see aang become the ocean spirit live on the last episode❤</t>
  </si>
  <si>
    <t>Just wait for its release ❤</t>
  </si>
  <si>
    <t>Currently rewatching the OG show on Netflix as we speak. On Book III, watching one of my favorite episodes “𝗧𝗵𝗲 𝗔𝘃𝗮𝘁𝗮𝗿 𝗮𝗻𝗱 𝘁𝗵𝗲 𝗙𝗶𝗿𝗲𝗹𝗼𝗿𝗱". I sincerely hope, as we all do, that this show lives up to all of our expectations. Except M Night Shyamalama</t>
  </si>
  <si>
    <t>The fact that the Original Show Runners quit on this is on it's self a bad start</t>
  </si>
  <si>
    <t>Я надеюсь что не бутдет такаого как в прошлом фильме где маги земли сидели на земле и говорили что они не могут использовать магию земли 😅😅 N</t>
  </si>
  <si>
    <t>t****k</t>
  </si>
  <si>
    <t>It looks REALLY promising in some ways, but... have you seen Sokka and Katara? They're obviously way older, especially Sokka. As I'd like to see more reality of the war like violence and trauma, I can't stand seeing characters to be aged up just to throw in an adult scene... Why!? That's the worst thing you could do to the atla. Bitter and scepticism only.</t>
  </si>
  <si>
    <t>t****l</t>
  </si>
  <si>
    <t>Trailer comes out tomorrow, folks! Get readyy🎉🎉</t>
  </si>
  <si>
    <t>daaaang its so much better than the previous live action</t>
  </si>
  <si>
    <t>After seeing One Piece i got hope......</t>
  </si>
  <si>
    <t>Can’t wait 😊</t>
  </si>
  <si>
    <t>I do not agree with them revealing the Fire Lord's face so early. That was what made the mystery of the big baddie so good that even as a child I too feared the fire lord. 🔥</t>
  </si>
  <si>
    <t>CAN’T WAIT FOR THIS🔥🔥</t>
  </si>
  <si>
    <t>o****e</t>
  </si>
  <si>
    <t>It looks decent enough.</t>
  </si>
  <si>
    <t>Hopefully this one will better then the other garbage movie.</t>
  </si>
  <si>
    <t>It makes my eyes water</t>
  </si>
  <si>
    <t>Is this why they did not do a 3rd animated series of the next avatar.</t>
  </si>
  <si>
    <t>I know I'm probably going to get a serious ton of hate for asking this question, and if so, that's okay, but If you could(heavy emphasis on that word), say one good thing about the live-action film, what would it be? I personally thought the way they did Aang's airbending tattoos was cool as hell.</t>
  </si>
  <si>
    <t>Me constantly reminding myself lord Ozai is the bad guy u can’t find him hot 👀</t>
  </si>
  <si>
    <t>If the movie isn’t over 2 hours long I’ll be scared to watch it</t>
  </si>
  <si>
    <t>Is it just me or this Sokka looks serious. Sokka was charasmatic ,funny and energetic and thats what stood him out.</t>
  </si>
  <si>
    <t>Aang looks like Aang</t>
  </si>
  <si>
    <t>looks awful tbh</t>
  </si>
  <si>
    <t>I really hope this show still has some comedic moments or I’ll be pretty sad. The original really drew me in with how funny it could be but if it was playing it straight, I’d feel like something essential was missing ya know</t>
  </si>
  <si>
    <t>They made zuko so dirty bro</t>
  </si>
  <si>
    <t>This is already better than the last oneLike 10 earthbenders for 1 rock?!?</t>
  </si>
  <si>
    <t>Unless Netflix goes full woke, it's virtually impossible to mess up the live adaptation; considering the source material is already a TV show... literally just recreate it, scene for scene. (not that anyone asked for it)</t>
  </si>
  <si>
    <t>D****o</t>
  </si>
  <si>
    <t>115 is where Aang fight lord Ozai in the grand finale</t>
  </si>
  <si>
    <t>The music alone gives me chills</t>
  </si>
  <si>
    <t>Why does Zuko’s burn scar look like a birth mark? It looked cartoony in the cartoon because it was a cartoon. Here it looks like makeup.</t>
  </si>
  <si>
    <t>fool me once? IDK, I'll still check it out.</t>
  </si>
  <si>
    <t>This looks so good, I have hope for this new adaptation!!!!</t>
  </si>
  <si>
    <t>Directed by N. Morning Nalamayhs</t>
  </si>
  <si>
    <t>I am hyped for this!😁</t>
  </si>
  <si>
    <t>F****5</t>
  </si>
  <si>
    <t>Something’s are meant to be animated… not everything needs to be live action</t>
  </si>
  <si>
    <t>น่าดูมากๆ N</t>
  </si>
  <si>
    <t>W****e</t>
  </si>
  <si>
    <t>Give us the trailer!!</t>
  </si>
  <si>
    <t>I have no idea if this’ll be good or not so I’m choosing to not hold any expectations for it (as much as is possible), but seeing a real person as Aang I can’t help but hear in my head “My name is Ong, I’m the ovetar”</t>
  </si>
  <si>
    <t>e****p</t>
  </si>
  <si>
    <t>Today today, hope they release the main trailer today 🫣🥹😵‍💫🤞</t>
  </si>
  <si>
    <t>Mr Kim is getting into all the franchise'!</t>
  </si>
  <si>
    <t>f****u</t>
  </si>
  <si>
    <t>I wish they won't f*** this up...</t>
  </si>
  <si>
    <t>Umm okay, katara tho 👍🏻😭</t>
  </si>
  <si>
    <t>they better make sokka funny af</t>
  </si>
  <si>
    <t>n****z</t>
  </si>
  <si>
    <t>Yea, maybe that's pretty good, but these actors aren't similar with characters of the original cartoon at all. I think I won't be surprised more by this film, than by those legendary series of that unique in my chindhood cartoon.</t>
  </si>
  <si>
    <t>ГОВНО!!!!!!!!!!!! N</t>
  </si>
  <si>
    <t>I knew it was going to be a disaster once the original creators left due to creative differences and they made sokka the younger one</t>
  </si>
  <si>
    <t>this. actually looks okay ?</t>
  </si>
  <si>
    <t>Mau nangis sumpah bgs bgt😭😭😭</t>
  </si>
  <si>
    <t>where is thopppp?</t>
  </si>
  <si>
    <t>Looks like actual dogshit</t>
  </si>
  <si>
    <t>🌊 🌊 🌊 N</t>
  </si>
  <si>
    <t>This better be good. Don't ruin our childhood with a subpar rendition… hopes are high for this.</t>
  </si>
  <si>
    <t>This is the kind of wacky time-wasting nonsense I've been missing.</t>
  </si>
  <si>
    <t>can't even wait till Feb 22, but I guess we have to. It's exactly how i have dreamt it to be. love it 😍</t>
  </si>
  <si>
    <t>Promising, cant wait to see Toph in next season I guess</t>
  </si>
  <si>
    <t>So far this looks pretty good and it could definitely respect the source material than whatever Shamaylan made in 2010</t>
  </si>
  <si>
    <t>Prince Zuko's eye looks more like punched rather than burnt... Kinda disappointed ngl</t>
  </si>
  <si>
    <t>N****4</t>
  </si>
  <si>
    <t>It's promising. Honnestly I just hope they don't overdo it with the love stories expecially with Sokka the lover...</t>
  </si>
  <si>
    <t>I seen the old series of avatar the last airbender and it was great,I just hope the new series of avatar the last airbender that is coming to Netflix this year will also be great too.</t>
  </si>
  <si>
    <t>This should be a big screen event. It would be amazing if theaters could pic this up for a movie goers experience</t>
  </si>
  <si>
    <t>B****9</t>
  </si>
  <si>
    <t>I h8 that they are allowed to ruin perfectly good shows...</t>
  </si>
  <si>
    <t>Katara is supposed to have blue eyes and so does her brother ... it's NOT THAT hard to get his right .... UGH .... (</t>
  </si>
  <si>
    <t>They should have kept Fire Lord Ozai an unknown mysterious thing just like the original animated series</t>
  </si>
  <si>
    <t>W****o</t>
  </si>
  <si>
    <t>I'm sorry, but this is all wrong here first of all why are Azula and firelord ozai in book 1, one of them should be in book 2 and book 3, second of all sokka doesn’t look like himself though he looks serious like in the movie......There going to copy and paste the same like in the horrible version of the last airbender</t>
  </si>
  <si>
    <t>I have hope for this, actually. Doesn't look too bad but I don't wanna jinx myself like last time</t>
  </si>
  <si>
    <t>R****o</t>
  </si>
  <si>
    <t>What is this😂</t>
  </si>
  <si>
    <t>Nah I got to hear how they pronounce the names then I’ll know 😂</t>
  </si>
  <si>
    <t>S****J</t>
  </si>
  <si>
    <t>Seeing our childhood on the screen this time live is so special man.</t>
  </si>
  <si>
    <t>t****m</t>
  </si>
  <si>
    <t>White water tribe?! Twitter heard imploding in background.</t>
  </si>
  <si>
    <t>Naw I have faith in this one ngl, especially how successful One Piece did and how trash the other live action of this was</t>
  </si>
  <si>
    <t>Is this a dub?</t>
  </si>
  <si>
    <t>WHY DOES IROH LOOK LIKE A 12 YEAR OLD BOY WITH BAD CGI FACIAL HAIR💀💀</t>
  </si>
  <si>
    <t>-****-</t>
  </si>
  <si>
    <t>APPA</t>
  </si>
  <si>
    <t>In all seriousness I have to say that I am highly excited to watch the series</t>
  </si>
  <si>
    <t>Trailer Drops Tomorrow 👊🏽👊🏽👊🏽</t>
  </si>
  <si>
    <t>I hope sokka's joke not disappointed</t>
  </si>
  <si>
    <t>r****r</t>
  </si>
  <si>
    <t>They better not mess this up, a lot of eyes are watching..</t>
  </si>
  <si>
    <t>Casting ❤️❤️❤️</t>
  </si>
  <si>
    <t>Is this season all book 1, 2 and 3 combined or only water?</t>
  </si>
  <si>
    <t>Netflix. Netflix. Netflix. How many times have I said your name? Please, and I mean please from the deepest part of my heart...DO NOT mess this up. No woke garbage, no story alterations or changes. Just good acting, decent cast, and some good martial arts with CGI. DO NOT mess this up. 🙏🏽👊🏾</t>
  </si>
  <si>
    <t>b****d</t>
  </si>
  <si>
    <t>Damn</t>
  </si>
  <si>
    <t>w****G</t>
  </si>
  <si>
    <t>my childhood.</t>
  </si>
  <si>
    <t>Even the logo is a 100</t>
  </si>
  <si>
    <t>cant wait any more</t>
  </si>
  <si>
    <t>ラストemperorみたいw</t>
  </si>
  <si>
    <t>Is this a Nickelodeon film?</t>
  </si>
  <si>
    <t>Am I the only one who noticed that katara is white 😮😤🫠</t>
  </si>
  <si>
    <t>C****a</t>
  </si>
  <si>
    <t>No Toph? Btw the cgi looks worse.</t>
  </si>
  <si>
    <t>enough said</t>
  </si>
  <si>
    <t>D****I</t>
  </si>
  <si>
    <t>Here waiting for the trailer</t>
  </si>
  <si>
    <t>please be good, please be good 😌</t>
  </si>
  <si>
    <t>I will say it but the cast of avatar is much better then one piece's one they took this serie seriously !!!</t>
  </si>
  <si>
    <t>Apaa and Momo omgg</t>
  </si>
  <si>
    <t>Came here looking for some funny comments memeing this shit but it seems like the shit eaters have taken over. Can't even find any comments mentioning the old movie lol</t>
  </si>
  <si>
    <t>Why are they so obsessed with making this a live action should just be animated</t>
  </si>
  <si>
    <t>Shamalanadingdong anyone?</t>
  </si>
  <si>
    <t>APA YEP YEP !! this will be amazing !! good job NETFLIX</t>
  </si>
  <si>
    <t>Better than Disney’s live action remakes?</t>
  </si>
  <si>
    <t>🌊🌊🌊🌊🌊🌊🌊 N</t>
  </si>
  <si>
    <t>This is an amazing comeback after that Mastrosity of a movie this is what the movie should have been and looked like</t>
  </si>
  <si>
    <t>j****l</t>
  </si>
  <si>
    <t>Seems very M Night Shamalan-ey</t>
  </si>
  <si>
    <t>This already looks a thousand times better than the Horrendous Movie they made</t>
  </si>
  <si>
    <t>I cannot WAIT for this. Avatar and Avatar 2 were amazing movies, Cameron is so talented. To see it turned into a TV show is like a dream come true.</t>
  </si>
  <si>
    <t>D****1</t>
  </si>
  <si>
    <t>Booom!!</t>
  </si>
  <si>
    <t>🔥🔥🔥🔥🔥🔥 N</t>
  </si>
  <si>
    <t>I trust netflix to produce this properly. They’ve been leading the industry in breaking conventional norms, which is why the first live action adaptation of Avatar was insulting on multiple levels thus resulting in a flop. I don’t know about y’all but I got some chills!</t>
  </si>
  <si>
    <t>The one question i have is who they have casted to say "my cabbage!!!"</t>
  </si>
  <si>
    <t>Can't wait to see this series adapted to live action for the first time. Ever. Can't believe no one's attempted it until now</t>
  </si>
  <si>
    <t>🎉🎉🎉 N</t>
  </si>
  <si>
    <t>Wow, now everyone are Asians,</t>
  </si>
  <si>
    <t>please don't suck, please don't suck, please don't suck, please don't suck</t>
  </si>
  <si>
    <t>Me.  Gusta</t>
  </si>
  <si>
    <t>I hope this is worth it?? I hope my childhood memories aren’t ruined with this.. I’ll just be optimistic</t>
  </si>
  <si>
    <t>If Netflix cooks again like they did with One Piece...Maybe this show will be good after all</t>
  </si>
  <si>
    <t>If this is a series it gonna be awesome i hope it succeeds like one piece</t>
  </si>
  <si>
    <t>I just came like 6 times</t>
  </si>
  <si>
    <t>S****T</t>
  </si>
  <si>
    <t>Where’s Toph?</t>
  </si>
  <si>
    <t>H****j</t>
  </si>
  <si>
    <t>no blue eyes for the waterbenders (</t>
  </si>
  <si>
    <t>K****a</t>
  </si>
  <si>
    <t>kinda look like shit</t>
  </si>
  <si>
    <t>Please do sokkas sword good if this show makes it that far 😢That was one of my favorite moments</t>
  </si>
  <si>
    <t>Looks great, I think! They have found the feel with it.</t>
  </si>
  <si>
    <t>Ughh now all we need is Yu-Gi-Oh 😍😍</t>
  </si>
  <si>
    <t>o****i</t>
  </si>
  <si>
    <t>It looks fan made but at the same time I'm interested</t>
  </si>
  <si>
    <t>Bikin naruto dong</t>
  </si>
  <si>
    <t>I hope this one redeems the first one.  The first adaptation was one of M.Knights flops films.</t>
  </si>
  <si>
    <t>Why always white?? 😏😏😌😌</t>
  </si>
  <si>
    <t>So excited. Looks great. Keep it real. Can we get an ERAGON REMAKE one day? 😅</t>
  </si>
  <si>
    <t>P****N</t>
  </si>
  <si>
    <t>aight this gonna be fire</t>
  </si>
  <si>
    <t>Sokka having a fulll gloww up 😂😂10/10.. now i understand why many women like him😂</t>
  </si>
  <si>
    <t>a****d</t>
  </si>
  <si>
    <t>AHHHHHHHHHH</t>
  </si>
  <si>
    <t>I'm really excited about it, but where's Toph??? 🤔</t>
  </si>
  <si>
    <t>I really hope this work, because I want to see who gona potray Toph Beifong.</t>
  </si>
  <si>
    <t>Love this</t>
  </si>
  <si>
    <t>Sorry but this looks like shit. Not convinced yet but happy to have my mind changed</t>
  </si>
  <si>
    <t>Why did they change Katara and Soka 😭</t>
  </si>
  <si>
    <t>this it i want the film.thanks U nexflix</t>
  </si>
  <si>
    <t>No forced agenda. No blacks. No gays. No LGBT. Looks like its consistent to the original. IM IN!</t>
  </si>
  <si>
    <t>g****c</t>
  </si>
  <si>
    <t>ZW</t>
  </si>
  <si>
    <t>I thought Sokka and Katara were black characters 😓</t>
  </si>
  <si>
    <t>I had a feeling they were going to ruin it, honestly, whoever was in charge of costume should be fired, they probably should’ve took pointers off of the best show you guys ever produced, which was in my opinion, Marco Polo, whoever designed those costumes should’ve been hired for this movie, apparently in feudal Japan, or at least in that time. Everyone wore clean clothes, and after bottle, their clothes were still clean🤦🏽‍♂️ come on people attention to detail, so sad! But don’t worry I’m sure my six-year-old would love it🙄</t>
  </si>
  <si>
    <t>Okay, I prefer the M.Night Shyamalan version..</t>
  </si>
  <si>
    <t>I was thinking about rewatching the animated series again But then again  I think I'll watch this I like rewatching stuff But this looks next level</t>
  </si>
  <si>
    <t>Anything is better than the movie right..? Right???</t>
  </si>
  <si>
    <t>Disney+ should learn from netflix in making live adaptation, this is so much better, netflix are very good in casting , they really based from original, and the effects are way better with budget, unlike disney+ like the current percy jackson, the casting of characters sucks, the reason why it gets flopped</t>
  </si>
  <si>
    <t>WOW its amazing!</t>
  </si>
  <si>
    <t>Que bella película ❤</t>
  </si>
  <si>
    <t>❤❤❤❤❤❤❤❤❤ EpicHow long we're waiting for The best animation ever And liveaction 🔥🔥🔥🔥🔥🔥🔥🔥🔥</t>
  </si>
  <si>
    <t>u****k</t>
  </si>
  <si>
    <t>Toph is going to be hopefully as Badass as she was in the original. METAL bending.</t>
  </si>
  <si>
    <t>Instead of making live-action remakes of the same first few episodes of the show, why don't they just make a new season of the animated show? I'd rather see new episodes than the same live aciton bs. Theres still plenty of story to tell. I'm so sick of seeing child actors with no charisma or acting skills try to take on these roles. The animated show will always be better.</t>
  </si>
  <si>
    <t>x****b</t>
  </si>
  <si>
    <t>❤❤❤❤😢😢😢😢😭😭😭🔥🔥🔥💯💯💯❤️‍🔥❤️‍🔥❤️‍🔥Thank you Netflix for reliving a childhood we once lived and love Thank you</t>
  </si>
  <si>
    <t>The bending scene is so goooddd</t>
  </si>
  <si>
    <t>I believe Aamg can save the world " I would never turn my back on people that needs me</t>
  </si>
  <si>
    <t>there is no live action movie in ba sing say</t>
  </si>
  <si>
    <t>Это будет сериал или фильм? N</t>
  </si>
  <si>
    <t>Netflix bring the hope, for animation live action</t>
  </si>
  <si>
    <t>Y****n</t>
  </si>
  <si>
    <t>I'll cry 😭 Is just the same as the cartoon</t>
  </si>
  <si>
    <t>I better see a cabbage man cameo</t>
  </si>
  <si>
    <t>V****m</t>
  </si>
  <si>
    <t>I can't wait till this comes out!</t>
  </si>
  <si>
    <t>Looks fantastic. Really hope Netflix doesn’t break my heart.</t>
  </si>
  <si>
    <t>Suss</t>
  </si>
  <si>
    <t>Each scene including character's look replicated from the animated series. I am going to luv it.</t>
  </si>
  <si>
    <t>This is what shadow and bone would have been</t>
  </si>
  <si>
    <t>If this live action goes well do you think they will add more seasons of the avatar last airbender animated show or not?</t>
  </si>
  <si>
    <t>they should have used the same cast from the movie</t>
  </si>
  <si>
    <t>The possible official redemption arc of the live action of atla</t>
  </si>
  <si>
    <t>Esta sería será genial si mantiene su esencia además,avatar fue una anime que no tuvo tantos episodios ósea que se espera que esta serie sea completa 😊</t>
  </si>
  <si>
    <t>They’re going to mint millions from this. MILLIONS</t>
  </si>
  <si>
    <t>Straight away the music , casting and fights seems better than that movie we will not mention .... Only critique now is that anything from Netflix seems to have that super glossy clean look . Particularly on the costumes</t>
  </si>
  <si>
    <t>Azula looks awesome. This is going to break the net when its release. Tybw coming out closely after.</t>
  </si>
  <si>
    <t>I love everything BUT Sokka and Katara supposed to be dark skinned. Like wtf.</t>
  </si>
  <si>
    <t>L****6</t>
  </si>
  <si>
    <t>Please don't take this as rant as it is not intended that way.  Why is it so important that great animation shows/movies be turned in to live action offerings?  Thank you, again, this is not a rant but a legitimate want to understand this.</t>
  </si>
  <si>
    <t>Finally 🥹❤️‍🔥</t>
  </si>
  <si>
    <t>B****5</t>
  </si>
  <si>
    <t>Will toph be in this?!!!</t>
  </si>
  <si>
    <t>“but but Sokka’s white”</t>
  </si>
  <si>
    <t>h****l</t>
  </si>
  <si>
    <t>Pleeeeeeeeease dont suck</t>
  </si>
  <si>
    <t>No Race Swap?</t>
  </si>
  <si>
    <t>Episode 1. “The Last Airbender” - “The Boy in the Iceberg”, “The Avatar Returns”, “The Southern Air Temple” Episode 2. “Warriors” - “The Warriors of Kyoshi”Episode 3. “Omashu” - “The King of Omashu” Episode 4. “Into the Dark”- “Winter Solstice Part 1, “Winter Solstice Part 2” and “Jet” Episode 5. “Spirited Away” - “The Storm”, “The Blue Spirit” Episode 6. “Masks” - “Bato of the Water Tribe”  Episode 7. “The North” - “The Deserter”, “The Northern Air Temple”, “The Water Bending Master”Episode 8. “Legends” - “The Siege of the North, Part 1 &amp; 2 This is what I think when I read the 2024’s Avatar The Last Airbender 8 episodes title.</t>
  </si>
  <si>
    <t>Damn I'm curious on how far they will go with the showing the genocide of the air benders... 😳 (necessary though)</t>
  </si>
  <si>
    <t>Movie or series?</t>
  </si>
  <si>
    <t>I am so happy he choose that uncle iroh!!</t>
  </si>
  <si>
    <t>Wow this actually looks not bad. Consider my attention grabbed.Also Suki got me feeling a certain way tho</t>
  </si>
  <si>
    <t>Night shamlam already stunned us before 15 years</t>
  </si>
  <si>
    <t>A****7</t>
  </si>
  <si>
    <t>EE</t>
  </si>
  <si>
    <t>My PTSD is surfacing..</t>
  </si>
  <si>
    <t>d****d</t>
  </si>
  <si>
    <t>i seriously cant wait to watch it. it already looks awesome and the music really makes it sound more epic. i loved the animated show so when it was announced that a live action series was being made and they were doing it right with appropriate casting, i was really excited and looking forward to watching it. i hope it does well so they can do the other books for multiple seasons.</t>
  </si>
  <si>
    <t>This looks better than the first at least, got my hopes up</t>
  </si>
  <si>
    <t>KereeeeeennnSampai merinding</t>
  </si>
  <si>
    <t>I hope they didnt allow M.Night anywhere near this series</t>
  </si>
  <si>
    <t>CH</t>
  </si>
  <si>
    <t>Coming back to this - the transition in themes at 050 always gives me chills</t>
  </si>
  <si>
    <t>This gonna be a flop.. naruto should have hair.. wtf happen to sasuke lost half of his hair..</t>
  </si>
  <si>
    <t>I can't help myself... Sokka and Katara look so .... ugly?</t>
  </si>
  <si>
    <t>SE</t>
  </si>
  <si>
    <t>POWWWWEEEEERRRR, first One Piece now Avatar with an amazing cast! Hell yeah.</t>
  </si>
  <si>
    <t>Hopefully Netflix learned from their One Piece adaptation.</t>
  </si>
  <si>
    <t>i home its not just the teaser</t>
  </si>
  <si>
    <t>Please be good!</t>
  </si>
  <si>
    <t>p****x</t>
  </si>
  <si>
    <t>God, if you can hear me...Please let this be the excellent adaptation...</t>
  </si>
  <si>
    <t>🎉 023 N</t>
  </si>
  <si>
    <t>!!! N</t>
  </si>
  <si>
    <t>Wow❤❤❤❤</t>
  </si>
  <si>
    <t>Amazingggg</t>
  </si>
  <si>
    <t>103 Is that Azula?</t>
  </si>
  <si>
    <t>I don't know why nobody finds the real-life Aang with that thing on his forehead funny as hell 😂</t>
  </si>
  <si>
    <t>And Why the one Piece not using movie elements like this? One Piece need like this effect.....</t>
  </si>
  <si>
    <t>r****c</t>
  </si>
  <si>
    <t>At last, some did what we expected, I've been heart crushed before, Netflix please don't hurt us. just one thing was it necessary to make Katara and Sokka white?</t>
  </si>
  <si>
    <t>Omfg..finally the perfect adaptation(hopefully)</t>
  </si>
  <si>
    <t>Hama bloodbending</t>
  </si>
  <si>
    <t>h****R</t>
  </si>
  <si>
    <t>Hmmm "suspicious" "one eyebrow up"</t>
  </si>
  <si>
    <t>Netflix came to save us</t>
  </si>
  <si>
    <t>In Netflix we Trust</t>
  </si>
  <si>
    <t>Buy jujutsu kaisen franchise</t>
  </si>
  <si>
    <t>It's amazing❤🔥💯💯💯</t>
  </si>
  <si>
    <t>Lack of live action  DragonBall z Kai the knights of the zodiac dragon cave Naruto</t>
  </si>
  <si>
    <t>I love Appa and Momo! 😊</t>
  </si>
  <si>
    <t>Kengan ashura Esperamos este principio de año la segunda parte de la segunda temporada de kengan ashura</t>
  </si>
  <si>
    <t>x****9</t>
  </si>
  <si>
    <t>Thanks Netflix.</t>
  </si>
  <si>
    <t>Why were the comments turned off on the official trailer though? 😢</t>
  </si>
  <si>
    <t>it’s such a small detail but I am hyperfixating on the fact that blue contacts would make katara and sokka pop so much in the water kingdom color scheme</t>
  </si>
  <si>
    <t>Can't wait.  Looks fantastic.</t>
  </si>
  <si>
    <t>Momo = sonic</t>
  </si>
  <si>
    <t>Please be like the one piece live action please be like the one piece live action</t>
  </si>
  <si>
    <t>Fail actors</t>
  </si>
  <si>
    <t>The elements actually look realistic here! As long as they don’t change the story. I am so very excited.</t>
  </si>
  <si>
    <t>z****r</t>
  </si>
  <si>
    <t>Netflix porque não   apareceu um o silver do Sonic prime na terceira temporada</t>
  </si>
  <si>
    <t>Looks great!</t>
  </si>
  <si>
    <t>That's how it's done!</t>
  </si>
  <si>
    <t>Omg it's real!! I'm crying 😭</t>
  </si>
  <si>
    <t>who knows why Netflix closed the comments under the of. trailer ATLA?)</t>
  </si>
  <si>
    <t>B****A</t>
  </si>
  <si>
    <t>Americans pov on asians when they do the casting is only koreans,chinese,japanese. Basically all the cat eyed asians only</t>
  </si>
  <si>
    <t>It looks like a  game  but  I waiting for it</t>
  </si>
  <si>
    <t>Looks too serious. The original Avatar is so lighthearted yet wonderful. I don't understand why people claim to like this new version.</t>
  </si>
  <si>
    <t>If Cabbage man won't be here, this is all for naught.</t>
  </si>
  <si>
    <t>They should have ended this trailer with cabbage man, imagine the hype!!!</t>
  </si>
  <si>
    <t>Спасибо, что без негров.. N</t>
  </si>
  <si>
    <t>No more racewashing of the original race and ethnicity of the character.</t>
  </si>
  <si>
    <t>T****x</t>
  </si>
  <si>
    <t>I hope they won't change the classic opening</t>
  </si>
  <si>
    <t>I can’t wait for this to get cancelled after 1 season!</t>
  </si>
  <si>
    <t>Alright Netflix. i see you.... i see you! Gonna just put this on my "list to watch". ..... anddddd...... done.</t>
  </si>
  <si>
    <t>wheres Toph?</t>
  </si>
  <si>
    <t>I'm not sure this can be made better than M Shamylan bwahahaha</t>
  </si>
  <si>
    <t>Y****i</t>
  </si>
  <si>
    <t>this looks freaking amazing</t>
  </si>
  <si>
    <t>Netflix, you don't own this, so don't tale credit</t>
  </si>
  <si>
    <t>I want to br excited but last time i was M Knightshambustah shitted on my feelings with his ONG adaptation bullcrap</t>
  </si>
  <si>
    <t>why not in 4k?</t>
  </si>
  <si>
    <t>уродство N</t>
  </si>
  <si>
    <t>m****o</t>
  </si>
  <si>
    <t>This looks shitty. That's not how Katara  and Sokka look like.</t>
  </si>
  <si>
    <t>I****9</t>
  </si>
  <si>
    <t>finaly a trailer that doesn't show all the movie</t>
  </si>
  <si>
    <t>At last China is making copy of name avatar😂</t>
  </si>
  <si>
    <t>Will there be mr. cabbage?</t>
  </si>
  <si>
    <t>Im crying</t>
  </si>
  <si>
    <t>y****h</t>
  </si>
  <si>
    <t>Didn't this movie come out in 2010?   Lol</t>
  </si>
  <si>
    <t>Can't wait for this!!</t>
  </si>
  <si>
    <t>Very nice 👌</t>
  </si>
  <si>
    <t>😡 kazí mi jen dobrý seriál, který miluji.</t>
  </si>
  <si>
    <t>I’m not crying, I’m not crying… I’m crying</t>
  </si>
  <si>
    <t>No one needs a effing remake. Just continue from KORRA. Jesus Christ.</t>
  </si>
  <si>
    <t>Finally some GOOD BENDING 🔥 💦  💨 🪨 So hyped 😻</t>
  </si>
  <si>
    <t>Stop saying netflix one piece was good. It wasnt.</t>
  </si>
  <si>
    <t>I'm dissapointed their friend Toph is not here she's my favorite 😢</t>
  </si>
  <si>
    <t>🎉🎯🌎👁️🙏🎙️💯😍🕯️🪝💝 N</t>
  </si>
  <si>
    <t>s****a</t>
  </si>
  <si>
    <t>Brothers and sisters we gather here, long VERY long overdue. The last airbender will get its due. Netflix better not fail us.</t>
  </si>
  <si>
    <t>i just realised the producers made a mistake in making the assault on the air temple at night. Firebenders draw their power from the sun/get powered up by comet, waterbenders get powered up by the moon/night. In this situation the fire nation attacked when they were weakest against fully powered air benders.</t>
  </si>
  <si>
    <t>K****q</t>
  </si>
  <si>
    <t>If nothing else, this should at least be eye candy</t>
  </si>
  <si>
    <t>OH YEAH!!!!!! I GOT A GOOD FEELING ABOUT THIS ONE BOYS!!!🔥🔥🔥🔥🔥</t>
  </si>
  <si>
    <t>I tear bended during the trailer</t>
  </si>
  <si>
    <t>So excited!!!!</t>
  </si>
  <si>
    <t>I'm willing to give this a try, but if it takes 5 Earth Benders to move a rock the size of a watermelon in the show, I'm leaving.</t>
  </si>
  <si>
    <t>My name.. is Ong.</t>
  </si>
  <si>
    <t>I****i</t>
  </si>
  <si>
    <t>kapattığım üyeliğimi yeniden açabilirm sırf bu dizi için</t>
  </si>
  <si>
    <t>Good film 🎉🎉🎉🎉 real</t>
  </si>
  <si>
    <t>PL</t>
  </si>
  <si>
    <t>am horny rn 😂</t>
  </si>
  <si>
    <t>I wonder has creators of Avatar- the last airbender inspired by Vietnamese myth Sơn Tinh – Thủy Tinh</t>
  </si>
  <si>
    <t>My name is ONG!</t>
  </si>
  <si>
    <t>… no god… not this again</t>
  </si>
  <si>
    <t>Netflix has so much budget. Im glad its a series and not a movie. You cannot fit the whole series into a movie theres not way.I want Netflix to continue Into the Badlands for just one more season to give the series a closure.</t>
  </si>
  <si>
    <t>I LOVE the shot of Azula with the flames reflected in her eyes. 😍</t>
  </si>
  <si>
    <t>E****9</t>
  </si>
  <si>
    <t>This is an apology video from the previous movie. And I accept it. Just this trailer is already better than the movie</t>
  </si>
  <si>
    <t>🤍🤍🤍 N</t>
  </si>
  <si>
    <t>🤍 N</t>
  </si>
  <si>
    <t>Looks like shit</t>
  </si>
  <si>
    <t>I love how this already have 20M views. We really are excited.</t>
  </si>
  <si>
    <t>Avatar the last Airbender is one of the greatest Nickelodeon shows. This looks amazing too</t>
  </si>
  <si>
    <t>The SOUNDTRACK YALL 🔥🔥🔥</t>
  </si>
  <si>
    <t>Выглядит многообещающе)))) N</t>
  </si>
  <si>
    <t>tch, my man sokka didn't trim sides, disappointed. it's very simple, 1mm. Losing an iconic cartoon characters already</t>
  </si>
  <si>
    <t>should have select Sokka actor that willing to trim sides, Hollywood kid is disappointment</t>
  </si>
  <si>
    <t>also Sokka and Katara is Inuit dark skinned native reference, they really do reverse Velma bring up white people into everything</t>
  </si>
  <si>
    <t>Jeez, dark skinned waterbender is reference to Inuit indigenous people native in arctic, this is a simple stuff that get past Netflix, as always. They don't learn anything from 2010 live action 4/10. I don't see passion by the production team if they can't even force Sokka actor to trim sides into 1mm.</t>
  </si>
  <si>
    <t>if you ever watch Avatar Aang, Sokka is comical characters. I can expect a laugh just looking at the character, this live action looks like he is sub characters from Twilight. It's a mockery to the CGI people that did great job and work hard for this. Trim your sides, Sokka actor, you are showing disrespect to the original characters by accepting the role, how hard is 1mm side trim.</t>
  </si>
  <si>
    <t>Please don't let One Piece be a fluke!🤞🤞🤞🤞🤞🤞🤞</t>
  </si>
  <si>
    <t>I might even subscribe back to netflix just for this</t>
  </si>
  <si>
    <t>dan they got his name wrong its ong not ang smh</t>
  </si>
  <si>
    <t>I wonder if we would this series if m night didn’t f it up… I’m glad he did Netflix killing it</t>
  </si>
  <si>
    <t>N****7</t>
  </si>
  <si>
    <t>with their experience with one piece... netflix get it right this time!</t>
  </si>
  <si>
    <t>@animated.artificial</t>
  </si>
  <si>
    <t>a****l</t>
  </si>
  <si>
    <t>We are gonna enjoy avatar storys once again from 2024 to 2027 our childhood Will be back on track 😊</t>
  </si>
  <si>
    <t>This looks good. I'm hopeful. 😁</t>
  </si>
  <si>
    <t>Here comes my favorite guy at 115... he's so cute... Momo</t>
  </si>
  <si>
    <t>👏 👏 N</t>
  </si>
  <si>
    <t>Nice teaser</t>
  </si>
  <si>
    <t>Gercekten felaket bir sey mutlaka izleyim</t>
  </si>
  <si>
    <t>Bunu söylemek için erken ama  uzun zamandir gördüğüm en iyi animasyon</t>
  </si>
  <si>
    <t>Süper</t>
  </si>
  <si>
    <t>انه جميل جدا وممتع ❤اتمنى باضافته N</t>
  </si>
  <si>
    <t>Very good …</t>
  </si>
  <si>
    <t>m****x</t>
  </si>
  <si>
    <t>Finally a  new</t>
  </si>
  <si>
    <t>I am so excited for this series, cant wait to watch.</t>
  </si>
  <si>
    <t>Avatar</t>
  </si>
  <si>
    <t>I can't believe it, it's really a beautiful animation❤❤</t>
  </si>
  <si>
    <t>Güzel bir dovüş filmi cok güzell</t>
  </si>
  <si>
    <t>Çok beğendiğim ve severek izledim hafika</t>
  </si>
  <si>
    <t>I can’t wait 😮</t>
  </si>
  <si>
    <t>Harika Bi flim olmus  izlenmeye değer fazlasıyla❤</t>
  </si>
  <si>
    <t>Fragmanı çok başarılı buldum izlerkende keyif alıcağıma inanıyorum</t>
  </si>
  <si>
    <t>s****-</t>
  </si>
  <si>
    <t>Merakla bekliyorum  güzel bir fragman tam benim kalemim</t>
  </si>
  <si>
    <t>G****z</t>
  </si>
  <si>
    <t>Çok güzel olmuş ellerinize sağlık</t>
  </si>
  <si>
    <t>very good scene</t>
  </si>
  <si>
    <t>Çok beğendim mükemmel😊</t>
  </si>
  <si>
    <t>e****d</t>
  </si>
  <si>
    <t>Muhteşem kesinlikle izlenlesi lazım</t>
  </si>
  <si>
    <t>Mükemmel bir yapım harika</t>
  </si>
  <si>
    <t>Güzel bir dovüş filmi harika bir film</t>
  </si>
  <si>
    <t>Çok güzel</t>
  </si>
  <si>
    <t>Güzel bir dövüş filmi</t>
  </si>
  <si>
    <t>Çok güzel bir filim gibi gözüküyor. Filimi izleye bilmek için çok sabırsızlanıyorum, gerçekten netflixs'e çok teşekkür ederim. ❤🎉</t>
  </si>
  <si>
    <t>Sürekliyici harika bir flim tavsiye ederim</t>
  </si>
  <si>
    <t>Çok güzel bir filim Daha önce animasyon versiyonunu izleşiştim çok keyifli</t>
  </si>
  <si>
    <t>Harika çok güzel olmuş🤙</t>
  </si>
  <si>
    <t>Güzel bir film izlemeye değer</t>
  </si>
  <si>
    <t>Heyecanla izlemeyi bekliyorum  sıkılmadan günlerce izleyebileceğim tek şey</t>
  </si>
  <si>
    <t>z****8</t>
  </si>
  <si>
    <t>Muhteşem bir film</t>
  </si>
  <si>
    <t>Merakla bekliyorum</t>
  </si>
  <si>
    <t>Animasyon olarak izlemeye başladığım bu serinin devamını izlemek için sabırsızlanıyorum.</t>
  </si>
  <si>
    <t>Güzel bir film emeği geçen herkese teşekkür</t>
  </si>
  <si>
    <t>Nihayet insana benzeyen avatar filmini izleyebileceğiz…</t>
  </si>
  <si>
    <t>Finally the adaptation we’ve always been waiting for</t>
  </si>
  <si>
    <t>Cnbc de animasyonu izlerdim filmi de başarılı son derece</t>
  </si>
  <si>
    <t>❤🎉🎉❤🎉❤🎉 N</t>
  </si>
  <si>
    <t>Güzel</t>
  </si>
  <si>
    <t>Superb film very nice scenes</t>
  </si>
  <si>
    <t>Harika bir animasyon olmuş heyecanla bekliyoruz</t>
  </si>
  <si>
    <t>Mükemmel bir video</t>
  </si>
  <si>
    <t>Etkileyici, manzaralara hayran kaldım</t>
  </si>
  <si>
    <t>Çok beğendim çok güzel bir film izlemeye devam edeceğim</t>
  </si>
  <si>
    <t>Avatarın son filmi efekt ve görsel olarak efsane</t>
  </si>
  <si>
    <t>Çok etkileyici ve sürükleyici bir film kesinlikle izlemelisiniz 🎉🎉❤❤</t>
  </si>
  <si>
    <t>Film gerçekten güzel avatar filmi muhteşem olmuş tafsiye ederim</t>
  </si>
  <si>
    <t>Film 10/10. Keşke şimdi dizisini de yapsalar, beklemedeyiz</t>
  </si>
  <si>
    <t>super otesi bir film</t>
  </si>
  <si>
    <t>Herkesin izlemesi gereken bir film tek kelime ile harika ⭐⭐⭐⭐⭐</t>
  </si>
  <si>
    <t>It looks great.Amazing effects 👍</t>
  </si>
  <si>
    <t>Harika bir film çok beğendim</t>
  </si>
  <si>
    <t>❤❤❤❤😮😮😮😮😮 N</t>
  </si>
  <si>
    <t>Manzara ve oyunculuk harika herkese izlemeyi öneriyorum</t>
  </si>
  <si>
    <t>Mükemmel</t>
  </si>
  <si>
    <t>F****v</t>
  </si>
  <si>
    <t>Efsane</t>
  </si>
  <si>
    <t>Süper otesi</t>
  </si>
  <si>
    <t>Görsel efektler ve konusu harika görünüyor</t>
  </si>
  <si>
    <t>Beğendim</t>
  </si>
  <si>
    <t>Harika bir sahne en iyi film</t>
  </si>
  <si>
    <t>Muazzam olmuş daha iyisi olamaz</t>
  </si>
  <si>
    <t>Hayretler içinde izledim çok güzel film</t>
  </si>
  <si>
    <t>H****u</t>
  </si>
  <si>
    <t>Güzel izleme deger</t>
  </si>
  <si>
    <t>En sevdiğim filmler arasında aksiyon ve kungfu karate filmleri mükemmel tavsiye ederim</t>
  </si>
  <si>
    <t>Serinin devamını merakla bekliyorum 👍</t>
  </si>
  <si>
    <t>Harika ❤❤❤ tavsiye ederim</t>
  </si>
  <si>
    <t>G****1</t>
  </si>
  <si>
    <t>Wheres Toph?</t>
  </si>
  <si>
    <t>İnanılmaz</t>
  </si>
  <si>
    <t>I cant wait to see it</t>
  </si>
  <si>
    <t>Думаю, это фильм в моём вкусе N</t>
  </si>
  <si>
    <t>It has pretty good graphics</t>
  </si>
  <si>
    <t>heyecanla bekliyoruz acaba neler olacak ❤❤</t>
  </si>
  <si>
    <t>l****r</t>
  </si>
  <si>
    <t>Bunu mutlaka izlemeliyiz gerçek bir profosyonel yapıma benziyor 😊</t>
  </si>
  <si>
    <t>Çok güzel mukemmel</t>
  </si>
  <si>
    <t>Efektler harika</t>
  </si>
  <si>
    <t>Fantastik bir yapıma benziyor heyecanla bekleyeceğim</t>
  </si>
  <si>
    <t>Mukkemmel fragman</t>
  </si>
  <si>
    <t>Harika bir filim</t>
  </si>
  <si>
    <t>Katara should be black</t>
  </si>
  <si>
    <t>Heyecan verici. İzlemek için sabırsızlanıyorum 🎉</t>
  </si>
  <si>
    <t>The movie was so good, please Netflix don't rune it</t>
  </si>
  <si>
    <t>k****r</t>
  </si>
  <si>
    <t>Film çok güzeldi 🎉</t>
  </si>
  <si>
    <t>❤bence harika bir dizi.</t>
  </si>
  <si>
    <t>Süper çok beğendim</t>
  </si>
  <si>
    <t>Please.. don't mess this up. I'm super excited 🥹</t>
  </si>
  <si>
    <t>R****k</t>
  </si>
  <si>
    <t>Awesome 🎉❤</t>
  </si>
  <si>
    <t>Seeing all these season 1 episodes re-imagined Its phenomenal</t>
  </si>
  <si>
    <t>It will be super cringe with cool visual effects as always.</t>
  </si>
  <si>
    <t>2/22 Remember who you are guys. Remember...</t>
  </si>
  <si>
    <t>🔥🔥🔥🔥🔥🔥🔥 N</t>
  </si>
  <si>
    <t>They got the soundtrack right at least.</t>
  </si>
  <si>
    <t>002 I really wanna see the effect of sizing comet on fire benders in this movie</t>
  </si>
  <si>
    <t>Поебота зверская N</t>
  </si>
  <si>
    <t>They nailed it with One Piece, I hope this will be equally good</t>
  </si>
  <si>
    <t>looks disgusting</t>
  </si>
  <si>
    <t>C de la merde</t>
  </si>
  <si>
    <t>The fact that some of the cast from the movie “The Last Airbender” are in this live action remake makes me SO EXCITED because those actors were great (even though the storyline was mid). I have high expectations for this</t>
  </si>
  <si>
    <t>I’m just hoping the bending isn’t as atrocious lmao (among other things) as with the live action movie. Excited to give it a chance.</t>
  </si>
  <si>
    <t>S****p</t>
  </si>
  <si>
    <t>Guys you did it i am 🥹 Zuko is badass 🤯 why is so few views?</t>
  </si>
  <si>
    <t>they made the anime neflix series worse. you didnt have to make another</t>
  </si>
  <si>
    <t>O****o</t>
  </si>
  <si>
    <t>i pray we do NOT have our childhoods destroyed again, hahahahahaha...</t>
  </si>
  <si>
    <t>Booooo</t>
  </si>
  <si>
    <t>movie or series?</t>
  </si>
  <si>
    <t>N****t</t>
  </si>
  <si>
    <t>Cleopatra has black skin so why is Aang white. Apparently Netflix is bored with political correctness</t>
  </si>
  <si>
    <t>b****k</t>
  </si>
  <si>
    <t>and im not hyped anymore fckn woke shit again</t>
  </si>
  <si>
    <t>I had no idea the original creators left because they knew the show was going to be a disaster and had no creative control. I am so sick and tired of these modern creators ruining every beloved IP in the west. I seriously thought Netflix learned its lesson with one piece live action. But nope. Another “modern audience” disaster incoming.</t>
  </si>
  <si>
    <t>Los de Netflix después del éxito de One Piece "¿Que cosa? Así que para que a la gente le guste un live action tenemos que ser lo más fiel posible hacia la historia original.. quién lo diría.. aun que.. no estaría mal si Toph es negra no?? Ya que no hay ninguna pelirroja a cual cambiar por una negra.."</t>
  </si>
  <si>
    <t>Love it so alike of the animation avatar !! 😲👍</t>
  </si>
  <si>
    <t>Beklentilerimi aşan bir yapımdı izlemenizi şiddetle öneririm</t>
  </si>
  <si>
    <t>Harika Bi filim mükemmel</t>
  </si>
  <si>
    <t>Harika film</t>
  </si>
  <si>
    <t>Çok süper!</t>
  </si>
  <si>
    <t>B****N</t>
  </si>
  <si>
    <t>Beklentilerinin. Üzerinde bir film ve harika görünüyor</t>
  </si>
  <si>
    <t>Güzel bir olmuş. Bol zamınızda izleyin</t>
  </si>
  <si>
    <t>çok iyi</t>
  </si>
  <si>
    <t>Gercekten çok güzel</t>
  </si>
  <si>
    <t>M****q</t>
  </si>
  <si>
    <t>çocukluğumun filmini tekrar çekmeleri mükemmel olmuş ♥</t>
  </si>
  <si>
    <t>Harika</t>
  </si>
  <si>
    <t>izlenmesi gereken film lerden bir tanesi</t>
  </si>
  <si>
    <t>K****1</t>
  </si>
  <si>
    <t>Çok iyi bir film izlemiştim izlemenizi tavsiye ederim</t>
  </si>
  <si>
    <t>Harika bir film oturup tekrar tekrar izledim</t>
  </si>
  <si>
    <t>Bu eski avatardan daha kapsamlı ve içerik olarak baya güzel olacak</t>
  </si>
  <si>
    <t>Çok güzel bir çalışma olmuş, herkese izlemesini tavsiye ederim.</t>
  </si>
  <si>
    <t>Harika bir film olmuş</t>
  </si>
  <si>
    <t>eğlence</t>
  </si>
  <si>
    <t>Gerçek ten beklenilmesi gereken bir senaryo olmuş</t>
  </si>
  <si>
    <t>Hayatımda izlediğim en iyi filmlerden birisi buydu</t>
  </si>
  <si>
    <t>İzlemeniz tavsiye edilir</t>
  </si>
  <si>
    <t>e****i</t>
  </si>
  <si>
    <t>Başarılı</t>
  </si>
  <si>
    <t>Cok akıcı bir film</t>
  </si>
  <si>
    <t>Fragmanı beğendim netfilix'in bu işi basaracagina eminim</t>
  </si>
  <si>
    <t>Günlerdir bu filimi bekliyordum izledim herkese tavsiye ederim ❤</t>
  </si>
  <si>
    <t>D****O</t>
  </si>
  <si>
    <t>Çok güzel bir filme benziyor ve yapacaklar umarım 🎉</t>
  </si>
  <si>
    <t>Bu filim vok güzel izlemeniz gerek</t>
  </si>
  <si>
    <t>Çok etkileyici ve  heyecanlı</t>
  </si>
  <si>
    <t>Her an merak konusu mükemmel bir film izlemek için sabırsızlanıyorum</t>
  </si>
  <si>
    <t>Bunu izlemek çok ama çok keyifliydi.</t>
  </si>
  <si>
    <t>Çok beğendim güzeldi</t>
  </si>
  <si>
    <t>Gayet güzel ve başarılı Kesinlikle izlemenizi tavsiye ederim</t>
  </si>
  <si>
    <t>Yayınlanmasını bekliyoruz artık 😊</t>
  </si>
  <si>
    <t>Sabırsızlıkla bekliyorum 👍</t>
  </si>
  <si>
    <t>Netflix aracılığıyla dört gözle o günü bekliyorum 🎉</t>
  </si>
  <si>
    <t>Çok güzel bir film</t>
  </si>
  <si>
    <t>bu film çok güzel şiddetle tavsiye ediyorum</t>
  </si>
  <si>
    <t>Bu film aşırı eğlenceli bir film tavsiye ediyorum ailecek izlenecek bir film</t>
  </si>
  <si>
    <t>R****m</t>
  </si>
  <si>
    <t>Çok güzel ve surukleyici</t>
  </si>
  <si>
    <t>Harika ve çok güzel çok başarılı olmuş💯💯✅✅</t>
  </si>
  <si>
    <t>Harika ve çok güzel olmuş çok başarılı 💯💯✅✅ 1</t>
  </si>
  <si>
    <t>Çok güzel olmuş elinize sağlık</t>
  </si>
  <si>
    <t>Son zamanlarda izledigim surukleyici ve heyacan dolu en iyi film</t>
  </si>
  <si>
    <t>Çok güzel bir film kesinlikle izlemelisin</t>
  </si>
  <si>
    <t>Mükemmel ötesi olcak gibi duruyor bire bir avatar 😊😊</t>
  </si>
  <si>
    <t>فيلم جميل ويستحق المشاهده أنصح به N</t>
  </si>
  <si>
    <t>Çok güzel bir film bu</t>
  </si>
  <si>
    <t>Tam anlamıyla mükemmeldi çok güzel</t>
  </si>
  <si>
    <t>İt was really nice we missed and</t>
  </si>
  <si>
    <t>Ben hiç bu kadar keyif almadım almamıştım herkese izlemesini tavsiye ederim çok keyif alacaksınız bu filimden eminim iyi seyirler şimdi den 🤩</t>
  </si>
  <si>
    <t>G****p</t>
  </si>
  <si>
    <t>İzlemek için sabırsızlanıyorum çok iyi bir film olacağına eminim 👏</t>
  </si>
  <si>
    <t>110 "Whatever it takes"</t>
  </si>
  <si>
    <t>045 kalite akıyor</t>
  </si>
  <si>
    <t>Şu ana kadar izlediğim en iyi filmler arasında🎉</t>
  </si>
  <si>
    <t>İzlemeye değer.</t>
  </si>
  <si>
    <t>Harika bir film izledim ❤</t>
  </si>
  <si>
    <t>V****a</t>
  </si>
  <si>
    <t>Harika bir film tavsiye ederim</t>
  </si>
  <si>
    <t>Muhteşem film</t>
  </si>
  <si>
    <t>Kesin izlemelisiniz</t>
  </si>
  <si>
    <t>Harika❤</t>
  </si>
  <si>
    <t>Tekrar izleyeceğim</t>
  </si>
  <si>
    <t>Süper diziymiş</t>
  </si>
  <si>
    <t>Tavsiye edilecek dizi herkese tavsiye ederim</t>
  </si>
  <si>
    <t>Harikadir❤🎉</t>
  </si>
  <si>
    <t>Güzel❤</t>
  </si>
  <si>
    <t>İzlediğim ilginç bir film kurgulaması güzel tavsiye ederim. devam filmi içinde ucu açık...</t>
  </si>
  <si>
    <t>güzel film</t>
  </si>
  <si>
    <t>Çok mükemmel</t>
  </si>
  <si>
    <t>Mükemmel ötesi bir film . İzlerken her bir dakikası ayrı eğlenceli❤</t>
  </si>
  <si>
    <t>Mükemmel bir fragman olmuş sabırsızlıkla bekliyorum ❤</t>
  </si>
  <si>
    <t>Sürükleyici izleyin.</t>
  </si>
  <si>
    <t>The redemption arc hopefully begins.</t>
  </si>
  <si>
    <t>hope will be good</t>
  </si>
  <si>
    <t>The best</t>
  </si>
  <si>
    <t>K****T</t>
  </si>
  <si>
    <t>Harika bir filim sabırsızlıkla bekliyorum😊</t>
  </si>
  <si>
    <t>Çok beğendim</t>
  </si>
  <si>
    <t>Film gerçekten çok güzel herkese tavsiye ederim sabırsızlıkla bekliyorum</t>
  </si>
  <si>
    <t>Güzel bir filme benziyor, bekliyorum 🎉🎉</t>
  </si>
  <si>
    <t>123455556789092229 JESUS</t>
  </si>
  <si>
    <t>i'm really curious for the azula actress. i really want to know if she is able to represent the azula from the cartoon</t>
  </si>
  <si>
    <t>CO</t>
  </si>
  <si>
    <t>Amazing</t>
  </si>
  <si>
    <t>My 2005 avatar squad! where you at?</t>
  </si>
  <si>
    <t>Yeah what a shame y'all are removing fundamental parts of characters just to be woke.</t>
  </si>
  <si>
    <t>Wast of time⌚⌚</t>
  </si>
  <si>
    <t>S****i</t>
  </si>
  <si>
    <t>Very good</t>
  </si>
  <si>
    <t>Shit people behind this didnt folow the creators vision!</t>
  </si>
  <si>
    <t>d****h</t>
  </si>
  <si>
    <t>19 days left yupi</t>
  </si>
  <si>
    <t>Z****q</t>
  </si>
  <si>
    <t>I keep rewatching this and tearing up as soon as that iconic soundtrack kicks in. Bro im so excited.</t>
  </si>
  <si>
    <t>Cant wait to see team Azula.</t>
  </si>
  <si>
    <t>This sucks ass just don’t make it</t>
  </si>
  <si>
    <t>Dont change Sokka's character please. He was always sarcastic and a bit misogynist BUT his character development is what we like to see! Not to mention Tsuki legit teaches him to respect women so now her character intro wont make ANY SENSE. Stop being scared to keep not perfect charcters in shows and movies! 🙄😪</t>
  </si>
  <si>
    <t>Hopefully this is better than the horrible other live action film</t>
  </si>
  <si>
    <t>Guzel flim izlemenizi tavsiye ederim</t>
  </si>
  <si>
    <t>Gayet iyi bir yapım</t>
  </si>
  <si>
    <t>❤ N</t>
  </si>
  <si>
    <t>⭐️⭐️⭐️⭐️⭐️ harikasa</t>
  </si>
  <si>
    <t>merabalar iyi seyirler bende izledim tavsiye ederim</t>
  </si>
  <si>
    <t>h****m</t>
  </si>
  <si>
    <t>Avatar filmini çok seviyorum zaten fragmanı ilgimi çekti</t>
  </si>
  <si>
    <t>Çocukluğumdan beri avatarın üstünde bir dizi görmedim muhteşem🤩🤩🤩</t>
  </si>
  <si>
    <t>Çok iyi mükemmel</t>
  </si>
  <si>
    <t>o****k</t>
  </si>
  <si>
    <t>bu filim dunyayın bir numaralı filmi bence binimle ayni fikre sahip olan kimir</t>
  </si>
  <si>
    <t>Avatar serisini çok seviyorum bu filmde de gayet güzel bir iş çıkarmışlar</t>
  </si>
  <si>
    <t>Çok ilginç ve güxell film ixleyinnn😍</t>
  </si>
  <si>
    <t>Muhteşem</t>
  </si>
  <si>
    <t>şahane🎉beklediğim film yakında izlenebilir olucak.❤</t>
  </si>
  <si>
    <t>İyi film</t>
  </si>
  <si>
    <t>f****p</t>
  </si>
  <si>
    <t>Mükemmel ötesi 😮😮</t>
  </si>
  <si>
    <t>Çok güzel ! 👍</t>
  </si>
  <si>
    <t>An absolutely amazing science fiction movie. I would recommend it to everyone. For people of all ages to watch.Kesinlikle muhteşem bir bilim kurgu filmi. Herkese tavsiye ederim. Her yaştan insanın izlemesi için.</t>
  </si>
  <si>
    <t>Mutlaka izlemelisinoz ))</t>
  </si>
  <si>
    <t>netflixin yayınladığı nadir kaliteli içeriklerden biri düşünmeden izlemeye başlayabilirsiniz çok güzel</t>
  </si>
  <si>
    <t>Bu kadar iyi olacağını sanmıyordum çok beğendim 🥰</t>
  </si>
  <si>
    <t>Çok heyecanlı bir filmdi çok beğendim</t>
  </si>
  <si>
    <t>K****b</t>
  </si>
  <si>
    <t>I like it</t>
  </si>
  <si>
    <t>On numara film</t>
  </si>
  <si>
    <t>Severek izlediğim bir yapıt herkesin eline sağlık</t>
  </si>
  <si>
    <t>I****q</t>
  </si>
  <si>
    <t>Mükemmel bir film izlemek için sabırsızlanıyorum</t>
  </si>
  <si>
    <t>Umarım ilk filmi kadar sürükleyici olur</t>
  </si>
  <si>
    <t>Harika filim</t>
  </si>
  <si>
    <t>Çok güzel, çok hoşuma gitti</t>
  </si>
  <si>
    <t>Manzarası çok güzel ve komik olacağını umuyorum 🎉</t>
  </si>
  <si>
    <t>z****5</t>
  </si>
  <si>
    <t>Bu filimi bütün çocuklar begeneceyini eminim mutlaka her çocuk izlemeli</t>
  </si>
  <si>
    <t>Çok iyi aksiyon filmi aksiyon sevenler bunu kesinlikle izlesin</t>
  </si>
  <si>
    <t>uzun zamandır bekliyoduk sonundaa</t>
  </si>
  <si>
    <t>Harika bir film</t>
  </si>
  <si>
    <t>Bu seri en sevdiğim seri harikalar ötesi izlenir heycanla</t>
  </si>
  <si>
    <t>Süper film çok heyecanlı bol aksiyon</t>
  </si>
  <si>
    <t>S****c</t>
  </si>
  <si>
    <t>Serinin devamini bekliyorum cok guzel harika ❤</t>
  </si>
  <si>
    <t>Beğenerek izledim teşekkürler 😊</t>
  </si>
  <si>
    <t>Herşeyin başı ve sonu</t>
  </si>
  <si>
    <t>Harika olmuş ❤</t>
  </si>
  <si>
    <t>Ne zamandan beri böle güzel bir film bekliyordum 🎉🎉</t>
  </si>
  <si>
    <t>TAM ANLAMIYLA MÜKEMMMEELL</t>
  </si>
  <si>
    <t>Çok güzel bir şey olmuş tebrikler</t>
  </si>
  <si>
    <t>The first avatar movie was definitely better. This is no good.</t>
  </si>
  <si>
    <t>Filim iyi izlemenizi tavsiye ederim</t>
  </si>
  <si>
    <t>k****m</t>
  </si>
  <si>
    <t>Film çok güzel. Ben çok beğendim. Harika.</t>
  </si>
  <si>
    <t>Of be filmin güzelliğine bak</t>
  </si>
  <si>
    <t>I felt that excitement in the movie to my peak.</t>
  </si>
  <si>
    <t>Gördüğüm en sağlıklı ve en akıcı animasyon</t>
  </si>
  <si>
    <t>Nice Film!</t>
  </si>
  <si>
    <t>I AM A SURGEON! I AM A SURGEON FIRE LORD OZAI!!!</t>
  </si>
  <si>
    <t>Why is soaka do light skin and cute ?</t>
  </si>
  <si>
    <t>1****D</t>
  </si>
  <si>
    <t>Is it gonna be a series or a movie?</t>
  </si>
  <si>
    <t>Beklenenin üstünde bir teaser olmuş harika</t>
  </si>
  <si>
    <t>Eagerly waiting ❤❤❤</t>
  </si>
  <si>
    <t>But who will make a film about me The Last Penisbender</t>
  </si>
  <si>
    <t>Daha önce görülmemiş derecede fantastik bir film olacak gibi duruyor cidden bunu Netflix hesabımda izlemek için listeme ekledim</t>
  </si>
  <si>
    <t>Thanks god they didnt Aang african</t>
  </si>
  <si>
    <t>I swear ther continuing an abandoned version... That footage of soka is so familiar it's like I know him and that footage of Katara I have too but only from the back and the front looks new... Could be tripping due to just realising while writing this that he looks similar to the film version... Still, it's annoying me lol... Anyone else think they might know what I'm talking about lol ✌️🤞👍</t>
  </si>
  <si>
    <t>kinda look forward to it, but kinda bit let down.. Aang is supposed to be playful, mischievous, and a bit naughty. this Aang looks too nice and a bit quiet.</t>
  </si>
  <si>
    <t>0****3</t>
  </si>
  <si>
    <t>Man this is going to be the biggest thing Netflix's done since Squid Game.</t>
  </si>
  <si>
    <t>Yo no lo quiero yo lo necesito para vivir</t>
  </si>
  <si>
    <t>Now THAT is Bending. Hopefully this'll do the show some daang justice.</t>
  </si>
  <si>
    <t>h****d</t>
  </si>
  <si>
    <t>DISLIKE  Bring back Sokka</t>
  </si>
  <si>
    <t>I hope they do kitara 's last fight justice.</t>
  </si>
  <si>
    <t>중국과 일본을 짬뽕해놨네...뭐지..그쪽 자본들 들어간건가?? N</t>
  </si>
  <si>
    <t>Azula eye movement only is killing it!!! damn she good</t>
  </si>
  <si>
    <t>The production value seems pretty high but I'm nit sure how they'll make it work with a politically corrected Sokka and a serious Aang</t>
  </si>
  <si>
    <t>4****4</t>
  </si>
  <si>
    <t>This looks awful 😢</t>
  </si>
  <si>
    <t>This better be actually good</t>
  </si>
  <si>
    <t>2****z</t>
  </si>
  <si>
    <t>Te estaré esperando</t>
  </si>
  <si>
    <t>Been waiting so long for this! that movie that came out years ago disrespected the show’s reputation. REDEMPTION IS HERE!! 😭</t>
  </si>
  <si>
    <t>Everything looks amazing! I can’t wait!! I hate to say katana is the only one out of place( but I’m sure she would portray katana as the best as we all hoped and wished for! First movie made was garbage</t>
  </si>
  <si>
    <t>A****w</t>
  </si>
  <si>
    <t>the movie they made COULD have been good, iif they hadn't gotten M. Knight Shamalamadingdong to direct it.</t>
  </si>
  <si>
    <t>Please take my eyes away😵😵😵</t>
  </si>
  <si>
    <t>C****0</t>
  </si>
  <si>
    <t>yes Yes .. OH GOD YES!</t>
  </si>
  <si>
    <t>Not a bad job at all with one piece…This looks way better!</t>
  </si>
  <si>
    <t>Ahhhh so excited 😍😍</t>
  </si>
  <si>
    <t>Let's genuinely hope they won't screw it up</t>
  </si>
  <si>
    <t>ts looks ass</t>
  </si>
  <si>
    <t>Better then the other kid</t>
  </si>
  <si>
    <t>This one is way better (they failed on the first one)</t>
  </si>
  <si>
    <t>My name is Oong 😅😂</t>
  </si>
  <si>
    <t>So will it be 3 season or 4 1 for each element ? Just curious</t>
  </si>
  <si>
    <t>This looks way better. The 2010 version was like the episode where they watched themselves being played by the worst possible actors for their character. I’m excited to watch this one.</t>
  </si>
  <si>
    <t>I can’t fucken wait</t>
  </si>
  <si>
    <t>PUTANG INAAAAA!!!!!!!!!!!! My favorite series. I'm about to cry.</t>
  </si>
  <si>
    <t>028 - 049  “Water. Earth. Fire. Air. “</t>
  </si>
  <si>
    <t>5****e</t>
  </si>
  <si>
    <t>Is it a movie or a serie with several seasons like the animation?</t>
  </si>
  <si>
    <t>Oh god no.Nothing, NOTHING, will beat the original 2005 series</t>
  </si>
  <si>
    <t>It  looks like 10 times better than the last adaptation, but they don`t get the eyes right. Blue eyes on Water tribe, Green on Earth , Brown on Fire and Gray for Air. Maybe lenses or smth, at least the looks are on spot with the asian cast.</t>
  </si>
  <si>
    <t>this kinda crap</t>
  </si>
  <si>
    <t>the show is so so better</t>
  </si>
  <si>
    <t>Better than the Airbender Movie which was horrible.</t>
  </si>
  <si>
    <t>It can't be a bigger turd than the M. Niggt Shamwow one.</t>
  </si>
  <si>
    <t>💜 N</t>
  </si>
  <si>
    <t>e****I</t>
  </si>
  <si>
    <t>Mükemmel ötesi olmuş çıktığı anda izleyeceğim 👏👏</t>
  </si>
  <si>
    <t>1.16 Aangin gülümsemesi çok sevimli 😊</t>
  </si>
  <si>
    <t>Woww</t>
  </si>
  <si>
    <t>Müthiş bir filim kesinlikle izlenmeli</t>
  </si>
  <si>
    <t>İzlemeye değer</t>
  </si>
  <si>
    <t>Tam anlamıyla harika</t>
  </si>
  <si>
    <t>Macera heyecan hepsi bır arada tavsıye ederım</t>
  </si>
  <si>
    <t>İzlediğim en olağanüstü filimlerden di</t>
  </si>
  <si>
    <t>❤ 🎉🎉🎉 N</t>
  </si>
  <si>
    <t>Aangis smile is so 😊🎉🎉🎉</t>
  </si>
  <si>
    <t>Muhteşem bir film 😅🎉</t>
  </si>
  <si>
    <t>Sürükleyici bir film.</t>
  </si>
  <si>
    <t>Büyük hikaye büyük işler gerektirir. Netflix hakkını vermiş gibi duruyor.🎉🎉</t>
  </si>
  <si>
    <t>L****1</t>
  </si>
  <si>
    <t>Bu çok güzel görünüyor, Yeni uyarlamadan umudum var.</t>
  </si>
  <si>
    <t>Film mükemmeldi herkese tavsiye ederim</t>
  </si>
  <si>
    <t>Efsane müthiş bir aksiyonlu film izlemeye değer</t>
  </si>
  <si>
    <t>Bu filmin cıkmasını dört gözle bekliyorum fragmanı bile harika görünüyor netflix yine harika ⭐</t>
  </si>
  <si>
    <t>çok sevdim sabırsızlanıyorum izlemek için</t>
  </si>
  <si>
    <t>Avatar serisini çok begeniyorum devamını bekliyorum</t>
  </si>
  <si>
    <t>Herkes mutlaka izlemeli çok iyiii</t>
  </si>
  <si>
    <t>Çok iyi film dört gözle bekliyorum</t>
  </si>
  <si>
    <t>Efsanenin çok iyi bir gösterisi</t>
  </si>
  <si>
    <t>Very very nice filmm superrr👍</t>
  </si>
  <si>
    <t>Fragman etkileyiciydi. İzlemeye değer. Beğendim. 👏🏻</t>
  </si>
  <si>
    <t>Harika yapılmış bir film</t>
  </si>
  <si>
    <t>Çocukluk kahramanım avatar arkadaşlarla izlemek için gün sayıyoruz</t>
  </si>
  <si>
    <t>Herkes izlemeli</t>
  </si>
  <si>
    <t>h****i</t>
  </si>
  <si>
    <t>Let's see how it goes 👇</t>
  </si>
  <si>
    <t>İ like this movie</t>
  </si>
  <si>
    <t>Beatufil  the musibet alone gives me chillis❤</t>
  </si>
  <si>
    <t>Hadi izleyelim bakalim</t>
  </si>
  <si>
    <t>Mükemmel fantastik bir film olmus tebrikler</t>
  </si>
  <si>
    <t>This is what i was waiting for🥳🥳🥳 finally a proper live action adaptation🙌🙌🙌</t>
  </si>
  <si>
    <t>It's a great movie, I recommend it to everyone.</t>
  </si>
  <si>
    <t>Çocukluğum aklıma geldi.. Mutlaka izleyeceğim. Gelmiş geçmiş en iyi film</t>
  </si>
  <si>
    <t>Bu bir efsane. Mutlaka izlenecekler arasında yer alacak bir film.</t>
  </si>
  <si>
    <t>süper</t>
  </si>
  <si>
    <t>Netflix Avatar filmi merakl ve heyecanla beklemekteyim.</t>
  </si>
  <si>
    <t>Kaliteli</t>
  </si>
  <si>
    <t>Çok iyi film harika</t>
  </si>
  <si>
    <t>Avatar is really an interesting movie. It's interesting that you can control water, fire and wind￼</t>
  </si>
  <si>
    <t>Bu gercekten iyidir izlemek lazim aslinda</t>
  </si>
  <si>
    <t>Tebrikler güzel bir çalışma olmuş tavsiye ederim</t>
  </si>
  <si>
    <t>İzleyin, izlettirin daha iyisi yok bence</t>
  </si>
  <si>
    <t>Kesin izlenmesi gereken filmler</t>
  </si>
  <si>
    <t>Film efsane bir şey kesinlikle herkesi izlemesini tavsiye ederim</t>
  </si>
  <si>
    <t>Süper 🎉</t>
  </si>
  <si>
    <t>Mükemmel kalite 🎉</t>
  </si>
  <si>
    <t>It was a very good movie, the graphics and sound were great.🔥🔥🔥</t>
  </si>
  <si>
    <t>Çok güzel bir film izleyeceğim</t>
  </si>
  <si>
    <t>Nie</t>
  </si>
  <si>
    <t>Mükemmel kaliteli 🎉</t>
  </si>
  <si>
    <t>Sürükleyici iyiki Netflix var ))</t>
  </si>
  <si>
    <t>Flim güzel ve sesleri çok eğlenceli geliyor bayıldım biraz korkutucu ama iyi baya</t>
  </si>
  <si>
    <t>Süper izlemeye değer.. tavsiye ederim</t>
  </si>
  <si>
    <t>Süper film 👏👏👏</t>
  </si>
  <si>
    <t>Çok güzel görünüyor iyi seyirler</t>
  </si>
  <si>
    <t>My favorite character since childhood is the avatar perfect movie</t>
  </si>
  <si>
    <t>Defalarca kez izlesem sikilmiyacagim güzel bir film ❤❤</t>
  </si>
  <si>
    <t>K****o</t>
  </si>
  <si>
    <t>The best movie I've ever seen in my life, I definitely recommend you watch it.</t>
  </si>
  <si>
    <t>Hey Netflix can you guys make the legend of korra live action, please</t>
  </si>
  <si>
    <t>Why Katara and Sokka is white?</t>
  </si>
  <si>
    <t>Güzel film gerçekten beğendim</t>
  </si>
  <si>
    <t>Gayet çok güzel bir flim sinema da ayrı güzel</t>
  </si>
  <si>
    <t>Mükemmel bir film</t>
  </si>
  <si>
    <t>Aksiyonlarla dolu güzel bir filim izlemeye değer ben begendim</t>
  </si>
  <si>
    <t>İzlemek için sabırsızlandığım filmlerden biri sabırsızlıkla bekliyorum</t>
  </si>
  <si>
    <t>I liked it very good 👍</t>
  </si>
  <si>
    <t>Beklenilen fragman geldi kaçırmayın</t>
  </si>
  <si>
    <t>Harika bir senaryo</t>
  </si>
  <si>
    <t>Fragman çok güzel olmuş. Sürükleyici bir film olduğunu düşünüyorum.</t>
  </si>
  <si>
    <t>Küçükken cizgiflimi çok izlerdim çok sarardı flimide öyle sarıyor izlemenizi tafsiye ederim</t>
  </si>
  <si>
    <t>Ailecek izlenecek filmler çok gzl fragman lar</t>
  </si>
  <si>
    <t>Fragmanı bile filmin çok iiyi olcagina garanti veriyor</t>
  </si>
  <si>
    <t>My type of moves so excited 😆</t>
  </si>
  <si>
    <t>n****l</t>
  </si>
  <si>
    <t>Çok iyi güzel bir filim❤❤❤</t>
  </si>
  <si>
    <t>Fragman çok güzel iznecek bir film</t>
  </si>
  <si>
    <t>Yeni serisini sabırsızlıkla bekliyordum sonunda çıktı</t>
  </si>
  <si>
    <t>Sürükleyici bir film bu adamlar bu işi biliyor kesinlikle tavsiye ederim***</t>
  </si>
  <si>
    <t>SİNEMADA DEV KADRO İLE DEV PROJE ANCA BOYLE GUZEL OLUR 😮🎉</t>
  </si>
  <si>
    <t>U****0</t>
  </si>
  <si>
    <t>Filmi bekliyorum baya hoşuma gitti sanki gerçek hayatta yaşıyor gibi sürükleyici film 😊</t>
  </si>
  <si>
    <t>Vay canına mükemmel bir filme benziyor</t>
  </si>
  <si>
    <t>Gerçekten çok bağlayıcı güzel bir film</t>
  </si>
  <si>
    <t>Beğendim izlemeye değer</t>
  </si>
  <si>
    <t>Çocukluğumun çizgi filmiydi. Filimleri apayri süper çok beğeniyorum. Hepsi sürükleyici</t>
  </si>
  <si>
    <t>Seyretmeye değecek bir film mutlaka seyredin.</t>
  </si>
  <si>
    <t>Bayılırım böyle heyacanları filmlere</t>
  </si>
  <si>
    <t>Netflix ve filim harika</t>
  </si>
  <si>
    <t>R****c</t>
  </si>
  <si>
    <t>Şimdiye kadar buzul ve avatar filmlerinden daha iyi ve sabırsızlıkla izleyeceğim</t>
  </si>
  <si>
    <t>Efsane bir film küçüklüğümden beri bilirim ki aynı zamanda yapımcıları da efsane netfixte izlemek için sabırsızlanıyorum</t>
  </si>
  <si>
    <t>Yıllardı bu filmi izlerim gerçekten her seferinde aynı heyecan ve keyifle izliyorum harika bir film ve tarzıma uygun oldunu söylemeden geçemeyecem .</t>
  </si>
  <si>
    <t>😢😢 N</t>
  </si>
  <si>
    <t>Gerçekten muhteşem olmuş tebrik ederim</t>
  </si>
  <si>
    <t>Fragman gayet iyi izlenecekler sırasında</t>
  </si>
  <si>
    <t>Gerçekten harika görünüyor ve müzik de güzel</t>
  </si>
  <si>
    <t>A****M</t>
  </si>
  <si>
    <t>Bu tür filmler muhteşemin üst düzeyinde izleyenler anlar 💯</t>
  </si>
  <si>
    <t>Böyle bir film yok acayip akıcı nefes kesici insan takılınca takılıp kalıyor</t>
  </si>
  <si>
    <t>Mükemmel film hiç kaçırmam 😊</t>
  </si>
  <si>
    <t>Film çok güzel görünüyor,kesinlikle izlemem gerek.</t>
  </si>
  <si>
    <t>Vvvb</t>
  </si>
  <si>
    <t>Cok eğlenceli mutlaka favorilerime ekleyecegim</t>
  </si>
  <si>
    <t>Güzel bir çalışma olduğu kanaatindeyim</t>
  </si>
  <si>
    <t>Muhteşem bir filim kaçırmayın derim</t>
  </si>
  <si>
    <t>Çok eylenceli ve aksiyon dolu güzel filim</t>
  </si>
  <si>
    <t>Tek kelimeyle muhteşem</t>
  </si>
  <si>
    <t>Çok güzel bi film defalarca kez izledim</t>
  </si>
  <si>
    <t>Çok güzel bi film</t>
  </si>
  <si>
    <t>Düşündüğümden çok daha güzel ve cezbedici bir tanıtım olmuş 👏</t>
  </si>
  <si>
    <t>U****s</t>
  </si>
  <si>
    <t>Kesinlikle önerilir</t>
  </si>
  <si>
    <t>Çok güzel film benziyor ilk işim bu filmi izlemek</t>
  </si>
  <si>
    <t>Çok iyi film böylesi yok tavsiye edilir</t>
  </si>
  <si>
    <t>h****5</t>
  </si>
  <si>
    <t>Omg finally can’t wait to watch this!!!</t>
  </si>
  <si>
    <t>If you can bend gravity you can bend time🤯</t>
  </si>
  <si>
    <t>Gördügüm en iyi animasyon filmi</t>
  </si>
  <si>
    <t>kjafsjlkjsaskjlfjk</t>
  </si>
  <si>
    <t>Film aşırı iyi herkese tavsiye ederim</t>
  </si>
  <si>
    <t>Efsane film kesinlikle izlemenizi tavsiye ederim 🔥🔥🔥</t>
  </si>
  <si>
    <t>Bu fragman bir efsaneee çok beğendim</t>
  </si>
  <si>
    <t>We sure Aang ain't a trans girl?</t>
  </si>
  <si>
    <t>Bleh I still think that u shouldn’t mess with perfection. Why can’t you just leave the animated series as it is??  This is like completely remaking Lord of the Rings. Totally stupid. You hit gold the first time, you’ll most likely just taint its reputation if you try to do it again. They’re only doing it for money.</t>
  </si>
  <si>
    <t>Катара и Азула - максимально кринжовые актрисы . Азула вобще какая-то жирная ьлядина . Катара до той красотки из мульта совсем не дотягивает N</t>
  </si>
  <si>
    <t>Görüntü ve ses açısından mükemmel bir film olmus</t>
  </si>
  <si>
    <t>u****u</t>
  </si>
  <si>
    <t>Please put it on the big screen so it reaches more audiences</t>
  </si>
  <si>
    <t>A****t</t>
  </si>
  <si>
    <t>Apa look skinny</t>
  </si>
  <si>
    <t>k****x</t>
  </si>
  <si>
    <t>Just wacth part 2 of this get cancelled</t>
  </si>
  <si>
    <t>Finally !!!!!!!!!!!!!!!!</t>
  </si>
  <si>
    <t>Hopefully it succeeds unlike the last live action one</t>
  </si>
  <si>
    <t>Man it’s like a childhood dream come true, and because the trailer itself is better than the previous movie, I’m really hyped</t>
  </si>
  <si>
    <t>Keren abis ❤</t>
  </si>
  <si>
    <t>last 2 days guys</t>
  </si>
  <si>
    <t>Please, be good...</t>
  </si>
  <si>
    <t>T****l</t>
  </si>
  <si>
    <t>MY FAVORITE SHOW EVER! I really hope thi isn't like the other one lol! I also hope its true to the story of the show because that is such a good story. Also I don't really think the characters look very similar to the animated series but hopefully they'll play the parts very well THSI IS GONNA BE AWESOME</t>
  </si>
  <si>
    <t>APPA YIP YIP 👹</t>
  </si>
  <si>
    <t>Better than blue avatar</t>
  </si>
  <si>
    <t>I mean it’s better than the M night I guess but I couldn’t get passed the first episode after gran-gran explained the animated version’s intro. Pacing feels a bit rushed and the cgi is kinda choppy.  😢 live action avatar 0-2 for me</t>
  </si>
  <si>
    <t>Hintli orospu çocuğu nun piç ettiği film.</t>
  </si>
  <si>
    <t>im sad seeing aang is not funnywhy so serious, aang is not really that of a full pledged monk. at least yet</t>
  </si>
  <si>
    <t>Well it is disappointing</t>
  </si>
  <si>
    <t>It’s okay.</t>
  </si>
  <si>
    <t>This show sucks. They changed everything. Waste of time.</t>
  </si>
  <si>
    <t>Yes good job. I love it</t>
  </si>
  <si>
    <t>Just watched it on Netflix…. it is AWESOME!! 🎉</t>
  </si>
  <si>
    <t>Best series ever❤</t>
  </si>
  <si>
    <t>F****T</t>
  </si>
  <si>
    <t>Quit making this garbage stuff live action</t>
  </si>
  <si>
    <t>I NEED THIS MUSIC</t>
  </si>
  <si>
    <t>I think the show was really and the view and the pictures are beautiful of the scenery of the show and stuff and the actors and actresses were really well good as well as a look like</t>
  </si>
  <si>
    <t>This is so good. Love it watched 2 episodes will finish the rest tomorrow.  Watched them after work. ❤ Great job.</t>
  </si>
  <si>
    <t>This is how you give Avatar the last Airbender 2010 the biggest middle finger. Just watched it today 10/10 👏</t>
  </si>
  <si>
    <t>Katara needs to step up with the acting in season 2, vfx is amazing, moves too! I didn’t feel the chemistry between the main cast but loved the visuals</t>
  </si>
  <si>
    <t>Instersting movie 🤔</t>
  </si>
  <si>
    <t>جامد. ❤ N</t>
  </si>
  <si>
    <t>S2 ?</t>
  </si>
  <si>
    <t>Chi-na</t>
  </si>
  <si>
    <t>SA</t>
  </si>
  <si>
    <t>I just finished watching the series and there's only one thing that's bothering me. THE LACK OF EMOTION AND EXPRESSION IN SOME ACTOR'S FACES AND BODY MOVEMENT. Everything is absolutely great, from the effects, especially on their bending, it's way way waaaaayyy more better than that of the movie. Zuko and Sokka I think made justice in their characters, I am not sure about Aang and Katara, especially Katara (sorry girl). I think she lacks facial and body expression, in all episodes I feel like I am watching an actor that is reading (literally) a script. Same goes to Aang, he's not a bad actor but not that great either, but his presence is shouting Aang so that's a great point I guess. whenever they are in serious dialogue, I can feel from their body movement the awkwardness and lack of emotions. BUT OVERALL THIS ADAPTATION DESERVES A SECOND SEASON, IT DESERVES TO FINISH TILL THE FINAL CHAPTER!! NETFLIX DON'T YOU DARE CANCEL THIS!!!!</t>
  </si>
  <si>
    <t>IT WAS GOOD IT WASN'T PERFECT 7/10</t>
  </si>
  <si>
    <t>Again they messed up, no sense of humor and they changed stuff. Leave it how it was. Aang isn’t funny here or care free. They put aang to be serious and always looking worried 😒. Don’t even care to finish watching it.</t>
  </si>
  <si>
    <t>this seriiieeesss is epiccc</t>
  </si>
  <si>
    <t>I'm already afraid of watching NETFLIX series, as Netflix has a habit of canceling many TV shows after one season.So, I'm going to wait a few years to see if the 2nd and 3rd seasons come out, and only then will I watch them.</t>
  </si>
  <si>
    <t>1000 times better than that M. shamalamadingdong nonsense !!!So sad I've finished season one already 😭😭😭</t>
  </si>
  <si>
    <t>That movie was better 😬</t>
  </si>
  <si>
    <t>I love it! airbenders can command air from your lungs to leave or create a vacuum within the body.</t>
  </si>
  <si>
    <t>It’s rough buddy 🥲</t>
  </si>
  <si>
    <t>I'll take m knight shayamalalan hostage if you dont continue this</t>
  </si>
  <si>
    <t>K****0</t>
  </si>
  <si>
    <t>Spoiler alert don’t get your hopes up.</t>
  </si>
  <si>
    <t>This movie is a disappointment</t>
  </si>
  <si>
    <t>Need more actions, but its good</t>
  </si>
  <si>
    <t>Çok başarılı bir yapım olmuş başarılarınızın devamını dilerim</t>
  </si>
  <si>
    <t>Wooow good.</t>
  </si>
  <si>
    <t>Bayildimmmm😂😂❤️</t>
  </si>
  <si>
    <t>d****u</t>
  </si>
  <si>
    <t>Flim güzel burdaki flimleri gerçekten çok etkileyici buluyorum Super</t>
  </si>
  <si>
    <t>Güzel bir film olmuş beğendim mutlaka izleyin ve paylaşın</t>
  </si>
  <si>
    <t>İzlediğim bilim kurgu filmleri içinde en başarılı yapım bu</t>
  </si>
  <si>
    <t>Çok iyi bir filim</t>
  </si>
  <si>
    <t>❤Bükme kısmı var mı?</t>
  </si>
  <si>
    <t>It's "Aang" Finally, not "Ong" 👍🏻</t>
  </si>
  <si>
    <t>👏👏 N</t>
  </si>
  <si>
    <t>orjinal anime çizgi filmini tüm bölümlerini izlemiş biri olarak hiç tatmin olmadım filmden..çok yavaş aksiyonu olmayan bir film..konular çok basit işlenmiş.. çok daha başarılı olması lazımdı.. umarım toprak ve ateş bölümleri daha güzel olur..</t>
  </si>
  <si>
    <t>Esrarengiz bir başlangıç olmuş 👏👏👏</t>
  </si>
  <si>
    <t>This movie may be the best movie of the Avatar series. Awesome movie</t>
  </si>
  <si>
    <t>En sevdiğim filim yeni serinin çıkmasına çok sevindim</t>
  </si>
  <si>
    <t>super series ❤❤</t>
  </si>
  <si>
    <t>Neftlixde olması çok iyi ve keyifli</t>
  </si>
  <si>
    <t>Cok guzel cocuklugumun filmi ben keyifle izledim ❤❤</t>
  </si>
  <si>
    <t>Güzel bir film</t>
  </si>
  <si>
    <t>Çok iyi güzel hoş muhteşem</t>
  </si>
  <si>
    <t>Looking good. But why does azula and zuko looks so different from the original. They had long face and sharp look, while here zuko looks like an older ang</t>
  </si>
  <si>
    <t>Bitiful efsane filin kesin izle ha garsaş</t>
  </si>
  <si>
    <t>Avatarın tüm serileri arasında en iyi uyarlanan  filmi olduğunu söyleyebilirim</t>
  </si>
  <si>
    <t>So basically just heard the inducted gay beliefs In The movie whether subtle or not I’m tired of Hollywood trying impose there homophobic beliefs on us man I got kids bro I want to enjoy the shit I enjoyed I but damn can’t even watch live action without them asking questions like why is ZUKO kissing Ang</t>
  </si>
  <si>
    <t>The streak continues...</t>
  </si>
  <si>
    <t>DO NOT LET SHAMALALA DINGDONG RUIN THIS STAY TRUE TO THE ORIGINAL</t>
  </si>
  <si>
    <t>Çok güzel film tavsiye ederim</t>
  </si>
  <si>
    <t>Where can i watch i can't find it can you help me</t>
  </si>
  <si>
    <t>Just started it now! its great so far... (never saw the movie) absolutely loved ATLA as a child watching it on Nickelodeon. Now I'm 27 so far think the casting is great. Everyone from the different nations are all from the races that they represented, which Ithink is fantastic. My childhood anime/cartoon crush was katara mean she doesn't really look the same. Don't get me wrong the actress is cute but she doesn't look the same (and yes I'm comparing drawings to real life people) so don't 'at me'! Oh and Iroh was always my favorite</t>
  </si>
  <si>
    <t>Niceingwn</t>
  </si>
  <si>
    <t>Even the trailer is fascinating 🤩</t>
  </si>
  <si>
    <t>The nostalgia pandering is real. Write something original.</t>
  </si>
  <si>
    <t>Obviously low budget, look at the beard on Danny Pudi.  😂😆🤣 Lmao I couldnt stop laughing</t>
  </si>
  <si>
    <t>Thank You Netflix this serie is so magnific,  please confirm season 2!!! 😫</t>
  </si>
  <si>
    <t>Bells were ringing in our heads for anyone who grew up watching the animated series.</t>
  </si>
  <si>
    <t>L****3</t>
  </si>
  <si>
    <t>The best show I seen them all highly recommended 👏</t>
  </si>
  <si>
    <t>Phenomenal work so good loved it 🔥🔥🔥🔥🔥🔥</t>
  </si>
  <si>
    <t>Spoiler Im very happy when i heard "My cabbages!" in omashu. That was so satisfying 😂🥰</t>
  </si>
  <si>
    <t>FAT MAI LOL🤣🤣🤣🤣 WORST CHARACTER EVER</t>
  </si>
  <si>
    <t>Where is the kiss scene</t>
  </si>
  <si>
    <t>this show was so bad bro why is he called an avatar when he cant master the 4 elements</t>
  </si>
  <si>
    <t>Z****4</t>
  </si>
  <si>
    <t>Maybe one day I’ll get why there needs to be “live-action remakes”, but today is not that day</t>
  </si>
  <si>
    <t>film TAIK</t>
  </si>
  <si>
    <t>My expectations was this, and I got what i want</t>
  </si>
  <si>
    <t>N****g</t>
  </si>
  <si>
    <t>Next prt waiting 🥺</t>
  </si>
  <si>
    <t>This is a series not to leave home.  Spectacular!</t>
  </si>
  <si>
    <t>g****e</t>
  </si>
  <si>
    <t>Se ve fenomenal no me la perderé 😍😍😍👏🏼👏🏼👏🏼👏🏼👏🏼</t>
  </si>
  <si>
    <t>Amazing, definitely met and surpassed expectations really a masterpiece, thank you for this series. Can't wait for next season, the episodes flew by fast. ❤️</t>
  </si>
  <si>
    <t>U****2</t>
  </si>
  <si>
    <t>ITS TRASH. The first episode is so disappointing. Literally just watch the whole animated series &amp; Kora &amp; call it a day.Unless your standards are low &amp; you are into modern, terrible 2024 shows, wack dialogue &amp; lots of special effects, then this shitty show will be for you! 🙂 If you are desperate &amp; have low standards, then you might find enjoyment from 9 hours of the episodes.I’m told I shouldn’t compare this t.v series to the animated version, but it’s so hard when 50% of the dialogue is RIPPED FROM THE ANIMATED VERSION. Nothing will ever compare to or touch how much I loved the avatar animated series &amp; The Legend of Kora. They were so well done &amp; so easy to get into ❤️ I had higher hopes for this show, and I’m glad I watched the first episode, but I would literally rather do anything else that watch this PIECE OF GARBAGE that was produced. The only hype they have is THE NAME. Everything else about it is cringe, corny and not my cup of tea</t>
  </si>
  <si>
    <t>It’s really great but can we get movie on new episodes or latter part of the story coz I hv seen this same part in different versions and now I am kind of tired and memorised all the scenes 😅</t>
  </si>
  <si>
    <t>Noah Ringer punching the air right now☠️☠️😭😭🤣🤣</t>
  </si>
  <si>
    <t>This show was a big disappointment.After watching the original series and the legend of korra multiple times and being a big fan of the anime Netflix just couldn't help themselves to put their woke ideologies into the show. Do not watch this crap, watch the cartoon first and make your own judgement.</t>
  </si>
  <si>
    <t>1st season watched, I really like hopefully the next ones are going to be good too🎉 The only problem is that you should make the characters less serious and let them be more goofy as the original because not everything needs to be that serious.</t>
  </si>
  <si>
    <t>Remembered the legend❤</t>
  </si>
  <si>
    <t>I liked as a avatar series’ animations and comic books fan</t>
  </si>
  <si>
    <t>Finish watching. I don't know but I'm kinda dissappointed on the last episode. I actually waited to see Aang do some amazing actions but still did'nt see until the end. The movie sucks but I remember to have goosebump on the last scene where he manage to do waterbending. Did not have that feeling into netflix adaptation.</t>
  </si>
  <si>
    <t>Category</t>
  </si>
  <si>
    <t>Sentiment</t>
  </si>
  <si>
    <t>Channel Date</t>
  </si>
  <si>
    <t>Updated</t>
  </si>
  <si>
    <t>Published</t>
  </si>
  <si>
    <t>Full Country</t>
  </si>
  <si>
    <t>Country</t>
  </si>
  <si>
    <t>Replies</t>
  </si>
  <si>
    <t>Likes</t>
  </si>
  <si>
    <t>Cleaned Text</t>
  </si>
  <si>
    <t>Text</t>
  </si>
  <si>
    <t>User</t>
  </si>
  <si>
    <t>abandon</t>
  </si>
  <si>
    <t>abandoned</t>
  </si>
  <si>
    <t>abandons</t>
  </si>
  <si>
    <t>abducted</t>
  </si>
  <si>
    <t>abduction</t>
  </si>
  <si>
    <t>abductions</t>
  </si>
  <si>
    <t>abhor</t>
  </si>
  <si>
    <t>abhorred</t>
  </si>
  <si>
    <t>abhorrent</t>
  </si>
  <si>
    <t>abhors</t>
  </si>
  <si>
    <t>abilities</t>
  </si>
  <si>
    <t>ability</t>
  </si>
  <si>
    <t>aboard</t>
  </si>
  <si>
    <t>absentee</t>
  </si>
  <si>
    <t>absentees</t>
  </si>
  <si>
    <t>absolve</t>
  </si>
  <si>
    <t>absolved</t>
  </si>
  <si>
    <t>absolves</t>
  </si>
  <si>
    <t>absolving</t>
  </si>
  <si>
    <t>absorbed</t>
  </si>
  <si>
    <t>abuse</t>
  </si>
  <si>
    <t>abused</t>
  </si>
  <si>
    <t>abuses</t>
  </si>
  <si>
    <t>abusive</t>
  </si>
  <si>
    <t>accept</t>
  </si>
  <si>
    <t>accepted</t>
  </si>
  <si>
    <t>accepting</t>
  </si>
  <si>
    <t>accepts</t>
  </si>
  <si>
    <t>accident</t>
  </si>
  <si>
    <t>accidental</t>
  </si>
  <si>
    <t>accidentally</t>
  </si>
  <si>
    <t>accidents</t>
  </si>
  <si>
    <t>accomplish</t>
  </si>
  <si>
    <t>accomplished</t>
  </si>
  <si>
    <t>accomplishes</t>
  </si>
  <si>
    <t>accusation</t>
  </si>
  <si>
    <t>accusations</t>
  </si>
  <si>
    <t>accuse</t>
  </si>
  <si>
    <t>accused</t>
  </si>
  <si>
    <t>accuses</t>
  </si>
  <si>
    <t>accusing</t>
  </si>
  <si>
    <t>ache</t>
  </si>
  <si>
    <t>achievable</t>
  </si>
  <si>
    <t>aching</t>
  </si>
  <si>
    <t>acquit</t>
  </si>
  <si>
    <t>acquits</t>
  </si>
  <si>
    <t>acquitted</t>
  </si>
  <si>
    <t>acquitting</t>
  </si>
  <si>
    <t>acrimonious</t>
  </si>
  <si>
    <t>active</t>
  </si>
  <si>
    <t>adequate</t>
  </si>
  <si>
    <t>admire</t>
  </si>
  <si>
    <t>admired</t>
  </si>
  <si>
    <t>admires</t>
  </si>
  <si>
    <t>admiring</t>
  </si>
  <si>
    <t>admit</t>
  </si>
  <si>
    <t>admits</t>
  </si>
  <si>
    <t>admitted</t>
  </si>
  <si>
    <t>admonish</t>
  </si>
  <si>
    <t>admonished</t>
  </si>
  <si>
    <t>adopt</t>
  </si>
  <si>
    <t>adopts</t>
  </si>
  <si>
    <t>adorable</t>
  </si>
  <si>
    <t>adore</t>
  </si>
  <si>
    <t>adored</t>
  </si>
  <si>
    <t>adores</t>
  </si>
  <si>
    <t>advanced</t>
  </si>
  <si>
    <t>advantage</t>
  </si>
  <si>
    <t>advantages</t>
  </si>
  <si>
    <t>adventure</t>
  </si>
  <si>
    <t>adventures</t>
  </si>
  <si>
    <t>adventurous</t>
  </si>
  <si>
    <t>affected</t>
  </si>
  <si>
    <t>affection</t>
  </si>
  <si>
    <t>affectionate</t>
  </si>
  <si>
    <t>afflicted</t>
  </si>
  <si>
    <t>affronted</t>
  </si>
  <si>
    <t>afraid</t>
  </si>
  <si>
    <t>aggravate</t>
  </si>
  <si>
    <t>aggravated</t>
  </si>
  <si>
    <t>aggravates</t>
  </si>
  <si>
    <t>aggravating</t>
  </si>
  <si>
    <t>aggression</t>
  </si>
  <si>
    <t>aggressions</t>
  </si>
  <si>
    <t>aggressive</t>
  </si>
  <si>
    <t>aghast</t>
  </si>
  <si>
    <t>agonise</t>
  </si>
  <si>
    <t>agonised</t>
  </si>
  <si>
    <t>agonises</t>
  </si>
  <si>
    <t>agonising</t>
  </si>
  <si>
    <t>agonize</t>
  </si>
  <si>
    <t>agonized</t>
  </si>
  <si>
    <t>agonizes</t>
  </si>
  <si>
    <t>agonizing</t>
  </si>
  <si>
    <t>agree</t>
  </si>
  <si>
    <t>agreeable</t>
  </si>
  <si>
    <t>agreed</t>
  </si>
  <si>
    <t>agreement</t>
  </si>
  <si>
    <t>agrees</t>
  </si>
  <si>
    <t>alarm</t>
  </si>
  <si>
    <t>alarmed</t>
  </si>
  <si>
    <t>alarmist</t>
  </si>
  <si>
    <t>alarmists</t>
  </si>
  <si>
    <t>alas</t>
  </si>
  <si>
    <t>alert</t>
  </si>
  <si>
    <t>alienation</t>
  </si>
  <si>
    <t>alive</t>
  </si>
  <si>
    <t>allergic</t>
  </si>
  <si>
    <t>allow</t>
  </si>
  <si>
    <t>alone</t>
  </si>
  <si>
    <t>amaze</t>
  </si>
  <si>
    <t>amazed</t>
  </si>
  <si>
    <t>amazes</t>
  </si>
  <si>
    <t>amazing</t>
  </si>
  <si>
    <t>ambitious</t>
  </si>
  <si>
    <t>ambivalent</t>
  </si>
  <si>
    <t>amuse</t>
  </si>
  <si>
    <t>amused</t>
  </si>
  <si>
    <t>amusement</t>
  </si>
  <si>
    <t>amusements</t>
  </si>
  <si>
    <t>anger</t>
  </si>
  <si>
    <t>angers</t>
  </si>
  <si>
    <t>angry</t>
  </si>
  <si>
    <t>anguish</t>
  </si>
  <si>
    <t>anguished</t>
  </si>
  <si>
    <t>animosity</t>
  </si>
  <si>
    <t>annoy</t>
  </si>
  <si>
    <t>annoyance</t>
  </si>
  <si>
    <t>annoyed</t>
  </si>
  <si>
    <t>annoying</t>
  </si>
  <si>
    <t>annoys</t>
  </si>
  <si>
    <t>antagonistic</t>
  </si>
  <si>
    <t>anti</t>
  </si>
  <si>
    <t>anticipation</t>
  </si>
  <si>
    <t>anxiety</t>
  </si>
  <si>
    <t>anxious</t>
  </si>
  <si>
    <t>apathetic</t>
  </si>
  <si>
    <t>apathy</t>
  </si>
  <si>
    <t>apeshit</t>
  </si>
  <si>
    <t>apocalyptic</t>
  </si>
  <si>
    <t>apologise</t>
  </si>
  <si>
    <t>apologised</t>
  </si>
  <si>
    <t>apologises</t>
  </si>
  <si>
    <t>apologising</t>
  </si>
  <si>
    <t>apologize</t>
  </si>
  <si>
    <t>apologized</t>
  </si>
  <si>
    <t>apologizes</t>
  </si>
  <si>
    <t>apologizing</t>
  </si>
  <si>
    <t>apology</t>
  </si>
  <si>
    <t>appalled</t>
  </si>
  <si>
    <t>appalling</t>
  </si>
  <si>
    <t>appease</t>
  </si>
  <si>
    <t>appeased</t>
  </si>
  <si>
    <t>appeases</t>
  </si>
  <si>
    <t>appeasing</t>
  </si>
  <si>
    <t>applaud</t>
  </si>
  <si>
    <t>applauded</t>
  </si>
  <si>
    <t>applauding</t>
  </si>
  <si>
    <t>applauds</t>
  </si>
  <si>
    <t>applause</t>
  </si>
  <si>
    <t>appreciate</t>
  </si>
  <si>
    <t>appreciated</t>
  </si>
  <si>
    <t>appreciates</t>
  </si>
  <si>
    <t>appreciating</t>
  </si>
  <si>
    <t>appreciation</t>
  </si>
  <si>
    <t>apprehensive</t>
  </si>
  <si>
    <t>approval</t>
  </si>
  <si>
    <t>approved</t>
  </si>
  <si>
    <t>approves</t>
  </si>
  <si>
    <t>ardent</t>
  </si>
  <si>
    <t>arrest</t>
  </si>
  <si>
    <t>arrested</t>
  </si>
  <si>
    <t>arrests</t>
  </si>
  <si>
    <t>arrogant</t>
  </si>
  <si>
    <t>ashame</t>
  </si>
  <si>
    <t>ashamed</t>
  </si>
  <si>
    <t>ass</t>
  </si>
  <si>
    <t>assassination</t>
  </si>
  <si>
    <t>assassinations</t>
  </si>
  <si>
    <t>asset</t>
  </si>
  <si>
    <t>assets</t>
  </si>
  <si>
    <t>assfucking</t>
  </si>
  <si>
    <t>asshole</t>
  </si>
  <si>
    <t>astonished</t>
  </si>
  <si>
    <t>astound</t>
  </si>
  <si>
    <t>astounded</t>
  </si>
  <si>
    <t>astounding</t>
  </si>
  <si>
    <t>astoundingly</t>
  </si>
  <si>
    <t>astounds</t>
  </si>
  <si>
    <t>attack</t>
  </si>
  <si>
    <t>attacked</t>
  </si>
  <si>
    <t>attacking</t>
  </si>
  <si>
    <t>attacks</t>
  </si>
  <si>
    <t>attract</t>
  </si>
  <si>
    <t>attracted</t>
  </si>
  <si>
    <t>attracting</t>
  </si>
  <si>
    <t>attraction</t>
  </si>
  <si>
    <t>attractions</t>
  </si>
  <si>
    <t>attracts</t>
  </si>
  <si>
    <t>audacious</t>
  </si>
  <si>
    <t>authority</t>
  </si>
  <si>
    <t>avert</t>
  </si>
  <si>
    <t>averted</t>
  </si>
  <si>
    <t>averts</t>
  </si>
  <si>
    <t>avid</t>
  </si>
  <si>
    <t>avoid</t>
  </si>
  <si>
    <t>avoided</t>
  </si>
  <si>
    <t>avoids</t>
  </si>
  <si>
    <t>await</t>
  </si>
  <si>
    <t>awaited</t>
  </si>
  <si>
    <t>awaits</t>
  </si>
  <si>
    <t>award</t>
  </si>
  <si>
    <t>awarded</t>
  </si>
  <si>
    <t>awards</t>
  </si>
  <si>
    <t>awesome</t>
  </si>
  <si>
    <t>awful</t>
  </si>
  <si>
    <t>awkward</t>
  </si>
  <si>
    <t>axe</t>
  </si>
  <si>
    <t>axed</t>
  </si>
  <si>
    <t>backed</t>
  </si>
  <si>
    <t>backing</t>
  </si>
  <si>
    <t>backs</t>
  </si>
  <si>
    <t>bad</t>
  </si>
  <si>
    <t>badass</t>
  </si>
  <si>
    <t>badly</t>
  </si>
  <si>
    <t>bailout</t>
  </si>
  <si>
    <t>bamboozle</t>
  </si>
  <si>
    <t>bamboozled</t>
  </si>
  <si>
    <t>bamboozles</t>
  </si>
  <si>
    <t>ban</t>
  </si>
  <si>
    <t>banish</t>
  </si>
  <si>
    <t>bankrupt</t>
  </si>
  <si>
    <t>bankster</t>
  </si>
  <si>
    <t>banned</t>
  </si>
  <si>
    <t>bargain</t>
  </si>
  <si>
    <t>barrier</t>
  </si>
  <si>
    <t>bastard</t>
  </si>
  <si>
    <t>bastards</t>
  </si>
  <si>
    <t>battle</t>
  </si>
  <si>
    <t>battles</t>
  </si>
  <si>
    <t>beaten</t>
  </si>
  <si>
    <t>beatific</t>
  </si>
  <si>
    <t>beating</t>
  </si>
  <si>
    <t>beauties</t>
  </si>
  <si>
    <t>beautiful</t>
  </si>
  <si>
    <t>beautifully</t>
  </si>
  <si>
    <t>beautify</t>
  </si>
  <si>
    <t>belittle</t>
  </si>
  <si>
    <t>belittled</t>
  </si>
  <si>
    <t>beloved</t>
  </si>
  <si>
    <t>benefit</t>
  </si>
  <si>
    <t>benefits</t>
  </si>
  <si>
    <t>benefitted</t>
  </si>
  <si>
    <t>benefitting</t>
  </si>
  <si>
    <t>bereave</t>
  </si>
  <si>
    <t>bereaved</t>
  </si>
  <si>
    <t>bereaves</t>
  </si>
  <si>
    <t>bereaving</t>
  </si>
  <si>
    <t>best</t>
  </si>
  <si>
    <t>betray</t>
  </si>
  <si>
    <t>betrayal</t>
  </si>
  <si>
    <t>betrayed</t>
  </si>
  <si>
    <t>betraying</t>
  </si>
  <si>
    <t>betrays</t>
  </si>
  <si>
    <t>better</t>
  </si>
  <si>
    <t>bias</t>
  </si>
  <si>
    <t>biased</t>
  </si>
  <si>
    <t>big</t>
  </si>
  <si>
    <t>bitch</t>
  </si>
  <si>
    <t>bitches</t>
  </si>
  <si>
    <t>bitter</t>
  </si>
  <si>
    <t>bitterly</t>
  </si>
  <si>
    <t>bizarre</t>
  </si>
  <si>
    <t>blah</t>
  </si>
  <si>
    <t>blame</t>
  </si>
  <si>
    <t>blamed</t>
  </si>
  <si>
    <t>blames</t>
  </si>
  <si>
    <t>blaming</t>
  </si>
  <si>
    <t>bless</t>
  </si>
  <si>
    <t>blesses</t>
  </si>
  <si>
    <t>blessing</t>
  </si>
  <si>
    <t>blind</t>
  </si>
  <si>
    <t>bliss</t>
  </si>
  <si>
    <t>blissful</t>
  </si>
  <si>
    <t>blithe</t>
  </si>
  <si>
    <t>block</t>
  </si>
  <si>
    <t>blockbuster</t>
  </si>
  <si>
    <t>blocked</t>
  </si>
  <si>
    <t>blocking</t>
  </si>
  <si>
    <t>blocks</t>
  </si>
  <si>
    <t>bloody</t>
  </si>
  <si>
    <t>blurry</t>
  </si>
  <si>
    <t>boastful</t>
  </si>
  <si>
    <t>bold</t>
  </si>
  <si>
    <t>boldly</t>
  </si>
  <si>
    <t>bomb</t>
  </si>
  <si>
    <t>boost</t>
  </si>
  <si>
    <t>boosted</t>
  </si>
  <si>
    <t>boosting</t>
  </si>
  <si>
    <t>boosts</t>
  </si>
  <si>
    <t>bore</t>
  </si>
  <si>
    <t>bored</t>
  </si>
  <si>
    <t>boring</t>
  </si>
  <si>
    <t>bother</t>
  </si>
  <si>
    <t>bothered</t>
  </si>
  <si>
    <t>bothers</t>
  </si>
  <si>
    <t>bothersome</t>
  </si>
  <si>
    <t>boycott</t>
  </si>
  <si>
    <t>boycotted</t>
  </si>
  <si>
    <t>boycotting</t>
  </si>
  <si>
    <t>boycotts</t>
  </si>
  <si>
    <t>brainwashing</t>
  </si>
  <si>
    <t>brave</t>
  </si>
  <si>
    <t>breakthrough</t>
  </si>
  <si>
    <t>breathtaking</t>
  </si>
  <si>
    <t>bribe</t>
  </si>
  <si>
    <t>bright</t>
  </si>
  <si>
    <t>brightest</t>
  </si>
  <si>
    <t>brightness</t>
  </si>
  <si>
    <t>brilliant</t>
  </si>
  <si>
    <t>brisk</t>
  </si>
  <si>
    <t>broke</t>
  </si>
  <si>
    <t>broken</t>
  </si>
  <si>
    <t>brooding</t>
  </si>
  <si>
    <t>bullied</t>
  </si>
  <si>
    <t>bullshit</t>
  </si>
  <si>
    <t>bully</t>
  </si>
  <si>
    <t>bullying</t>
  </si>
  <si>
    <t>bummer</t>
  </si>
  <si>
    <t>buoyant</t>
  </si>
  <si>
    <t>burden</t>
  </si>
  <si>
    <t>burdened</t>
  </si>
  <si>
    <t>burdening</t>
  </si>
  <si>
    <t>burdens</t>
  </si>
  <si>
    <t>calm</t>
  </si>
  <si>
    <t>calmed</t>
  </si>
  <si>
    <t>calming</t>
  </si>
  <si>
    <t>calms</t>
  </si>
  <si>
    <t>cancel</t>
  </si>
  <si>
    <t>cancelled</t>
  </si>
  <si>
    <t>cancelling</t>
  </si>
  <si>
    <t>cancels</t>
  </si>
  <si>
    <t>cancer</t>
  </si>
  <si>
    <t>capable</t>
  </si>
  <si>
    <t>captivated</t>
  </si>
  <si>
    <t>care</t>
  </si>
  <si>
    <t>carefree</t>
  </si>
  <si>
    <t>careful</t>
  </si>
  <si>
    <t>carefully</t>
  </si>
  <si>
    <t>careless</t>
  </si>
  <si>
    <t>cares</t>
  </si>
  <si>
    <t>casualty</t>
  </si>
  <si>
    <t>catastrophe</t>
  </si>
  <si>
    <t>catastrophic</t>
  </si>
  <si>
    <t>cautious</t>
  </si>
  <si>
    <t>celebrate</t>
  </si>
  <si>
    <t>celebrated</t>
  </si>
  <si>
    <t>celebrates</t>
  </si>
  <si>
    <t>celebrating</t>
  </si>
  <si>
    <t>censor</t>
  </si>
  <si>
    <t>censored</t>
  </si>
  <si>
    <t>censors</t>
  </si>
  <si>
    <t>certain</t>
  </si>
  <si>
    <t>chagrin</t>
  </si>
  <si>
    <t>chagrined</t>
  </si>
  <si>
    <t>challenge</t>
  </si>
  <si>
    <t>chance</t>
  </si>
  <si>
    <t>chances</t>
  </si>
  <si>
    <t>chaos</t>
  </si>
  <si>
    <t>chaotic</t>
  </si>
  <si>
    <t>charged</t>
  </si>
  <si>
    <t>charges</t>
  </si>
  <si>
    <t>charm</t>
  </si>
  <si>
    <t>charming</t>
  </si>
  <si>
    <t>charmless</t>
  </si>
  <si>
    <t>chastise</t>
  </si>
  <si>
    <t>chastised</t>
  </si>
  <si>
    <t>chastises</t>
  </si>
  <si>
    <t>chastising</t>
  </si>
  <si>
    <t>cheat</t>
  </si>
  <si>
    <t>cheated</t>
  </si>
  <si>
    <t>cheater</t>
  </si>
  <si>
    <t>cheaters</t>
  </si>
  <si>
    <t>cheats</t>
  </si>
  <si>
    <t>cheer</t>
  </si>
  <si>
    <t>cheered</t>
  </si>
  <si>
    <t>cheerful</t>
  </si>
  <si>
    <t>cheering</t>
  </si>
  <si>
    <t>cheerless</t>
  </si>
  <si>
    <t>cheers</t>
  </si>
  <si>
    <t>cheery</t>
  </si>
  <si>
    <t>cherish</t>
  </si>
  <si>
    <t>cherished</t>
  </si>
  <si>
    <t>cherishes</t>
  </si>
  <si>
    <t>cherishing</t>
  </si>
  <si>
    <t>chic</t>
  </si>
  <si>
    <t>childish</t>
  </si>
  <si>
    <t>chilling</t>
  </si>
  <si>
    <t>choke</t>
  </si>
  <si>
    <t>choked</t>
  </si>
  <si>
    <t>chokes</t>
  </si>
  <si>
    <t>choking</t>
  </si>
  <si>
    <t>clarifies</t>
  </si>
  <si>
    <t>clarity</t>
  </si>
  <si>
    <t>clash</t>
  </si>
  <si>
    <t>classy</t>
  </si>
  <si>
    <t>clean</t>
  </si>
  <si>
    <t>cleaner</t>
  </si>
  <si>
    <t>clear</t>
  </si>
  <si>
    <t>cleared</t>
  </si>
  <si>
    <t>clearly</t>
  </si>
  <si>
    <t>clears</t>
  </si>
  <si>
    <t>clever</t>
  </si>
  <si>
    <t>clouded</t>
  </si>
  <si>
    <t>clueless</t>
  </si>
  <si>
    <t>coerced</t>
  </si>
  <si>
    <t>collapse</t>
  </si>
  <si>
    <t>collapsed</t>
  </si>
  <si>
    <t>collapses</t>
  </si>
  <si>
    <t>collapsing</t>
  </si>
  <si>
    <t>collide</t>
  </si>
  <si>
    <t>collides</t>
  </si>
  <si>
    <t>colliding</t>
  </si>
  <si>
    <t>collision</t>
  </si>
  <si>
    <t>collisions</t>
  </si>
  <si>
    <t>colluding</t>
  </si>
  <si>
    <t>combat</t>
  </si>
  <si>
    <t>combats</t>
  </si>
  <si>
    <t>comedy</t>
  </si>
  <si>
    <t>comfort</t>
  </si>
  <si>
    <t>comfortable</t>
  </si>
  <si>
    <t>comforting</t>
  </si>
  <si>
    <t>comforts</t>
  </si>
  <si>
    <t>commend</t>
  </si>
  <si>
    <t>commended</t>
  </si>
  <si>
    <t>commit</t>
  </si>
  <si>
    <t>commitment</t>
  </si>
  <si>
    <t>commits</t>
  </si>
  <si>
    <t>committed</t>
  </si>
  <si>
    <t>committing</t>
  </si>
  <si>
    <t>compassionate</t>
  </si>
  <si>
    <t>compelled</t>
  </si>
  <si>
    <t>competent</t>
  </si>
  <si>
    <t>competitive</t>
  </si>
  <si>
    <t>complacent</t>
  </si>
  <si>
    <t>complain</t>
  </si>
  <si>
    <t>complained</t>
  </si>
  <si>
    <t>complains</t>
  </si>
  <si>
    <t>comprehensive</t>
  </si>
  <si>
    <t>conciliate</t>
  </si>
  <si>
    <t>conciliated</t>
  </si>
  <si>
    <t>conciliates</t>
  </si>
  <si>
    <t>conciliating</t>
  </si>
  <si>
    <t>condemn</t>
  </si>
  <si>
    <t>condemnation</t>
  </si>
  <si>
    <t>condemned</t>
  </si>
  <si>
    <t>condemns</t>
  </si>
  <si>
    <t>confidence</t>
  </si>
  <si>
    <t>confident</t>
  </si>
  <si>
    <t>conflict</t>
  </si>
  <si>
    <t>conflicting</t>
  </si>
  <si>
    <t>conflictive</t>
  </si>
  <si>
    <t>conflicts</t>
  </si>
  <si>
    <t>confuse</t>
  </si>
  <si>
    <t>confused</t>
  </si>
  <si>
    <t>confusing</t>
  </si>
  <si>
    <t>congrats</t>
  </si>
  <si>
    <t>congratulate</t>
  </si>
  <si>
    <t>congratulation</t>
  </si>
  <si>
    <t>congratulations</t>
  </si>
  <si>
    <t>consent</t>
  </si>
  <si>
    <t>consents</t>
  </si>
  <si>
    <t>consolable</t>
  </si>
  <si>
    <t>conspiracy</t>
  </si>
  <si>
    <t>constrained</t>
  </si>
  <si>
    <t>contagion</t>
  </si>
  <si>
    <t>contagions</t>
  </si>
  <si>
    <t>contagious</t>
  </si>
  <si>
    <t>contempt</t>
  </si>
  <si>
    <t>contemptuous</t>
  </si>
  <si>
    <t>contemptuously</t>
  </si>
  <si>
    <t>contend</t>
  </si>
  <si>
    <t>contender</t>
  </si>
  <si>
    <t>contending</t>
  </si>
  <si>
    <t>contentious</t>
  </si>
  <si>
    <t>contestable</t>
  </si>
  <si>
    <t>controversial</t>
  </si>
  <si>
    <t>controversially</t>
  </si>
  <si>
    <t>convince</t>
  </si>
  <si>
    <t>convinced</t>
  </si>
  <si>
    <t>convinces</t>
  </si>
  <si>
    <t>convivial</t>
  </si>
  <si>
    <t>cool</t>
  </si>
  <si>
    <t>cornered</t>
  </si>
  <si>
    <t>corpse</t>
  </si>
  <si>
    <t>costly</t>
  </si>
  <si>
    <t>courage</t>
  </si>
  <si>
    <t>courageous</t>
  </si>
  <si>
    <t>courteous</t>
  </si>
  <si>
    <t>courtesy</t>
  </si>
  <si>
    <t>coward</t>
  </si>
  <si>
    <t>cowardly</t>
  </si>
  <si>
    <t>coziness</t>
  </si>
  <si>
    <t>cramp</t>
  </si>
  <si>
    <t>crap</t>
  </si>
  <si>
    <t>crash</t>
  </si>
  <si>
    <t>crazier</t>
  </si>
  <si>
    <t>craziest</t>
  </si>
  <si>
    <t>crazy</t>
  </si>
  <si>
    <t>creative</t>
  </si>
  <si>
    <t>crestfallen</t>
  </si>
  <si>
    <t>cried</t>
  </si>
  <si>
    <t>cries</t>
  </si>
  <si>
    <t>crime</t>
  </si>
  <si>
    <t>criminal</t>
  </si>
  <si>
    <t>criminals</t>
  </si>
  <si>
    <t>crisis</t>
  </si>
  <si>
    <t>critic</t>
  </si>
  <si>
    <t>criticism</t>
  </si>
  <si>
    <t>criticize</t>
  </si>
  <si>
    <t>criticized</t>
  </si>
  <si>
    <t>criticizes</t>
  </si>
  <si>
    <t>criticizing</t>
  </si>
  <si>
    <t>critics</t>
  </si>
  <si>
    <t>cruel</t>
  </si>
  <si>
    <t>cruelty</t>
  </si>
  <si>
    <t>crush</t>
  </si>
  <si>
    <t>crushed</t>
  </si>
  <si>
    <t>crushes</t>
  </si>
  <si>
    <t>crushing</t>
  </si>
  <si>
    <t>cry</t>
  </si>
  <si>
    <t>crying</t>
  </si>
  <si>
    <t>curious</t>
  </si>
  <si>
    <t>curse</t>
  </si>
  <si>
    <t>cut</t>
  </si>
  <si>
    <t>cute</t>
  </si>
  <si>
    <t>cuts</t>
  </si>
  <si>
    <t>cutting</t>
  </si>
  <si>
    <t>cynic</t>
  </si>
  <si>
    <t>cynical</t>
  </si>
  <si>
    <t>cynicism</t>
  </si>
  <si>
    <t>damage</t>
  </si>
  <si>
    <t>damages</t>
  </si>
  <si>
    <t>damn</t>
  </si>
  <si>
    <t>damned</t>
  </si>
  <si>
    <t>damnit</t>
  </si>
  <si>
    <t>danger</t>
  </si>
  <si>
    <t>daredevil</t>
  </si>
  <si>
    <t>daring</t>
  </si>
  <si>
    <t>darkest</t>
  </si>
  <si>
    <t>darkness</t>
  </si>
  <si>
    <t>dauntless</t>
  </si>
  <si>
    <t>dead</t>
  </si>
  <si>
    <t>deadlock</t>
  </si>
  <si>
    <t>deafening</t>
  </si>
  <si>
    <t>dear</t>
  </si>
  <si>
    <t>dearly</t>
  </si>
  <si>
    <t>death</t>
  </si>
  <si>
    <t>debonair</t>
  </si>
  <si>
    <t>debt</t>
  </si>
  <si>
    <t>deceit</t>
  </si>
  <si>
    <t>deceitful</t>
  </si>
  <si>
    <t>deceive</t>
  </si>
  <si>
    <t>deceived</t>
  </si>
  <si>
    <t>deceives</t>
  </si>
  <si>
    <t>deceiving</t>
  </si>
  <si>
    <t>deception</t>
  </si>
  <si>
    <t>decisive</t>
  </si>
  <si>
    <t>dedicated</t>
  </si>
  <si>
    <t>defeated</t>
  </si>
  <si>
    <t>defect</t>
  </si>
  <si>
    <t>defects</t>
  </si>
  <si>
    <t>defender</t>
  </si>
  <si>
    <t>defenders</t>
  </si>
  <si>
    <t>defenseless</t>
  </si>
  <si>
    <t>defer</t>
  </si>
  <si>
    <t>deferring</t>
  </si>
  <si>
    <t>defiant</t>
  </si>
  <si>
    <t>deficit</t>
  </si>
  <si>
    <t>degrade</t>
  </si>
  <si>
    <t>degraded</t>
  </si>
  <si>
    <t>degrades</t>
  </si>
  <si>
    <t>dehumanize</t>
  </si>
  <si>
    <t>dehumanized</t>
  </si>
  <si>
    <t>dehumanizes</t>
  </si>
  <si>
    <t>dehumanizing</t>
  </si>
  <si>
    <t>deject</t>
  </si>
  <si>
    <t>dejected</t>
  </si>
  <si>
    <t>dejecting</t>
  </si>
  <si>
    <t>dejects</t>
  </si>
  <si>
    <t>delay</t>
  </si>
  <si>
    <t>delayed</t>
  </si>
  <si>
    <t>delight</t>
  </si>
  <si>
    <t>delighted</t>
  </si>
  <si>
    <t>delighting</t>
  </si>
  <si>
    <t>delights</t>
  </si>
  <si>
    <t>demand</t>
  </si>
  <si>
    <t>demanded</t>
  </si>
  <si>
    <t>demanding</t>
  </si>
  <si>
    <t>demands</t>
  </si>
  <si>
    <t>demonstration</t>
  </si>
  <si>
    <t>demoralized</t>
  </si>
  <si>
    <t>denied</t>
  </si>
  <si>
    <t>denier</t>
  </si>
  <si>
    <t>deniers</t>
  </si>
  <si>
    <t>denies</t>
  </si>
  <si>
    <t>denounce</t>
  </si>
  <si>
    <t>denounces</t>
  </si>
  <si>
    <t>deny</t>
  </si>
  <si>
    <t>denying</t>
  </si>
  <si>
    <t>depressed</t>
  </si>
  <si>
    <t>depressing</t>
  </si>
  <si>
    <t>derail</t>
  </si>
  <si>
    <t>derailed</t>
  </si>
  <si>
    <t>derails</t>
  </si>
  <si>
    <t>deride</t>
  </si>
  <si>
    <t>derided</t>
  </si>
  <si>
    <t>derides</t>
  </si>
  <si>
    <t>deriding</t>
  </si>
  <si>
    <t>derision</t>
  </si>
  <si>
    <t>desirable</t>
  </si>
  <si>
    <t>desire</t>
  </si>
  <si>
    <t>desired</t>
  </si>
  <si>
    <t>desirous</t>
  </si>
  <si>
    <t>despair</t>
  </si>
  <si>
    <t>despairing</t>
  </si>
  <si>
    <t>despairs</t>
  </si>
  <si>
    <t>desperate</t>
  </si>
  <si>
    <t>desperately</t>
  </si>
  <si>
    <t>despondent</t>
  </si>
  <si>
    <t>destroy</t>
  </si>
  <si>
    <t>destroyed</t>
  </si>
  <si>
    <t>destroying</t>
  </si>
  <si>
    <t>destroys</t>
  </si>
  <si>
    <t>destruction</t>
  </si>
  <si>
    <t>destructive</t>
  </si>
  <si>
    <t>detached</t>
  </si>
  <si>
    <t>detain</t>
  </si>
  <si>
    <t>detained</t>
  </si>
  <si>
    <t>detention</t>
  </si>
  <si>
    <t>determined</t>
  </si>
  <si>
    <t>devastate</t>
  </si>
  <si>
    <t>devastated</t>
  </si>
  <si>
    <t>devastating</t>
  </si>
  <si>
    <t>devoted</t>
  </si>
  <si>
    <t>diamond</t>
  </si>
  <si>
    <t>dick</t>
  </si>
  <si>
    <t>dickhead</t>
  </si>
  <si>
    <t>die</t>
  </si>
  <si>
    <t>died</t>
  </si>
  <si>
    <t>difficult</t>
  </si>
  <si>
    <t>diffident</t>
  </si>
  <si>
    <t>dilemma</t>
  </si>
  <si>
    <t>dipshit</t>
  </si>
  <si>
    <t>dire</t>
  </si>
  <si>
    <t>direful</t>
  </si>
  <si>
    <t>dirt</t>
  </si>
  <si>
    <t>dirtier</t>
  </si>
  <si>
    <t>dirtiest</t>
  </si>
  <si>
    <t>dirty</t>
  </si>
  <si>
    <t>disabling</t>
  </si>
  <si>
    <t>disadvantage</t>
  </si>
  <si>
    <t>disadvantaged</t>
  </si>
  <si>
    <t>disappear</t>
  </si>
  <si>
    <t>disappeared</t>
  </si>
  <si>
    <t>disappears</t>
  </si>
  <si>
    <t>disappoint</t>
  </si>
  <si>
    <t>disappointed</t>
  </si>
  <si>
    <t>disappointing</t>
  </si>
  <si>
    <t>disappointment</t>
  </si>
  <si>
    <t>disappointments</t>
  </si>
  <si>
    <t>disappoints</t>
  </si>
  <si>
    <t>disaster</t>
  </si>
  <si>
    <t>disasters</t>
  </si>
  <si>
    <t>disastrous</t>
  </si>
  <si>
    <t>disbelieve</t>
  </si>
  <si>
    <t>discard</t>
  </si>
  <si>
    <t>discarded</t>
  </si>
  <si>
    <t>discarding</t>
  </si>
  <si>
    <t>discards</t>
  </si>
  <si>
    <t>disconsolate</t>
  </si>
  <si>
    <t>disconsolation</t>
  </si>
  <si>
    <t>discontented</t>
  </si>
  <si>
    <t>discord</t>
  </si>
  <si>
    <t>discounted</t>
  </si>
  <si>
    <t>discouraged</t>
  </si>
  <si>
    <t>discredited</t>
  </si>
  <si>
    <t>disdain</t>
  </si>
  <si>
    <t>disgrace</t>
  </si>
  <si>
    <t>disgraced</t>
  </si>
  <si>
    <t>disguise</t>
  </si>
  <si>
    <t>disguised</t>
  </si>
  <si>
    <t>disguises</t>
  </si>
  <si>
    <t>disguising</t>
  </si>
  <si>
    <t>disgust</t>
  </si>
  <si>
    <t>disgusted</t>
  </si>
  <si>
    <t>disgusting</t>
  </si>
  <si>
    <t>disheartened</t>
  </si>
  <si>
    <t>dishonest</t>
  </si>
  <si>
    <t>disillusioned</t>
  </si>
  <si>
    <t>disinclined</t>
  </si>
  <si>
    <t>disjointed</t>
  </si>
  <si>
    <t>dislike</t>
  </si>
  <si>
    <t>dismal</t>
  </si>
  <si>
    <t>dismayed</t>
  </si>
  <si>
    <t>disorder</t>
  </si>
  <si>
    <t>disorganized</t>
  </si>
  <si>
    <t>disoriented</t>
  </si>
  <si>
    <t>disparage</t>
  </si>
  <si>
    <t>disparaged</t>
  </si>
  <si>
    <t>disparages</t>
  </si>
  <si>
    <t>disparaging</t>
  </si>
  <si>
    <t>displeased</t>
  </si>
  <si>
    <t>dispute</t>
  </si>
  <si>
    <t>disputed</t>
  </si>
  <si>
    <t>disputes</t>
  </si>
  <si>
    <t>disputing</t>
  </si>
  <si>
    <t>disqualified</t>
  </si>
  <si>
    <t>disquiet</t>
  </si>
  <si>
    <t>disregard</t>
  </si>
  <si>
    <t>disregarded</t>
  </si>
  <si>
    <t>disregarding</t>
  </si>
  <si>
    <t>disregards</t>
  </si>
  <si>
    <t>disrespect</t>
  </si>
  <si>
    <t>disrespected</t>
  </si>
  <si>
    <t>disruption</t>
  </si>
  <si>
    <t>disruptions</t>
  </si>
  <si>
    <t>disruptive</t>
  </si>
  <si>
    <t>dissatisfied</t>
  </si>
  <si>
    <t>distort</t>
  </si>
  <si>
    <t>distorted</t>
  </si>
  <si>
    <t>distorting</t>
  </si>
  <si>
    <t>distorts</t>
  </si>
  <si>
    <t>distract</t>
  </si>
  <si>
    <t>distracted</t>
  </si>
  <si>
    <t>distraction</t>
  </si>
  <si>
    <t>distracts</t>
  </si>
  <si>
    <t>distress</t>
  </si>
  <si>
    <t>distressed</t>
  </si>
  <si>
    <t>distresses</t>
  </si>
  <si>
    <t>distressing</t>
  </si>
  <si>
    <t>distrust</t>
  </si>
  <si>
    <t>distrustful</t>
  </si>
  <si>
    <t>disturb</t>
  </si>
  <si>
    <t>disturbed</t>
  </si>
  <si>
    <t>disturbing</t>
  </si>
  <si>
    <t>disturbs</t>
  </si>
  <si>
    <t>dithering</t>
  </si>
  <si>
    <t>dizzy</t>
  </si>
  <si>
    <t>dodging</t>
  </si>
  <si>
    <t>dodgy</t>
  </si>
  <si>
    <t>dolorous</t>
  </si>
  <si>
    <t>doom</t>
  </si>
  <si>
    <t>doomed</t>
  </si>
  <si>
    <t>doubt</t>
  </si>
  <si>
    <t>doubted</t>
  </si>
  <si>
    <t>doubtful</t>
  </si>
  <si>
    <t>doubting</t>
  </si>
  <si>
    <t>doubts</t>
  </si>
  <si>
    <t>downcast</t>
  </si>
  <si>
    <t>downhearted</t>
  </si>
  <si>
    <t>downside</t>
  </si>
  <si>
    <t>drag</t>
  </si>
  <si>
    <t>dragged</t>
  </si>
  <si>
    <t>drags</t>
  </si>
  <si>
    <t>drained</t>
  </si>
  <si>
    <t>dread</t>
  </si>
  <si>
    <t>dreaded</t>
  </si>
  <si>
    <t>dreadful</t>
  </si>
  <si>
    <t>dreading</t>
  </si>
  <si>
    <t>dream</t>
  </si>
  <si>
    <t>dreams</t>
  </si>
  <si>
    <t>dreary</t>
  </si>
  <si>
    <t>droopy</t>
  </si>
  <si>
    <t>drop</t>
  </si>
  <si>
    <t>drown</t>
  </si>
  <si>
    <t>drowned</t>
  </si>
  <si>
    <t>drowns</t>
  </si>
  <si>
    <t>drunk</t>
  </si>
  <si>
    <t>dubious</t>
  </si>
  <si>
    <t>dud</t>
  </si>
  <si>
    <t>dull</t>
  </si>
  <si>
    <t>dumb</t>
  </si>
  <si>
    <t>dumbass</t>
  </si>
  <si>
    <t>dump</t>
  </si>
  <si>
    <t>dumped</t>
  </si>
  <si>
    <t>dumps</t>
  </si>
  <si>
    <t>dupe</t>
  </si>
  <si>
    <t>duped</t>
  </si>
  <si>
    <t>dysfunction</t>
  </si>
  <si>
    <t>eager</t>
  </si>
  <si>
    <t>earnest</t>
  </si>
  <si>
    <t>ease</t>
  </si>
  <si>
    <t>easy</t>
  </si>
  <si>
    <t>ecstatic</t>
  </si>
  <si>
    <t>eerie</t>
  </si>
  <si>
    <t>eery</t>
  </si>
  <si>
    <t>effective</t>
  </si>
  <si>
    <t>effectively</t>
  </si>
  <si>
    <t>elated</t>
  </si>
  <si>
    <t>elation</t>
  </si>
  <si>
    <t>elegant</t>
  </si>
  <si>
    <t>elegantly</t>
  </si>
  <si>
    <t>embarrass</t>
  </si>
  <si>
    <t>embarrassed</t>
  </si>
  <si>
    <t>embarrasses</t>
  </si>
  <si>
    <t>embarrassing</t>
  </si>
  <si>
    <t>embarrassment</t>
  </si>
  <si>
    <t>embittered</t>
  </si>
  <si>
    <t>embrace</t>
  </si>
  <si>
    <t>emergency</t>
  </si>
  <si>
    <t>empathetic</t>
  </si>
  <si>
    <t>emptiness</t>
  </si>
  <si>
    <t>empty</t>
  </si>
  <si>
    <t>enchanted</t>
  </si>
  <si>
    <t>encourage</t>
  </si>
  <si>
    <t>encouraged</t>
  </si>
  <si>
    <t>encouragement</t>
  </si>
  <si>
    <t>encourages</t>
  </si>
  <si>
    <t>endorse</t>
  </si>
  <si>
    <t>endorsed</t>
  </si>
  <si>
    <t>endorsement</t>
  </si>
  <si>
    <t>endorses</t>
  </si>
  <si>
    <t>enemies</t>
  </si>
  <si>
    <t>enemy</t>
  </si>
  <si>
    <t>energetic</t>
  </si>
  <si>
    <t>engage</t>
  </si>
  <si>
    <t>engages</t>
  </si>
  <si>
    <t>engrossed</t>
  </si>
  <si>
    <t>enjoy</t>
  </si>
  <si>
    <t>enjoying</t>
  </si>
  <si>
    <t>enjoys</t>
  </si>
  <si>
    <t>enlighten</t>
  </si>
  <si>
    <t>enlightened</t>
  </si>
  <si>
    <t>enlightening</t>
  </si>
  <si>
    <t>enlightens</t>
  </si>
  <si>
    <t>enrage</t>
  </si>
  <si>
    <t>enraged</t>
  </si>
  <si>
    <t>enrages</t>
  </si>
  <si>
    <t>enraging</t>
  </si>
  <si>
    <t>enrapture</t>
  </si>
  <si>
    <t>enslave</t>
  </si>
  <si>
    <t>enslaved</t>
  </si>
  <si>
    <t>enslaves</t>
  </si>
  <si>
    <t>ensure</t>
  </si>
  <si>
    <t>ensuring</t>
  </si>
  <si>
    <t>enterprising</t>
  </si>
  <si>
    <t>entertaining</t>
  </si>
  <si>
    <t>enthral</t>
  </si>
  <si>
    <t>enthusiastic</t>
  </si>
  <si>
    <t>entitled</t>
  </si>
  <si>
    <t>entrusted</t>
  </si>
  <si>
    <t>envies</t>
  </si>
  <si>
    <t>envious</t>
  </si>
  <si>
    <t>envy</t>
  </si>
  <si>
    <t>envying</t>
  </si>
  <si>
    <t>erroneous</t>
  </si>
  <si>
    <t>error</t>
  </si>
  <si>
    <t>errors</t>
  </si>
  <si>
    <t>escape</t>
  </si>
  <si>
    <t>escapes</t>
  </si>
  <si>
    <t>escaping</t>
  </si>
  <si>
    <t>esteemed</t>
  </si>
  <si>
    <t>ethical</t>
  </si>
  <si>
    <t>euphoria</t>
  </si>
  <si>
    <t>euphoric</t>
  </si>
  <si>
    <t>eviction</t>
  </si>
  <si>
    <t>evil</t>
  </si>
  <si>
    <t>exaggerate</t>
  </si>
  <si>
    <t>exaggerated</t>
  </si>
  <si>
    <t>exaggerates</t>
  </si>
  <si>
    <t>exaggerating</t>
  </si>
  <si>
    <t>exasperated</t>
  </si>
  <si>
    <t>excellence</t>
  </si>
  <si>
    <t>excellent</t>
  </si>
  <si>
    <t>excite</t>
  </si>
  <si>
    <t>excited</t>
  </si>
  <si>
    <t>excitement</t>
  </si>
  <si>
    <t>exciting</t>
  </si>
  <si>
    <t>exclude</t>
  </si>
  <si>
    <t>excluded</t>
  </si>
  <si>
    <t>exclusion</t>
  </si>
  <si>
    <t>exclusive</t>
  </si>
  <si>
    <t>excuse</t>
  </si>
  <si>
    <t>exempt</t>
  </si>
  <si>
    <t>exhausted</t>
  </si>
  <si>
    <t>exhilarated</t>
  </si>
  <si>
    <t>exhilarates</t>
  </si>
  <si>
    <t>exhilarating</t>
  </si>
  <si>
    <t>exonerate</t>
  </si>
  <si>
    <t>exonerated</t>
  </si>
  <si>
    <t>exonerates</t>
  </si>
  <si>
    <t>exonerating</t>
  </si>
  <si>
    <t>expand</t>
  </si>
  <si>
    <t>expands</t>
  </si>
  <si>
    <t>expel</t>
  </si>
  <si>
    <t>expelled</t>
  </si>
  <si>
    <t>expelling</t>
  </si>
  <si>
    <t>expels</t>
  </si>
  <si>
    <t>exploit</t>
  </si>
  <si>
    <t>exploited</t>
  </si>
  <si>
    <t>exploiting</t>
  </si>
  <si>
    <t>exploits</t>
  </si>
  <si>
    <t>exploration</t>
  </si>
  <si>
    <t>explorations</t>
  </si>
  <si>
    <t>expose</t>
  </si>
  <si>
    <t>exposed</t>
  </si>
  <si>
    <t>exposes</t>
  </si>
  <si>
    <t>exposing</t>
  </si>
  <si>
    <t>extend</t>
  </si>
  <si>
    <t>extends</t>
  </si>
  <si>
    <t>exuberant</t>
  </si>
  <si>
    <t>exultant</t>
  </si>
  <si>
    <t>exultantly</t>
  </si>
  <si>
    <t>fabulous</t>
  </si>
  <si>
    <t>fad</t>
  </si>
  <si>
    <t>fail</t>
  </si>
  <si>
    <t>failed</t>
  </si>
  <si>
    <t>failing</t>
  </si>
  <si>
    <t>fails</t>
  </si>
  <si>
    <t>failure</t>
  </si>
  <si>
    <t>failures</t>
  </si>
  <si>
    <t>fainthearted</t>
  </si>
  <si>
    <t>fair</t>
  </si>
  <si>
    <t>faith</t>
  </si>
  <si>
    <t>faithful</t>
  </si>
  <si>
    <t>fake</t>
  </si>
  <si>
    <t>fakes</t>
  </si>
  <si>
    <t>faking</t>
  </si>
  <si>
    <t>fallen</t>
  </si>
  <si>
    <t>falling</t>
  </si>
  <si>
    <t>falsified</t>
  </si>
  <si>
    <t>falsify</t>
  </si>
  <si>
    <t>fame</t>
  </si>
  <si>
    <t>fan</t>
  </si>
  <si>
    <t>fantastic</t>
  </si>
  <si>
    <t>farce</t>
  </si>
  <si>
    <t>fascinate</t>
  </si>
  <si>
    <t>fascinated</t>
  </si>
  <si>
    <t>fascinates</t>
  </si>
  <si>
    <t>fascinating</t>
  </si>
  <si>
    <t>fascist</t>
  </si>
  <si>
    <t>fascists</t>
  </si>
  <si>
    <t>fatalities</t>
  </si>
  <si>
    <t>fatality</t>
  </si>
  <si>
    <t>fatigue</t>
  </si>
  <si>
    <t>fatigued</t>
  </si>
  <si>
    <t>fatigues</t>
  </si>
  <si>
    <t>fatiguing</t>
  </si>
  <si>
    <t>favor</t>
  </si>
  <si>
    <t>favored</t>
  </si>
  <si>
    <t>favorite</t>
  </si>
  <si>
    <t>favorited</t>
  </si>
  <si>
    <t>favorites</t>
  </si>
  <si>
    <t>favors</t>
  </si>
  <si>
    <t>fear</t>
  </si>
  <si>
    <t>fearful</t>
  </si>
  <si>
    <t>fearing</t>
  </si>
  <si>
    <t>fearless</t>
  </si>
  <si>
    <t>fearsome</t>
  </si>
  <si>
    <t>feeble</t>
  </si>
  <si>
    <t>feeling</t>
  </si>
  <si>
    <t>felonies</t>
  </si>
  <si>
    <t>felony</t>
  </si>
  <si>
    <t>fervent</t>
  </si>
  <si>
    <t>fervid</t>
  </si>
  <si>
    <t>festive</t>
  </si>
  <si>
    <t>fiasco</t>
  </si>
  <si>
    <t>fidgety</t>
  </si>
  <si>
    <t>fight</t>
  </si>
  <si>
    <t>fine</t>
  </si>
  <si>
    <t>fire</t>
  </si>
  <si>
    <t>fired</t>
  </si>
  <si>
    <t>firing</t>
  </si>
  <si>
    <t>fit</t>
  </si>
  <si>
    <t>fitness</t>
  </si>
  <si>
    <t>flagship</t>
  </si>
  <si>
    <t>flees</t>
  </si>
  <si>
    <t>flops</t>
  </si>
  <si>
    <t>flu</t>
  </si>
  <si>
    <t>flustered</t>
  </si>
  <si>
    <t>focused</t>
  </si>
  <si>
    <t>fond</t>
  </si>
  <si>
    <t>fondness</t>
  </si>
  <si>
    <t>fool</t>
  </si>
  <si>
    <t>foolish</t>
  </si>
  <si>
    <t>fools</t>
  </si>
  <si>
    <t>forced</t>
  </si>
  <si>
    <t>foreclosure</t>
  </si>
  <si>
    <t>foreclosures</t>
  </si>
  <si>
    <t>forget</t>
  </si>
  <si>
    <t>forgetful</t>
  </si>
  <si>
    <t>forgive</t>
  </si>
  <si>
    <t>forgiving</t>
  </si>
  <si>
    <t>forgotten</t>
  </si>
  <si>
    <t>fortunate</t>
  </si>
  <si>
    <t>frantic</t>
  </si>
  <si>
    <t>fraud</t>
  </si>
  <si>
    <t>frauds</t>
  </si>
  <si>
    <t>fraudster</t>
  </si>
  <si>
    <t>fraudsters</t>
  </si>
  <si>
    <t>fraudulence</t>
  </si>
  <si>
    <t>fraudulent</t>
  </si>
  <si>
    <t>free</t>
  </si>
  <si>
    <t>freedom</t>
  </si>
  <si>
    <t>frenzy</t>
  </si>
  <si>
    <t>fresh</t>
  </si>
  <si>
    <t>friendly</t>
  </si>
  <si>
    <t>fright</t>
  </si>
  <si>
    <t>frightened</t>
  </si>
  <si>
    <t>frightening</t>
  </si>
  <si>
    <t>frikin</t>
  </si>
  <si>
    <t>frisky</t>
  </si>
  <si>
    <t>frowning</t>
  </si>
  <si>
    <t>frustrate</t>
  </si>
  <si>
    <t>frustrated</t>
  </si>
  <si>
    <t>frustrates</t>
  </si>
  <si>
    <t>frustrating</t>
  </si>
  <si>
    <t>frustration</t>
  </si>
  <si>
    <t>ftw</t>
  </si>
  <si>
    <t>fud</t>
  </si>
  <si>
    <t>fuking</t>
  </si>
  <si>
    <t>fulfill</t>
  </si>
  <si>
    <t>fulfilled</t>
  </si>
  <si>
    <t>fulfills</t>
  </si>
  <si>
    <t>fuming</t>
  </si>
  <si>
    <t>fun</t>
  </si>
  <si>
    <t>funeral</t>
  </si>
  <si>
    <t>funerals</t>
  </si>
  <si>
    <t>funky</t>
  </si>
  <si>
    <t>funnier</t>
  </si>
  <si>
    <t>funny</t>
  </si>
  <si>
    <t>furious</t>
  </si>
  <si>
    <t>futile</t>
  </si>
  <si>
    <t>gag</t>
  </si>
  <si>
    <t>gagged</t>
  </si>
  <si>
    <t>gain</t>
  </si>
  <si>
    <t>gained</t>
  </si>
  <si>
    <t>gaining</t>
  </si>
  <si>
    <t>gains</t>
  </si>
  <si>
    <t>gallant</t>
  </si>
  <si>
    <t>gallantly</t>
  </si>
  <si>
    <t>gallantry</t>
  </si>
  <si>
    <t>generous</t>
  </si>
  <si>
    <t>genial</t>
  </si>
  <si>
    <t>ghost</t>
  </si>
  <si>
    <t>giddy</t>
  </si>
  <si>
    <t>gift</t>
  </si>
  <si>
    <t>glad</t>
  </si>
  <si>
    <t>glamorous</t>
  </si>
  <si>
    <t>glamourous</t>
  </si>
  <si>
    <t>glee</t>
  </si>
  <si>
    <t>gleeful</t>
  </si>
  <si>
    <t>gloom</t>
  </si>
  <si>
    <t>gloomy</t>
  </si>
  <si>
    <t>glorious</t>
  </si>
  <si>
    <t>glory</t>
  </si>
  <si>
    <t>glum</t>
  </si>
  <si>
    <t>god</t>
  </si>
  <si>
    <t>goddamn</t>
  </si>
  <si>
    <t>godsend</t>
  </si>
  <si>
    <t>good</t>
  </si>
  <si>
    <t>goodness</t>
  </si>
  <si>
    <t>grace</t>
  </si>
  <si>
    <t>gracious</t>
  </si>
  <si>
    <t>grand</t>
  </si>
  <si>
    <t>grant</t>
  </si>
  <si>
    <t>granted</t>
  </si>
  <si>
    <t>granting</t>
  </si>
  <si>
    <t>grants</t>
  </si>
  <si>
    <t>grateful</t>
  </si>
  <si>
    <t>gratification</t>
  </si>
  <si>
    <t>grave</t>
  </si>
  <si>
    <t>gray</t>
  </si>
  <si>
    <t>great</t>
  </si>
  <si>
    <t>greater</t>
  </si>
  <si>
    <t>greatest</t>
  </si>
  <si>
    <t>greed</t>
  </si>
  <si>
    <t>greedy</t>
  </si>
  <si>
    <t>greenwash</t>
  </si>
  <si>
    <t>greenwasher</t>
  </si>
  <si>
    <t>greenwashers</t>
  </si>
  <si>
    <t>greenwashing</t>
  </si>
  <si>
    <t>greet</t>
  </si>
  <si>
    <t>greeted</t>
  </si>
  <si>
    <t>greeting</t>
  </si>
  <si>
    <t>greetings</t>
  </si>
  <si>
    <t>greets</t>
  </si>
  <si>
    <t>grey</t>
  </si>
  <si>
    <t>grief</t>
  </si>
  <si>
    <t>grieved</t>
  </si>
  <si>
    <t>gross</t>
  </si>
  <si>
    <t>growing</t>
  </si>
  <si>
    <t>growth</t>
  </si>
  <si>
    <t>guarantee</t>
  </si>
  <si>
    <t>guilt</t>
  </si>
  <si>
    <t>guilty</t>
  </si>
  <si>
    <t>gullibility</t>
  </si>
  <si>
    <t>gullible</t>
  </si>
  <si>
    <t>gun</t>
  </si>
  <si>
    <t>hacked</t>
  </si>
  <si>
    <t>hail</t>
  </si>
  <si>
    <t>hailed</t>
  </si>
  <si>
    <t>hapless</t>
  </si>
  <si>
    <t>haplessness</t>
  </si>
  <si>
    <t>happiness</t>
  </si>
  <si>
    <t>happy</t>
  </si>
  <si>
    <t>hard</t>
  </si>
  <si>
    <t>hardier</t>
  </si>
  <si>
    <t>hardship</t>
  </si>
  <si>
    <t>hardy</t>
  </si>
  <si>
    <t>harm</t>
  </si>
  <si>
    <t>harmed</t>
  </si>
  <si>
    <t>harmful</t>
  </si>
  <si>
    <t>harming</t>
  </si>
  <si>
    <t>harms</t>
  </si>
  <si>
    <t>harried</t>
  </si>
  <si>
    <t>harsh</t>
  </si>
  <si>
    <t>harsher</t>
  </si>
  <si>
    <t>harshest</t>
  </si>
  <si>
    <t>hate</t>
  </si>
  <si>
    <t>hated</t>
  </si>
  <si>
    <t>haters</t>
  </si>
  <si>
    <t>hates</t>
  </si>
  <si>
    <t>hating</t>
  </si>
  <si>
    <t>haunt</t>
  </si>
  <si>
    <t>haunted</t>
  </si>
  <si>
    <t>haunting</t>
  </si>
  <si>
    <t>haunts</t>
  </si>
  <si>
    <t>havoc</t>
  </si>
  <si>
    <t>healthy</t>
  </si>
  <si>
    <t>heartbreaking</t>
  </si>
  <si>
    <t>heartbroken</t>
  </si>
  <si>
    <t>heartfelt</t>
  </si>
  <si>
    <t>heaven</t>
  </si>
  <si>
    <t>heavenly</t>
  </si>
  <si>
    <t>heavyhearted</t>
  </si>
  <si>
    <t>hell</t>
  </si>
  <si>
    <t>help</t>
  </si>
  <si>
    <t>helpful</t>
  </si>
  <si>
    <t>helping</t>
  </si>
  <si>
    <t>helpless</t>
  </si>
  <si>
    <t>helps</t>
  </si>
  <si>
    <t>hero</t>
  </si>
  <si>
    <t>heroes</t>
  </si>
  <si>
    <t>heroic</t>
  </si>
  <si>
    <t>hesitant</t>
  </si>
  <si>
    <t>hesitate</t>
  </si>
  <si>
    <t>hid</t>
  </si>
  <si>
    <t>hide</t>
  </si>
  <si>
    <t>hides</t>
  </si>
  <si>
    <t>hiding</t>
  </si>
  <si>
    <t>highlight</t>
  </si>
  <si>
    <t>hilarious</t>
  </si>
  <si>
    <t>hindrance</t>
  </si>
  <si>
    <t>hoax</t>
  </si>
  <si>
    <t>homesick</t>
  </si>
  <si>
    <t>honest</t>
  </si>
  <si>
    <t>honor</t>
  </si>
  <si>
    <t>honored</t>
  </si>
  <si>
    <t>honoring</t>
  </si>
  <si>
    <t>honour</t>
  </si>
  <si>
    <t>honoured</t>
  </si>
  <si>
    <t>honouring</t>
  </si>
  <si>
    <t>hooligan</t>
  </si>
  <si>
    <t>hooliganism</t>
  </si>
  <si>
    <t>hooligans</t>
  </si>
  <si>
    <t>hope</t>
  </si>
  <si>
    <t>hopeful</t>
  </si>
  <si>
    <t>hopefully</t>
  </si>
  <si>
    <t>hopeless</t>
  </si>
  <si>
    <t>hopelessness</t>
  </si>
  <si>
    <t>hopes</t>
  </si>
  <si>
    <t>hoping</t>
  </si>
  <si>
    <t>horrible</t>
  </si>
  <si>
    <t>horrific</t>
  </si>
  <si>
    <t>horrified</t>
  </si>
  <si>
    <t>hostile</t>
  </si>
  <si>
    <t>huckster</t>
  </si>
  <si>
    <t>hug</t>
  </si>
  <si>
    <t>huge</t>
  </si>
  <si>
    <t>hugs</t>
  </si>
  <si>
    <t>humerous</t>
  </si>
  <si>
    <t>humiliated</t>
  </si>
  <si>
    <t>humiliation</t>
  </si>
  <si>
    <t>humor</t>
  </si>
  <si>
    <t>humorous</t>
  </si>
  <si>
    <t>humour</t>
  </si>
  <si>
    <t>humourous</t>
  </si>
  <si>
    <t>hunger</t>
  </si>
  <si>
    <t>hurrah</t>
  </si>
  <si>
    <t>hurt</t>
  </si>
  <si>
    <t>hurting</t>
  </si>
  <si>
    <t>hurts</t>
  </si>
  <si>
    <t>hypocritical</t>
  </si>
  <si>
    <t>hysteria</t>
  </si>
  <si>
    <t>hysterical</t>
  </si>
  <si>
    <t>hysterics</t>
  </si>
  <si>
    <t>idiot</t>
  </si>
  <si>
    <t>idiotic</t>
  </si>
  <si>
    <t>ignorance</t>
  </si>
  <si>
    <t>ignorant</t>
  </si>
  <si>
    <t>ignore</t>
  </si>
  <si>
    <t>ignored</t>
  </si>
  <si>
    <t>ignores</t>
  </si>
  <si>
    <t>ill</t>
  </si>
  <si>
    <t>illegal</t>
  </si>
  <si>
    <t>illiteracy</t>
  </si>
  <si>
    <t>illness</t>
  </si>
  <si>
    <t>illnesses</t>
  </si>
  <si>
    <t>imbecile</t>
  </si>
  <si>
    <t>immobilized</t>
  </si>
  <si>
    <t>immortal</t>
  </si>
  <si>
    <t>immune</t>
  </si>
  <si>
    <t>impatient</t>
  </si>
  <si>
    <t>imperfect</t>
  </si>
  <si>
    <t>importance</t>
  </si>
  <si>
    <t>important</t>
  </si>
  <si>
    <t>impose</t>
  </si>
  <si>
    <t>imposed</t>
  </si>
  <si>
    <t>imposes</t>
  </si>
  <si>
    <t>imposing</t>
  </si>
  <si>
    <t>impotent</t>
  </si>
  <si>
    <t>impress</t>
  </si>
  <si>
    <t>impressed</t>
  </si>
  <si>
    <t>impresses</t>
  </si>
  <si>
    <t>impressive</t>
  </si>
  <si>
    <t>imprisoned</t>
  </si>
  <si>
    <t>improve</t>
  </si>
  <si>
    <t>improved</t>
  </si>
  <si>
    <t>improvement</t>
  </si>
  <si>
    <t>improves</t>
  </si>
  <si>
    <t>improving</t>
  </si>
  <si>
    <t>inability</t>
  </si>
  <si>
    <t>inaction</t>
  </si>
  <si>
    <t>inadequate</t>
  </si>
  <si>
    <t>incapable</t>
  </si>
  <si>
    <t>incapacitated</t>
  </si>
  <si>
    <t>incensed</t>
  </si>
  <si>
    <t>incompetence</t>
  </si>
  <si>
    <t>incompetent</t>
  </si>
  <si>
    <t>inconsiderate</t>
  </si>
  <si>
    <t>inconvenience</t>
  </si>
  <si>
    <t>inconvenient</t>
  </si>
  <si>
    <t>increase</t>
  </si>
  <si>
    <t>increased</t>
  </si>
  <si>
    <t>indecisive</t>
  </si>
  <si>
    <t>indestructible</t>
  </si>
  <si>
    <t>indifference</t>
  </si>
  <si>
    <t>indifferent</t>
  </si>
  <si>
    <t>indignant</t>
  </si>
  <si>
    <t>indignation</t>
  </si>
  <si>
    <t>indoctrinate</t>
  </si>
  <si>
    <t>indoctrinated</t>
  </si>
  <si>
    <t>indoctrinates</t>
  </si>
  <si>
    <t>indoctrinating</t>
  </si>
  <si>
    <t>ineffective</t>
  </si>
  <si>
    <t>ineffectively</t>
  </si>
  <si>
    <t>infatuated</t>
  </si>
  <si>
    <t>infatuation</t>
  </si>
  <si>
    <t>infected</t>
  </si>
  <si>
    <t>inferior</t>
  </si>
  <si>
    <t>inflamed</t>
  </si>
  <si>
    <t>influential</t>
  </si>
  <si>
    <t>infringement</t>
  </si>
  <si>
    <t>infuriate</t>
  </si>
  <si>
    <t>infuriated</t>
  </si>
  <si>
    <t>infuriates</t>
  </si>
  <si>
    <t>infuriating</t>
  </si>
  <si>
    <t>inhibit</t>
  </si>
  <si>
    <t>injured</t>
  </si>
  <si>
    <t>injury</t>
  </si>
  <si>
    <t>injustice</t>
  </si>
  <si>
    <t>innovate</t>
  </si>
  <si>
    <t>innovates</t>
  </si>
  <si>
    <t>innovation</t>
  </si>
  <si>
    <t>innovative</t>
  </si>
  <si>
    <t>inquisition</t>
  </si>
  <si>
    <t>inquisitive</t>
  </si>
  <si>
    <t>insane</t>
  </si>
  <si>
    <t>insanity</t>
  </si>
  <si>
    <t>insecure</t>
  </si>
  <si>
    <t>insensitive</t>
  </si>
  <si>
    <t>insensitivity</t>
  </si>
  <si>
    <t>insignificant</t>
  </si>
  <si>
    <t>insipid</t>
  </si>
  <si>
    <t>inspiration</t>
  </si>
  <si>
    <t>inspirational</t>
  </si>
  <si>
    <t>inspire</t>
  </si>
  <si>
    <t>inspired</t>
  </si>
  <si>
    <t>inspires</t>
  </si>
  <si>
    <t>inspiring</t>
  </si>
  <si>
    <t>insult</t>
  </si>
  <si>
    <t>insulted</t>
  </si>
  <si>
    <t>insulting</t>
  </si>
  <si>
    <t>insults</t>
  </si>
  <si>
    <t>intact</t>
  </si>
  <si>
    <t>integrity</t>
  </si>
  <si>
    <t>intelligent</t>
  </si>
  <si>
    <t>intense</t>
  </si>
  <si>
    <t>interest</t>
  </si>
  <si>
    <t>interested</t>
  </si>
  <si>
    <t>interesting</t>
  </si>
  <si>
    <t>interests</t>
  </si>
  <si>
    <t>interrogated</t>
  </si>
  <si>
    <t>interrupt</t>
  </si>
  <si>
    <t>interrupted</t>
  </si>
  <si>
    <t>interrupting</t>
  </si>
  <si>
    <t>interruption</t>
  </si>
  <si>
    <t>interrupts</t>
  </si>
  <si>
    <t>intimidate</t>
  </si>
  <si>
    <t>intimidated</t>
  </si>
  <si>
    <t>intimidates</t>
  </si>
  <si>
    <t>intimidating</t>
  </si>
  <si>
    <t>intimidation</t>
  </si>
  <si>
    <t>intricate</t>
  </si>
  <si>
    <t>intrigues</t>
  </si>
  <si>
    <t>invincible</t>
  </si>
  <si>
    <t>invite</t>
  </si>
  <si>
    <t>inviting</t>
  </si>
  <si>
    <t>invulnerable</t>
  </si>
  <si>
    <t>irate</t>
  </si>
  <si>
    <t>ironic</t>
  </si>
  <si>
    <t>irony</t>
  </si>
  <si>
    <t>irrational</t>
  </si>
  <si>
    <t>irresistible</t>
  </si>
  <si>
    <t>irresolute</t>
  </si>
  <si>
    <t>irresponsible</t>
  </si>
  <si>
    <t>irreversible</t>
  </si>
  <si>
    <t>irritate</t>
  </si>
  <si>
    <t>irritated</t>
  </si>
  <si>
    <t>irritating</t>
  </si>
  <si>
    <t>isolated</t>
  </si>
  <si>
    <t>itchy</t>
  </si>
  <si>
    <t>jailed</t>
  </si>
  <si>
    <t>jaunty</t>
  </si>
  <si>
    <t>jealous</t>
  </si>
  <si>
    <t>jeopardy</t>
  </si>
  <si>
    <t>jerk</t>
  </si>
  <si>
    <t>jesus</t>
  </si>
  <si>
    <t>jewel</t>
  </si>
  <si>
    <t>jewels</t>
  </si>
  <si>
    <t>jocular</t>
  </si>
  <si>
    <t>join</t>
  </si>
  <si>
    <t>joke</t>
  </si>
  <si>
    <t>jokes</t>
  </si>
  <si>
    <t>jolly</t>
  </si>
  <si>
    <t>jovial</t>
  </si>
  <si>
    <t>joy</t>
  </si>
  <si>
    <t>joyful</t>
  </si>
  <si>
    <t>joyfully</t>
  </si>
  <si>
    <t>joyless</t>
  </si>
  <si>
    <t>joyous</t>
  </si>
  <si>
    <t>jubilant</t>
  </si>
  <si>
    <t>jumpy</t>
  </si>
  <si>
    <t>justice</t>
  </si>
  <si>
    <t>justifiably</t>
  </si>
  <si>
    <t>justified</t>
  </si>
  <si>
    <t>keen</t>
  </si>
  <si>
    <t>kill</t>
  </si>
  <si>
    <t>killed</t>
  </si>
  <si>
    <t>killing</t>
  </si>
  <si>
    <t>kills</t>
  </si>
  <si>
    <t>kind</t>
  </si>
  <si>
    <t>kinder</t>
  </si>
  <si>
    <t>kiss</t>
  </si>
  <si>
    <t>kudos</t>
  </si>
  <si>
    <t>lack</t>
  </si>
  <si>
    <t>lackadaisical</t>
  </si>
  <si>
    <t>lag</t>
  </si>
  <si>
    <t>lagged</t>
  </si>
  <si>
    <t>lagging</t>
  </si>
  <si>
    <t>lags</t>
  </si>
  <si>
    <t>lame</t>
  </si>
  <si>
    <t>landmark</t>
  </si>
  <si>
    <t>laugh</t>
  </si>
  <si>
    <t>laughed</t>
  </si>
  <si>
    <t>laughing</t>
  </si>
  <si>
    <t>laughs</t>
  </si>
  <si>
    <t>laughting</t>
  </si>
  <si>
    <t>launched</t>
  </si>
  <si>
    <t>lawl</t>
  </si>
  <si>
    <t>lawsuit</t>
  </si>
  <si>
    <t>lawsuits</t>
  </si>
  <si>
    <t>lazy</t>
  </si>
  <si>
    <t>leak</t>
  </si>
  <si>
    <t>leaked</t>
  </si>
  <si>
    <t>leave</t>
  </si>
  <si>
    <t>legal</t>
  </si>
  <si>
    <t>legally</t>
  </si>
  <si>
    <t>lenient</t>
  </si>
  <si>
    <t>lethargic</t>
  </si>
  <si>
    <t>lethargy</t>
  </si>
  <si>
    <t>liar</t>
  </si>
  <si>
    <t>liars</t>
  </si>
  <si>
    <t>libelous</t>
  </si>
  <si>
    <t>lied</t>
  </si>
  <si>
    <t>lifesaver</t>
  </si>
  <si>
    <t>lighthearted</t>
  </si>
  <si>
    <t>like</t>
  </si>
  <si>
    <t>liked</t>
  </si>
  <si>
    <t>likes</t>
  </si>
  <si>
    <t>limitation</t>
  </si>
  <si>
    <t>limited</t>
  </si>
  <si>
    <t>limits</t>
  </si>
  <si>
    <t>litigation</t>
  </si>
  <si>
    <t>litigious</t>
  </si>
  <si>
    <t>lively</t>
  </si>
  <si>
    <t>livid</t>
  </si>
  <si>
    <t>loathe</t>
  </si>
  <si>
    <t>loathed</t>
  </si>
  <si>
    <t>loathes</t>
  </si>
  <si>
    <t>loathing</t>
  </si>
  <si>
    <t>lobby</t>
  </si>
  <si>
    <t>lobbying</t>
  </si>
  <si>
    <t>lonely</t>
  </si>
  <si>
    <t>lonesome</t>
  </si>
  <si>
    <t>longing</t>
  </si>
  <si>
    <t>loom</t>
  </si>
  <si>
    <t>loomed</t>
  </si>
  <si>
    <t>looming</t>
  </si>
  <si>
    <t>looms</t>
  </si>
  <si>
    <t>loose</t>
  </si>
  <si>
    <t>looses</t>
  </si>
  <si>
    <t>loser</t>
  </si>
  <si>
    <t>losing</t>
  </si>
  <si>
    <t>loss</t>
  </si>
  <si>
    <t>lost</t>
  </si>
  <si>
    <t>lovable</t>
  </si>
  <si>
    <t>love</t>
  </si>
  <si>
    <t>loved</t>
  </si>
  <si>
    <t>lovelies</t>
  </si>
  <si>
    <t>lovely</t>
  </si>
  <si>
    <t>loving</t>
  </si>
  <si>
    <t>lowest</t>
  </si>
  <si>
    <t>loyal</t>
  </si>
  <si>
    <t>loyalty</t>
  </si>
  <si>
    <t>luck</t>
  </si>
  <si>
    <t>luckily</t>
  </si>
  <si>
    <t>lucky</t>
  </si>
  <si>
    <t>lugubrious</t>
  </si>
  <si>
    <t>lunatic</t>
  </si>
  <si>
    <t>lunatics</t>
  </si>
  <si>
    <t>lurk</t>
  </si>
  <si>
    <t>lurking</t>
  </si>
  <si>
    <t>lurks</t>
  </si>
  <si>
    <t>mad</t>
  </si>
  <si>
    <t>maddening</t>
  </si>
  <si>
    <t>madly</t>
  </si>
  <si>
    <t>madness</t>
  </si>
  <si>
    <t>mandatory</t>
  </si>
  <si>
    <t>manipulated</t>
  </si>
  <si>
    <t>manipulating</t>
  </si>
  <si>
    <t>manipulation</t>
  </si>
  <si>
    <t>marvel</t>
  </si>
  <si>
    <t>marvelous</t>
  </si>
  <si>
    <t>marvels</t>
  </si>
  <si>
    <t>masterpiece</t>
  </si>
  <si>
    <t>masterpieces</t>
  </si>
  <si>
    <t>matter</t>
  </si>
  <si>
    <t>matters</t>
  </si>
  <si>
    <t>mature</t>
  </si>
  <si>
    <t>meaningful</t>
  </si>
  <si>
    <t>meaningless</t>
  </si>
  <si>
    <t>medal</t>
  </si>
  <si>
    <t>mediocrity</t>
  </si>
  <si>
    <t>meditative</t>
  </si>
  <si>
    <t>melancholy</t>
  </si>
  <si>
    <t>menace</t>
  </si>
  <si>
    <t>menaced</t>
  </si>
  <si>
    <t>mercy</t>
  </si>
  <si>
    <t>merry</t>
  </si>
  <si>
    <t>mess</t>
  </si>
  <si>
    <t>messed</t>
  </si>
  <si>
    <t>methodical</t>
  </si>
  <si>
    <t>mindless</t>
  </si>
  <si>
    <t>miracle</t>
  </si>
  <si>
    <t>mirth</t>
  </si>
  <si>
    <t>mirthful</t>
  </si>
  <si>
    <t>mirthfully</t>
  </si>
  <si>
    <t>misbehave</t>
  </si>
  <si>
    <t>misbehaved</t>
  </si>
  <si>
    <t>misbehaves</t>
  </si>
  <si>
    <t>misbehaving</t>
  </si>
  <si>
    <t>mischief</t>
  </si>
  <si>
    <t>mischiefs</t>
  </si>
  <si>
    <t>miserable</t>
  </si>
  <si>
    <t>misery</t>
  </si>
  <si>
    <t>misgiving</t>
  </si>
  <si>
    <t>misinformation</t>
  </si>
  <si>
    <t>misinformed</t>
  </si>
  <si>
    <t>misinterpreted</t>
  </si>
  <si>
    <t>misleading</t>
  </si>
  <si>
    <t>misread</t>
  </si>
  <si>
    <t>misreporting</t>
  </si>
  <si>
    <t>misrepresentation</t>
  </si>
  <si>
    <t>miss</t>
  </si>
  <si>
    <t>missed</t>
  </si>
  <si>
    <t>missing</t>
  </si>
  <si>
    <t>mistake</t>
  </si>
  <si>
    <t>mistaken</t>
  </si>
  <si>
    <t>mistakes</t>
  </si>
  <si>
    <t>mistaking</t>
  </si>
  <si>
    <t>misunderstand</t>
  </si>
  <si>
    <t>misunderstanding</t>
  </si>
  <si>
    <t>misunderstands</t>
  </si>
  <si>
    <t>misunderstood</t>
  </si>
  <si>
    <t>moan</t>
  </si>
  <si>
    <t>moaned</t>
  </si>
  <si>
    <t>moaning</t>
  </si>
  <si>
    <t>moans</t>
  </si>
  <si>
    <t>mock</t>
  </si>
  <si>
    <t>mocked</t>
  </si>
  <si>
    <t>mocking</t>
  </si>
  <si>
    <t>mocks</t>
  </si>
  <si>
    <t>mongering</t>
  </si>
  <si>
    <t>monopolize</t>
  </si>
  <si>
    <t>monopolized</t>
  </si>
  <si>
    <t>monopolizes</t>
  </si>
  <si>
    <t>monopolizing</t>
  </si>
  <si>
    <t>moody</t>
  </si>
  <si>
    <t>mope</t>
  </si>
  <si>
    <t>moping</t>
  </si>
  <si>
    <t>moron</t>
  </si>
  <si>
    <t>motherfucker</t>
  </si>
  <si>
    <t>motherfucking</t>
  </si>
  <si>
    <t>motivate</t>
  </si>
  <si>
    <t>motivated</t>
  </si>
  <si>
    <t>motivating</t>
  </si>
  <si>
    <t>motivation</t>
  </si>
  <si>
    <t>mourn</t>
  </si>
  <si>
    <t>mourned</t>
  </si>
  <si>
    <t>mournful</t>
  </si>
  <si>
    <t>mourning</t>
  </si>
  <si>
    <t>mourns</t>
  </si>
  <si>
    <t>mumpish</t>
  </si>
  <si>
    <t>murder</t>
  </si>
  <si>
    <t>murderer</t>
  </si>
  <si>
    <t>murdering</t>
  </si>
  <si>
    <t>murderous</t>
  </si>
  <si>
    <t>murders</t>
  </si>
  <si>
    <t>myth</t>
  </si>
  <si>
    <t>naive</t>
  </si>
  <si>
    <t>nasty</t>
  </si>
  <si>
    <t>natural</t>
  </si>
  <si>
    <t>needy</t>
  </si>
  <si>
    <t>negative</t>
  </si>
  <si>
    <t>negativity</t>
  </si>
  <si>
    <t>neglect</t>
  </si>
  <si>
    <t>neglected</t>
  </si>
  <si>
    <t>neglecting</t>
  </si>
  <si>
    <t>neglects</t>
  </si>
  <si>
    <t>nerves</t>
  </si>
  <si>
    <t>nervous</t>
  </si>
  <si>
    <t>nervously</t>
  </si>
  <si>
    <t>nice</t>
  </si>
  <si>
    <t>nifty</t>
  </si>
  <si>
    <t>noble</t>
  </si>
  <si>
    <t>noisy</t>
  </si>
  <si>
    <t>nonsense</t>
  </si>
  <si>
    <t>noob</t>
  </si>
  <si>
    <t>nosey</t>
  </si>
  <si>
    <t>notorious</t>
  </si>
  <si>
    <t>novel</t>
  </si>
  <si>
    <t>numb</t>
  </si>
  <si>
    <t>nuts</t>
  </si>
  <si>
    <t>obliterate</t>
  </si>
  <si>
    <t>obliterated</t>
  </si>
  <si>
    <t>obnoxious</t>
  </si>
  <si>
    <t>obscene</t>
  </si>
  <si>
    <t>obsessed</t>
  </si>
  <si>
    <t>obsolete</t>
  </si>
  <si>
    <t>obstacle</t>
  </si>
  <si>
    <t>obstacles</t>
  </si>
  <si>
    <t>obstinate</t>
  </si>
  <si>
    <t>odd</t>
  </si>
  <si>
    <t>offend</t>
  </si>
  <si>
    <t>offended</t>
  </si>
  <si>
    <t>offender</t>
  </si>
  <si>
    <t>offending</t>
  </si>
  <si>
    <t>offends</t>
  </si>
  <si>
    <t>offline</t>
  </si>
  <si>
    <t>ominous</t>
  </si>
  <si>
    <t>opportunities</t>
  </si>
  <si>
    <t>opportunity</t>
  </si>
  <si>
    <t>oppressed</t>
  </si>
  <si>
    <t>oppressive</t>
  </si>
  <si>
    <t>optimism</t>
  </si>
  <si>
    <t>optimistic</t>
  </si>
  <si>
    <t>optionless</t>
  </si>
  <si>
    <t>outcry</t>
  </si>
  <si>
    <t>outmaneuvered</t>
  </si>
  <si>
    <t>outrage</t>
  </si>
  <si>
    <t>outraged</t>
  </si>
  <si>
    <t>outreach</t>
  </si>
  <si>
    <t>outstanding</t>
  </si>
  <si>
    <t>overjoyed</t>
  </si>
  <si>
    <t>overload</t>
  </si>
  <si>
    <t>overlooked</t>
  </si>
  <si>
    <t>overreact</t>
  </si>
  <si>
    <t>overreacted</t>
  </si>
  <si>
    <t>overreaction</t>
  </si>
  <si>
    <t>overreacts</t>
  </si>
  <si>
    <t>oversell</t>
  </si>
  <si>
    <t>overselling</t>
  </si>
  <si>
    <t>oversells</t>
  </si>
  <si>
    <t>oversimplification</t>
  </si>
  <si>
    <t>oversimplified</t>
  </si>
  <si>
    <t>oversimplifies</t>
  </si>
  <si>
    <t>oversimplify</t>
  </si>
  <si>
    <t>overstatement</t>
  </si>
  <si>
    <t>overstatements</t>
  </si>
  <si>
    <t>overweight</t>
  </si>
  <si>
    <t>oxymoron</t>
  </si>
  <si>
    <t>pain</t>
  </si>
  <si>
    <t>pained</t>
  </si>
  <si>
    <t>panic</t>
  </si>
  <si>
    <t>panicked</t>
  </si>
  <si>
    <t>panics</t>
  </si>
  <si>
    <t>paradise</t>
  </si>
  <si>
    <t>paradox</t>
  </si>
  <si>
    <t>pardon</t>
  </si>
  <si>
    <t>pardoned</t>
  </si>
  <si>
    <t>pardoning</t>
  </si>
  <si>
    <t>pardons</t>
  </si>
  <si>
    <t>parley</t>
  </si>
  <si>
    <t>passionate</t>
  </si>
  <si>
    <t>passive</t>
  </si>
  <si>
    <t>passively</t>
  </si>
  <si>
    <t>pathetic</t>
  </si>
  <si>
    <t>pay</t>
  </si>
  <si>
    <t>peace</t>
  </si>
  <si>
    <t>peaceful</t>
  </si>
  <si>
    <t>peacefully</t>
  </si>
  <si>
    <t>penalty</t>
  </si>
  <si>
    <t>pensive</t>
  </si>
  <si>
    <t>perfect</t>
  </si>
  <si>
    <t>perfected</t>
  </si>
  <si>
    <t>perfectly</t>
  </si>
  <si>
    <t>perfects</t>
  </si>
  <si>
    <t>peril</t>
  </si>
  <si>
    <t>perjury</t>
  </si>
  <si>
    <t>perpetrator</t>
  </si>
  <si>
    <t>perpetrators</t>
  </si>
  <si>
    <t>perplexed</t>
  </si>
  <si>
    <t>persecute</t>
  </si>
  <si>
    <t>persecuted</t>
  </si>
  <si>
    <t>persecutes</t>
  </si>
  <si>
    <t>persecuting</t>
  </si>
  <si>
    <t>perturbed</t>
  </si>
  <si>
    <t>pesky</t>
  </si>
  <si>
    <t>pessimism</t>
  </si>
  <si>
    <t>pessimistic</t>
  </si>
  <si>
    <t>petrified</t>
  </si>
  <si>
    <t>phobic</t>
  </si>
  <si>
    <t>picturesque</t>
  </si>
  <si>
    <t>pileup</t>
  </si>
  <si>
    <t>pique</t>
  </si>
  <si>
    <t>piqued</t>
  </si>
  <si>
    <t>piss</t>
  </si>
  <si>
    <t>pissed</t>
  </si>
  <si>
    <t>pissing</t>
  </si>
  <si>
    <t>piteous</t>
  </si>
  <si>
    <t>pitied</t>
  </si>
  <si>
    <t>pity</t>
  </si>
  <si>
    <t>playful</t>
  </si>
  <si>
    <t>pleasant</t>
  </si>
  <si>
    <t>please</t>
  </si>
  <si>
    <t>pleased</t>
  </si>
  <si>
    <t>pleasure</t>
  </si>
  <si>
    <t>poised</t>
  </si>
  <si>
    <t>poison</t>
  </si>
  <si>
    <t>poisoned</t>
  </si>
  <si>
    <t>poisons</t>
  </si>
  <si>
    <t>pollute</t>
  </si>
  <si>
    <t>polluted</t>
  </si>
  <si>
    <t>polluter</t>
  </si>
  <si>
    <t>polluters</t>
  </si>
  <si>
    <t>pollutes</t>
  </si>
  <si>
    <t>poor</t>
  </si>
  <si>
    <t>poorer</t>
  </si>
  <si>
    <t>poorest</t>
  </si>
  <si>
    <t>popular</t>
  </si>
  <si>
    <t>positive</t>
  </si>
  <si>
    <t>positively</t>
  </si>
  <si>
    <t>possessive</t>
  </si>
  <si>
    <t>postpone</t>
  </si>
  <si>
    <t>postponed</t>
  </si>
  <si>
    <t>postpones</t>
  </si>
  <si>
    <t>postponing</t>
  </si>
  <si>
    <t>poverty</t>
  </si>
  <si>
    <t>powerful</t>
  </si>
  <si>
    <t>powerless</t>
  </si>
  <si>
    <t>praise</t>
  </si>
  <si>
    <t>praised</t>
  </si>
  <si>
    <t>praises</t>
  </si>
  <si>
    <t>praising</t>
  </si>
  <si>
    <t>pray</t>
  </si>
  <si>
    <t>praying</t>
  </si>
  <si>
    <t>prays</t>
  </si>
  <si>
    <t>prblm</t>
  </si>
  <si>
    <t>prblms</t>
  </si>
  <si>
    <t>prepared</t>
  </si>
  <si>
    <t>pressure</t>
  </si>
  <si>
    <t>pressured</t>
  </si>
  <si>
    <t>pretend</t>
  </si>
  <si>
    <t>pretending</t>
  </si>
  <si>
    <t>pretends</t>
  </si>
  <si>
    <t>pretty</t>
  </si>
  <si>
    <t>prevent</t>
  </si>
  <si>
    <t>prevented</t>
  </si>
  <si>
    <t>preventing</t>
  </si>
  <si>
    <t>prevents</t>
  </si>
  <si>
    <t>prick</t>
  </si>
  <si>
    <t>prison</t>
  </si>
  <si>
    <t>prisoner</t>
  </si>
  <si>
    <t>prisoners</t>
  </si>
  <si>
    <t>privileged</t>
  </si>
  <si>
    <t>proactive</t>
  </si>
  <si>
    <t>problem</t>
  </si>
  <si>
    <t>problems</t>
  </si>
  <si>
    <t>profiteer</t>
  </si>
  <si>
    <t>progress</t>
  </si>
  <si>
    <t>prominent</t>
  </si>
  <si>
    <t>promise</t>
  </si>
  <si>
    <t>promised</t>
  </si>
  <si>
    <t>promises</t>
  </si>
  <si>
    <t>promote</t>
  </si>
  <si>
    <t>promoted</t>
  </si>
  <si>
    <t>promotes</t>
  </si>
  <si>
    <t>promoting</t>
  </si>
  <si>
    <t>propaganda</t>
  </si>
  <si>
    <t>prosecute</t>
  </si>
  <si>
    <t>prosecuted</t>
  </si>
  <si>
    <t>prosecutes</t>
  </si>
  <si>
    <t>prosecution</t>
  </si>
  <si>
    <t>prospect</t>
  </si>
  <si>
    <t>prospects</t>
  </si>
  <si>
    <t>prosperous</t>
  </si>
  <si>
    <t>protect</t>
  </si>
  <si>
    <t>protected</t>
  </si>
  <si>
    <t>protects</t>
  </si>
  <si>
    <t>protest</t>
  </si>
  <si>
    <t>protesters</t>
  </si>
  <si>
    <t>protesting</t>
  </si>
  <si>
    <t>protests</t>
  </si>
  <si>
    <t>proud</t>
  </si>
  <si>
    <t>proudly</t>
  </si>
  <si>
    <t>provoke</t>
  </si>
  <si>
    <t>provoked</t>
  </si>
  <si>
    <t>provokes</t>
  </si>
  <si>
    <t>provoking</t>
  </si>
  <si>
    <t>pseudoscience</t>
  </si>
  <si>
    <t>punish</t>
  </si>
  <si>
    <t>punished</t>
  </si>
  <si>
    <t>punishes</t>
  </si>
  <si>
    <t>punitive</t>
  </si>
  <si>
    <t>pushy</t>
  </si>
  <si>
    <t>puzzled</t>
  </si>
  <si>
    <t>quaking</t>
  </si>
  <si>
    <t>questionable</t>
  </si>
  <si>
    <t>questioned</t>
  </si>
  <si>
    <t>questioning</t>
  </si>
  <si>
    <t>racism</t>
  </si>
  <si>
    <t>racist</t>
  </si>
  <si>
    <t>racists</t>
  </si>
  <si>
    <t>rage</t>
  </si>
  <si>
    <t>rageful</t>
  </si>
  <si>
    <t>rainy</t>
  </si>
  <si>
    <t>rant</t>
  </si>
  <si>
    <t>ranter</t>
  </si>
  <si>
    <t>ranters</t>
  </si>
  <si>
    <t>rants</t>
  </si>
  <si>
    <t>rape</t>
  </si>
  <si>
    <t>rapist</t>
  </si>
  <si>
    <t>rapture</t>
  </si>
  <si>
    <t>raptured</t>
  </si>
  <si>
    <t>raptures</t>
  </si>
  <si>
    <t>rapturous</t>
  </si>
  <si>
    <t>rash</t>
  </si>
  <si>
    <t>ratified</t>
  </si>
  <si>
    <t>reach</t>
  </si>
  <si>
    <t>reached</t>
  </si>
  <si>
    <t>reaches</t>
  </si>
  <si>
    <t>reaching</t>
  </si>
  <si>
    <t>reassure</t>
  </si>
  <si>
    <t>reassured</t>
  </si>
  <si>
    <t>reassures</t>
  </si>
  <si>
    <t>reassuring</t>
  </si>
  <si>
    <t>rebellion</t>
  </si>
  <si>
    <t>recession</t>
  </si>
  <si>
    <t>reckless</t>
  </si>
  <si>
    <t>recommend</t>
  </si>
  <si>
    <t>recommended</t>
  </si>
  <si>
    <t>recommends</t>
  </si>
  <si>
    <t>redeemed</t>
  </si>
  <si>
    <t>refuse</t>
  </si>
  <si>
    <t>refused</t>
  </si>
  <si>
    <t>refusing</t>
  </si>
  <si>
    <t>regret</t>
  </si>
  <si>
    <t>regretful</t>
  </si>
  <si>
    <t>regrets</t>
  </si>
  <si>
    <t>regretted</t>
  </si>
  <si>
    <t>regretting</t>
  </si>
  <si>
    <t>reject</t>
  </si>
  <si>
    <t>rejected</t>
  </si>
  <si>
    <t>rejecting</t>
  </si>
  <si>
    <t>rejects</t>
  </si>
  <si>
    <t>rejoice</t>
  </si>
  <si>
    <t>rejoiced</t>
  </si>
  <si>
    <t>rejoices</t>
  </si>
  <si>
    <t>rejoicing</t>
  </si>
  <si>
    <t>relaxed</t>
  </si>
  <si>
    <t>relentless</t>
  </si>
  <si>
    <t>reliant</t>
  </si>
  <si>
    <t>relieve</t>
  </si>
  <si>
    <t>relieved</t>
  </si>
  <si>
    <t>relieves</t>
  </si>
  <si>
    <t>relieving</t>
  </si>
  <si>
    <t>relishing</t>
  </si>
  <si>
    <t>remarkable</t>
  </si>
  <si>
    <t>remorse</t>
  </si>
  <si>
    <t>repulse</t>
  </si>
  <si>
    <t>repulsed</t>
  </si>
  <si>
    <t>rescue</t>
  </si>
  <si>
    <t>rescued</t>
  </si>
  <si>
    <t>rescues</t>
  </si>
  <si>
    <t>resentful</t>
  </si>
  <si>
    <t>resign</t>
  </si>
  <si>
    <t>resigned</t>
  </si>
  <si>
    <t>resigning</t>
  </si>
  <si>
    <t>resigns</t>
  </si>
  <si>
    <t>resolute</t>
  </si>
  <si>
    <t>resolve</t>
  </si>
  <si>
    <t>resolved</t>
  </si>
  <si>
    <t>resolves</t>
  </si>
  <si>
    <t>resolving</t>
  </si>
  <si>
    <t>respected</t>
  </si>
  <si>
    <t>responsible</t>
  </si>
  <si>
    <t>responsive</t>
  </si>
  <si>
    <t>restful</t>
  </si>
  <si>
    <t>restless</t>
  </si>
  <si>
    <t>restore</t>
  </si>
  <si>
    <t>restored</t>
  </si>
  <si>
    <t>restores</t>
  </si>
  <si>
    <t>restoring</t>
  </si>
  <si>
    <t>restrict</t>
  </si>
  <si>
    <t>restricted</t>
  </si>
  <si>
    <t>restricting</t>
  </si>
  <si>
    <t>restriction</t>
  </si>
  <si>
    <t>restricts</t>
  </si>
  <si>
    <t>retained</t>
  </si>
  <si>
    <t>retreat</t>
  </si>
  <si>
    <t>revenge</t>
  </si>
  <si>
    <t>revengeful</t>
  </si>
  <si>
    <t>revered</t>
  </si>
  <si>
    <t>revive</t>
  </si>
  <si>
    <t>revives</t>
  </si>
  <si>
    <t>reward</t>
  </si>
  <si>
    <t>rewarded</t>
  </si>
  <si>
    <t>rewarding</t>
  </si>
  <si>
    <t>rewards</t>
  </si>
  <si>
    <t>rich</t>
  </si>
  <si>
    <t>ridiculous</t>
  </si>
  <si>
    <t>rig</t>
  </si>
  <si>
    <t>rigged</t>
  </si>
  <si>
    <t>rigorous</t>
  </si>
  <si>
    <t>rigorously</t>
  </si>
  <si>
    <t>riot</t>
  </si>
  <si>
    <t>riots</t>
  </si>
  <si>
    <t>risk</t>
  </si>
  <si>
    <t>risks</t>
  </si>
  <si>
    <t>rob</t>
  </si>
  <si>
    <t>robber</t>
  </si>
  <si>
    <t>robed</t>
  </si>
  <si>
    <t>robing</t>
  </si>
  <si>
    <t>robs</t>
  </si>
  <si>
    <t>robust</t>
  </si>
  <si>
    <t>romance</t>
  </si>
  <si>
    <t>rotfl</t>
  </si>
  <si>
    <t>rotflmfao</t>
  </si>
  <si>
    <t>rotflol</t>
  </si>
  <si>
    <t>ruin</t>
  </si>
  <si>
    <t>ruined</t>
  </si>
  <si>
    <t>ruining</t>
  </si>
  <si>
    <t>ruins</t>
  </si>
  <si>
    <t>sabotage</t>
  </si>
  <si>
    <t>sad</t>
  </si>
  <si>
    <t>sadden</t>
  </si>
  <si>
    <t>saddened</t>
  </si>
  <si>
    <t>sadly</t>
  </si>
  <si>
    <t>safe</t>
  </si>
  <si>
    <t>safely</t>
  </si>
  <si>
    <t>safety</t>
  </si>
  <si>
    <t>salient</t>
  </si>
  <si>
    <t>sappy</t>
  </si>
  <si>
    <t>sarcastic</t>
  </si>
  <si>
    <t>satisfied</t>
  </si>
  <si>
    <t>save</t>
  </si>
  <si>
    <t>saved</t>
  </si>
  <si>
    <t>scam</t>
  </si>
  <si>
    <t>scams</t>
  </si>
  <si>
    <t>scandal</t>
  </si>
  <si>
    <t>scandalous</t>
  </si>
  <si>
    <t>scandals</t>
  </si>
  <si>
    <t>scapegoat</t>
  </si>
  <si>
    <t>scapegoats</t>
  </si>
  <si>
    <t>scare</t>
  </si>
  <si>
    <t>scared</t>
  </si>
  <si>
    <t>scary</t>
  </si>
  <si>
    <t>sceptical</t>
  </si>
  <si>
    <t>scold</t>
  </si>
  <si>
    <t>scoop</t>
  </si>
  <si>
    <t>scorn</t>
  </si>
  <si>
    <t>scornful</t>
  </si>
  <si>
    <t>scream</t>
  </si>
  <si>
    <t>screamed</t>
  </si>
  <si>
    <t>screaming</t>
  </si>
  <si>
    <t>screams</t>
  </si>
  <si>
    <t>screwed</t>
  </si>
  <si>
    <t>scumbag</t>
  </si>
  <si>
    <t>secure</t>
  </si>
  <si>
    <t>secured</t>
  </si>
  <si>
    <t>secures</t>
  </si>
  <si>
    <t>sedition</t>
  </si>
  <si>
    <t>seditious</t>
  </si>
  <si>
    <t>seduced</t>
  </si>
  <si>
    <t>selfish</t>
  </si>
  <si>
    <t>selfishness</t>
  </si>
  <si>
    <t>sentence</t>
  </si>
  <si>
    <t>sentenced</t>
  </si>
  <si>
    <t>sentences</t>
  </si>
  <si>
    <t>sentencing</t>
  </si>
  <si>
    <t>serene</t>
  </si>
  <si>
    <t>severe</t>
  </si>
  <si>
    <t>sexy</t>
  </si>
  <si>
    <t>shaky</t>
  </si>
  <si>
    <t>shame</t>
  </si>
  <si>
    <t>shamed</t>
  </si>
  <si>
    <t>shameful</t>
  </si>
  <si>
    <t>share</t>
  </si>
  <si>
    <t>shared</t>
  </si>
  <si>
    <t>shares</t>
  </si>
  <si>
    <t>shattered</t>
  </si>
  <si>
    <t>shock</t>
  </si>
  <si>
    <t>shocked</t>
  </si>
  <si>
    <t>shocking</t>
  </si>
  <si>
    <t>shocks</t>
  </si>
  <si>
    <t>shoot</t>
  </si>
  <si>
    <t>shortage</t>
  </si>
  <si>
    <t>shortages</t>
  </si>
  <si>
    <t>shrew</t>
  </si>
  <si>
    <t>shy</t>
  </si>
  <si>
    <t>sick</t>
  </si>
  <si>
    <t>sigh</t>
  </si>
  <si>
    <t>significance</t>
  </si>
  <si>
    <t>significant</t>
  </si>
  <si>
    <t>silencing</t>
  </si>
  <si>
    <t>silly</t>
  </si>
  <si>
    <t>sincere</t>
  </si>
  <si>
    <t>sincerely</t>
  </si>
  <si>
    <t>sincerest</t>
  </si>
  <si>
    <t>sincerity</t>
  </si>
  <si>
    <t>sinful</t>
  </si>
  <si>
    <t>singleminded</t>
  </si>
  <si>
    <t>skeptic</t>
  </si>
  <si>
    <t>skeptical</t>
  </si>
  <si>
    <t>skepticism</t>
  </si>
  <si>
    <t>skeptics</t>
  </si>
  <si>
    <t>slam</t>
  </si>
  <si>
    <t>slash</t>
  </si>
  <si>
    <t>slashed</t>
  </si>
  <si>
    <t>slashes</t>
  </si>
  <si>
    <t>slashing</t>
  </si>
  <si>
    <t>slavery</t>
  </si>
  <si>
    <t>sleeplessness</t>
  </si>
  <si>
    <t>slick</t>
  </si>
  <si>
    <t>slicker</t>
  </si>
  <si>
    <t>slickest</t>
  </si>
  <si>
    <t>sluggish</t>
  </si>
  <si>
    <t>smart</t>
  </si>
  <si>
    <t>smarter</t>
  </si>
  <si>
    <t>smartest</t>
  </si>
  <si>
    <t>smear</t>
  </si>
  <si>
    <t>smile</t>
  </si>
  <si>
    <t>smiled</t>
  </si>
  <si>
    <t>smiles</t>
  </si>
  <si>
    <t>smiling</t>
  </si>
  <si>
    <t>smog</t>
  </si>
  <si>
    <t>sneaky</t>
  </si>
  <si>
    <t>snub</t>
  </si>
  <si>
    <t>snubbed</t>
  </si>
  <si>
    <t>snubbing</t>
  </si>
  <si>
    <t>snubs</t>
  </si>
  <si>
    <t>sobering</t>
  </si>
  <si>
    <t>solemn</t>
  </si>
  <si>
    <t>solid</t>
  </si>
  <si>
    <t>solidarity</t>
  </si>
  <si>
    <t>solution</t>
  </si>
  <si>
    <t>solutions</t>
  </si>
  <si>
    <t>solve</t>
  </si>
  <si>
    <t>solved</t>
  </si>
  <si>
    <t>solves</t>
  </si>
  <si>
    <t>solving</t>
  </si>
  <si>
    <t>somber</t>
  </si>
  <si>
    <t>soothe</t>
  </si>
  <si>
    <t>soothed</t>
  </si>
  <si>
    <t>soothing</t>
  </si>
  <si>
    <t>sophisticated</t>
  </si>
  <si>
    <t>sore</t>
  </si>
  <si>
    <t>sorrow</t>
  </si>
  <si>
    <t>sorrowful</t>
  </si>
  <si>
    <t>sorry</t>
  </si>
  <si>
    <t>spam</t>
  </si>
  <si>
    <t>spammer</t>
  </si>
  <si>
    <t>spammers</t>
  </si>
  <si>
    <t>spamming</t>
  </si>
  <si>
    <t>spark</t>
  </si>
  <si>
    <t>sparkle</t>
  </si>
  <si>
    <t>sparkles</t>
  </si>
  <si>
    <t>sparkling</t>
  </si>
  <si>
    <t>speculative</t>
  </si>
  <si>
    <t>spirit</t>
  </si>
  <si>
    <t>spirited</t>
  </si>
  <si>
    <t>spiritless</t>
  </si>
  <si>
    <t>spiteful</t>
  </si>
  <si>
    <t>splendid</t>
  </si>
  <si>
    <t>sprightly</t>
  </si>
  <si>
    <t>squelched</t>
  </si>
  <si>
    <t>stab</t>
  </si>
  <si>
    <t>stabbed</t>
  </si>
  <si>
    <t>stable</t>
  </si>
  <si>
    <t>stabs</t>
  </si>
  <si>
    <t>stall</t>
  </si>
  <si>
    <t>stalled</t>
  </si>
  <si>
    <t>stalling</t>
  </si>
  <si>
    <t>stamina</t>
  </si>
  <si>
    <t>stampede</t>
  </si>
  <si>
    <t>startled</t>
  </si>
  <si>
    <t>starve</t>
  </si>
  <si>
    <t>starved</t>
  </si>
  <si>
    <t>starves</t>
  </si>
  <si>
    <t>starving</t>
  </si>
  <si>
    <t>steadfast</t>
  </si>
  <si>
    <t>steal</t>
  </si>
  <si>
    <t>steals</t>
  </si>
  <si>
    <t>stereotype</t>
  </si>
  <si>
    <t>stereotyped</t>
  </si>
  <si>
    <t>stifled</t>
  </si>
  <si>
    <t>stimulate</t>
  </si>
  <si>
    <t>stimulated</t>
  </si>
  <si>
    <t>stimulates</t>
  </si>
  <si>
    <t>stimulating</t>
  </si>
  <si>
    <t>stingy</t>
  </si>
  <si>
    <t>stolen</t>
  </si>
  <si>
    <t>stop</t>
  </si>
  <si>
    <t>stopped</t>
  </si>
  <si>
    <t>stopping</t>
  </si>
  <si>
    <t>stops</t>
  </si>
  <si>
    <t>stout</t>
  </si>
  <si>
    <t>straight</t>
  </si>
  <si>
    <t>strange</t>
  </si>
  <si>
    <t>strangely</t>
  </si>
  <si>
    <t>strangled</t>
  </si>
  <si>
    <t>strength</t>
  </si>
  <si>
    <t>strengthen</t>
  </si>
  <si>
    <t>strengthened</t>
  </si>
  <si>
    <t>strengthening</t>
  </si>
  <si>
    <t>strengthens</t>
  </si>
  <si>
    <t>stressed</t>
  </si>
  <si>
    <t>stressor</t>
  </si>
  <si>
    <t>stressors</t>
  </si>
  <si>
    <t>stricken</t>
  </si>
  <si>
    <t>strike</t>
  </si>
  <si>
    <t>strikers</t>
  </si>
  <si>
    <t>strikes</t>
  </si>
  <si>
    <t>strong</t>
  </si>
  <si>
    <t>stronger</t>
  </si>
  <si>
    <t>strongest</t>
  </si>
  <si>
    <t>struck</t>
  </si>
  <si>
    <t>struggle</t>
  </si>
  <si>
    <t>struggled</t>
  </si>
  <si>
    <t>struggles</t>
  </si>
  <si>
    <t>struggling</t>
  </si>
  <si>
    <t>stubborn</t>
  </si>
  <si>
    <t>stuck</t>
  </si>
  <si>
    <t>stunned</t>
  </si>
  <si>
    <t>stunning</t>
  </si>
  <si>
    <t>stupid</t>
  </si>
  <si>
    <t>stupidly</t>
  </si>
  <si>
    <t>suave</t>
  </si>
  <si>
    <t>substantial</t>
  </si>
  <si>
    <t>substantially</t>
  </si>
  <si>
    <t>subversive</t>
  </si>
  <si>
    <t>success</t>
  </si>
  <si>
    <t>successful</t>
  </si>
  <si>
    <t>suck</t>
  </si>
  <si>
    <t>sucks</t>
  </si>
  <si>
    <t>suffer</t>
  </si>
  <si>
    <t>suffering</t>
  </si>
  <si>
    <t>suffers</t>
  </si>
  <si>
    <t>suicidal</t>
  </si>
  <si>
    <t>suicide</t>
  </si>
  <si>
    <t>suing</t>
  </si>
  <si>
    <t>sulking</t>
  </si>
  <si>
    <t>sulky</t>
  </si>
  <si>
    <t>sullen</t>
  </si>
  <si>
    <t>sunshine</t>
  </si>
  <si>
    <t>super</t>
  </si>
  <si>
    <t>superb</t>
  </si>
  <si>
    <t>superior</t>
  </si>
  <si>
    <t>support</t>
  </si>
  <si>
    <t>supported</t>
  </si>
  <si>
    <t>supporter</t>
  </si>
  <si>
    <t>supporters</t>
  </si>
  <si>
    <t>supporting</t>
  </si>
  <si>
    <t>supportive</t>
  </si>
  <si>
    <t>supports</t>
  </si>
  <si>
    <t>survived</t>
  </si>
  <si>
    <t>surviving</t>
  </si>
  <si>
    <t>survivor</t>
  </si>
  <si>
    <t>suspect</t>
  </si>
  <si>
    <t>suspected</t>
  </si>
  <si>
    <t>suspecting</t>
  </si>
  <si>
    <t>suspects</t>
  </si>
  <si>
    <t>suspend</t>
  </si>
  <si>
    <t>suspended</t>
  </si>
  <si>
    <t>suspicious</t>
  </si>
  <si>
    <t>swear</t>
  </si>
  <si>
    <t>swearing</t>
  </si>
  <si>
    <t>swears</t>
  </si>
  <si>
    <t>sweet</t>
  </si>
  <si>
    <t>swift</t>
  </si>
  <si>
    <t>swiftly</t>
  </si>
  <si>
    <t>swindle</t>
  </si>
  <si>
    <t>swindles</t>
  </si>
  <si>
    <t>swindling</t>
  </si>
  <si>
    <t>sympathetic</t>
  </si>
  <si>
    <t>sympathy</t>
  </si>
  <si>
    <t>tears</t>
  </si>
  <si>
    <t>tender</t>
  </si>
  <si>
    <t>tense</t>
  </si>
  <si>
    <t>tension</t>
  </si>
  <si>
    <t>terrible</t>
  </si>
  <si>
    <t>terribly</t>
  </si>
  <si>
    <t>terrific</t>
  </si>
  <si>
    <t>terrified</t>
  </si>
  <si>
    <t>terror</t>
  </si>
  <si>
    <t>terrorize</t>
  </si>
  <si>
    <t>terrorized</t>
  </si>
  <si>
    <t>terrorizes</t>
  </si>
  <si>
    <t>thank</t>
  </si>
  <si>
    <t>thankful</t>
  </si>
  <si>
    <t>thanks</t>
  </si>
  <si>
    <t>thorny</t>
  </si>
  <si>
    <t>thoughtful</t>
  </si>
  <si>
    <t>thoughtless</t>
  </si>
  <si>
    <t>threat</t>
  </si>
  <si>
    <t>threaten</t>
  </si>
  <si>
    <t>threatened</t>
  </si>
  <si>
    <t>threatening</t>
  </si>
  <si>
    <t>threatens</t>
  </si>
  <si>
    <t>threats</t>
  </si>
  <si>
    <t>thrilled</t>
  </si>
  <si>
    <t>thwart</t>
  </si>
  <si>
    <t>thwarted</t>
  </si>
  <si>
    <t>thwarting</t>
  </si>
  <si>
    <t>thwarts</t>
  </si>
  <si>
    <t>timid</t>
  </si>
  <si>
    <t>timorous</t>
  </si>
  <si>
    <t>tired</t>
  </si>
  <si>
    <t>tolerant</t>
  </si>
  <si>
    <t>toothless</t>
  </si>
  <si>
    <t>top</t>
  </si>
  <si>
    <t>tops</t>
  </si>
  <si>
    <t>torn</t>
  </si>
  <si>
    <t>torture</t>
  </si>
  <si>
    <t>tortured</t>
  </si>
  <si>
    <t>tortures</t>
  </si>
  <si>
    <t>torturing</t>
  </si>
  <si>
    <t>totalitarian</t>
  </si>
  <si>
    <t>totalitarianism</t>
  </si>
  <si>
    <t>tout</t>
  </si>
  <si>
    <t>touted</t>
  </si>
  <si>
    <t>touting</t>
  </si>
  <si>
    <t>touts</t>
  </si>
  <si>
    <t>tragedy</t>
  </si>
  <si>
    <t>tragic</t>
  </si>
  <si>
    <t>tranquil</t>
  </si>
  <si>
    <t>trap</t>
  </si>
  <si>
    <t>trapped</t>
  </si>
  <si>
    <t>trauma</t>
  </si>
  <si>
    <t>traumatic</t>
  </si>
  <si>
    <t>travesty</t>
  </si>
  <si>
    <t>treason</t>
  </si>
  <si>
    <t>treasonous</t>
  </si>
  <si>
    <t>treasure</t>
  </si>
  <si>
    <t>treasures</t>
  </si>
  <si>
    <t>trembling</t>
  </si>
  <si>
    <t>tremulous</t>
  </si>
  <si>
    <t>tricked</t>
  </si>
  <si>
    <t>trickery</t>
  </si>
  <si>
    <t>triumph</t>
  </si>
  <si>
    <t>triumphant</t>
  </si>
  <si>
    <t>trouble</t>
  </si>
  <si>
    <t>troubled</t>
  </si>
  <si>
    <t>troubles</t>
  </si>
  <si>
    <t>trust</t>
  </si>
  <si>
    <t>trusted</t>
  </si>
  <si>
    <t>tumor</t>
  </si>
  <si>
    <t>twat</t>
  </si>
  <si>
    <t>ugly</t>
  </si>
  <si>
    <t>unacceptable</t>
  </si>
  <si>
    <t>unappreciated</t>
  </si>
  <si>
    <t>unapproved</t>
  </si>
  <si>
    <t>unaware</t>
  </si>
  <si>
    <t>unbelievable</t>
  </si>
  <si>
    <t>unbelieving</t>
  </si>
  <si>
    <t>unbiased</t>
  </si>
  <si>
    <t>uncertain</t>
  </si>
  <si>
    <t>unclear</t>
  </si>
  <si>
    <t>uncomfortable</t>
  </si>
  <si>
    <t>unconcerned</t>
  </si>
  <si>
    <t>unconfirmed</t>
  </si>
  <si>
    <t>unconvinced</t>
  </si>
  <si>
    <t>uncredited</t>
  </si>
  <si>
    <t>undecided</t>
  </si>
  <si>
    <t>underestimate</t>
  </si>
  <si>
    <t>underestimated</t>
  </si>
  <si>
    <t>underestimates</t>
  </si>
  <si>
    <t>underestimating</t>
  </si>
  <si>
    <t>undermine</t>
  </si>
  <si>
    <t>undermined</t>
  </si>
  <si>
    <t>undermines</t>
  </si>
  <si>
    <t>undermining</t>
  </si>
  <si>
    <t>undeserving</t>
  </si>
  <si>
    <t>undesirable</t>
  </si>
  <si>
    <t>uneasy</t>
  </si>
  <si>
    <t>unemployment</t>
  </si>
  <si>
    <t>unequal</t>
  </si>
  <si>
    <t>unequaled</t>
  </si>
  <si>
    <t>unethical</t>
  </si>
  <si>
    <t>unfair</t>
  </si>
  <si>
    <t>unfocused</t>
  </si>
  <si>
    <t>unfulfilled</t>
  </si>
  <si>
    <t>unhappy</t>
  </si>
  <si>
    <t>unhealthy</t>
  </si>
  <si>
    <t>unified</t>
  </si>
  <si>
    <t>unimpressed</t>
  </si>
  <si>
    <t>unintelligent</t>
  </si>
  <si>
    <t>united</t>
  </si>
  <si>
    <t>unjust</t>
  </si>
  <si>
    <t>unlovable</t>
  </si>
  <si>
    <t>unloved</t>
  </si>
  <si>
    <t>unmatched</t>
  </si>
  <si>
    <t>unmotivated</t>
  </si>
  <si>
    <t>unprofessional</t>
  </si>
  <si>
    <t>unresearched</t>
  </si>
  <si>
    <t>unsatisfied</t>
  </si>
  <si>
    <t>unsecured</t>
  </si>
  <si>
    <t>unsettled</t>
  </si>
  <si>
    <t>unsophisticated</t>
  </si>
  <si>
    <t>unstable</t>
  </si>
  <si>
    <t>unstoppable</t>
  </si>
  <si>
    <t>unsupported</t>
  </si>
  <si>
    <t>unsure</t>
  </si>
  <si>
    <t>untarnished</t>
  </si>
  <si>
    <t>unwanted</t>
  </si>
  <si>
    <t>unworthy</t>
  </si>
  <si>
    <t>upset</t>
  </si>
  <si>
    <t>upsets</t>
  </si>
  <si>
    <t>upsetting</t>
  </si>
  <si>
    <t>uptight</t>
  </si>
  <si>
    <t>urgent</t>
  </si>
  <si>
    <t>useful</t>
  </si>
  <si>
    <t>usefulness</t>
  </si>
  <si>
    <t>useless</t>
  </si>
  <si>
    <t>uselessness</t>
  </si>
  <si>
    <t>vague</t>
  </si>
  <si>
    <t>validate</t>
  </si>
  <si>
    <t>validated</t>
  </si>
  <si>
    <t>validates</t>
  </si>
  <si>
    <t>validating</t>
  </si>
  <si>
    <t>verdict</t>
  </si>
  <si>
    <t>verdicts</t>
  </si>
  <si>
    <t>vested</t>
  </si>
  <si>
    <t>vexation</t>
  </si>
  <si>
    <t>vexing</t>
  </si>
  <si>
    <t>vibrant</t>
  </si>
  <si>
    <t>vicious</t>
  </si>
  <si>
    <t>victim</t>
  </si>
  <si>
    <t>victimize</t>
  </si>
  <si>
    <t>victimized</t>
  </si>
  <si>
    <t>victimizes</t>
  </si>
  <si>
    <t>victimizing</t>
  </si>
  <si>
    <t>victims</t>
  </si>
  <si>
    <t>vigilant</t>
  </si>
  <si>
    <t>vile</t>
  </si>
  <si>
    <t>vindicate</t>
  </si>
  <si>
    <t>vindicated</t>
  </si>
  <si>
    <t>vindicates</t>
  </si>
  <si>
    <t>vindicating</t>
  </si>
  <si>
    <t>violate</t>
  </si>
  <si>
    <t>violated</t>
  </si>
  <si>
    <t>violates</t>
  </si>
  <si>
    <t>violating</t>
  </si>
  <si>
    <t>violence</t>
  </si>
  <si>
    <t>violent</t>
  </si>
  <si>
    <t>virtuous</t>
  </si>
  <si>
    <t>virulent</t>
  </si>
  <si>
    <t>vision</t>
  </si>
  <si>
    <t>visionary</t>
  </si>
  <si>
    <t>visioning</t>
  </si>
  <si>
    <t>visions</t>
  </si>
  <si>
    <t>vitality</t>
  </si>
  <si>
    <t>vitamin</t>
  </si>
  <si>
    <t>vitriolic</t>
  </si>
  <si>
    <t>vivacious</t>
  </si>
  <si>
    <t>vociferous</t>
  </si>
  <si>
    <t>vulnerability</t>
  </si>
  <si>
    <t>vulnerable</t>
  </si>
  <si>
    <t>walkout</t>
  </si>
  <si>
    <t>walkouts</t>
  </si>
  <si>
    <t>wanker</t>
  </si>
  <si>
    <t>want</t>
  </si>
  <si>
    <t>war</t>
  </si>
  <si>
    <t>warfare</t>
  </si>
  <si>
    <t>warm</t>
  </si>
  <si>
    <t>warmth</t>
  </si>
  <si>
    <t>warn</t>
  </si>
  <si>
    <t>warned</t>
  </si>
  <si>
    <t>warning</t>
  </si>
  <si>
    <t>warnings</t>
  </si>
  <si>
    <t>warns</t>
  </si>
  <si>
    <t>waste</t>
  </si>
  <si>
    <t>wasted</t>
  </si>
  <si>
    <t>wasting</t>
  </si>
  <si>
    <t>wavering</t>
  </si>
  <si>
    <t>weak</t>
  </si>
  <si>
    <t>weakness</t>
  </si>
  <si>
    <t>wealth</t>
  </si>
  <si>
    <t>wealthy</t>
  </si>
  <si>
    <t>weary</t>
  </si>
  <si>
    <t>weep</t>
  </si>
  <si>
    <t>weeping</t>
  </si>
  <si>
    <t>weird</t>
  </si>
  <si>
    <t>welcome</t>
  </si>
  <si>
    <t>welcomed</t>
  </si>
  <si>
    <t>welcomes</t>
  </si>
  <si>
    <t>whimsical</t>
  </si>
  <si>
    <t>whitewash</t>
  </si>
  <si>
    <t>wicked</t>
  </si>
  <si>
    <t>widowed</t>
  </si>
  <si>
    <t>willingness</t>
  </si>
  <si>
    <t>win</t>
  </si>
  <si>
    <t>winner</t>
  </si>
  <si>
    <t>winning</t>
  </si>
  <si>
    <t>wins</t>
  </si>
  <si>
    <t>winwin</t>
  </si>
  <si>
    <t>wish</t>
  </si>
  <si>
    <t>wishes</t>
  </si>
  <si>
    <t>wishing</t>
  </si>
  <si>
    <t>withdrawal</t>
  </si>
  <si>
    <t>woeful</t>
  </si>
  <si>
    <t>won</t>
  </si>
  <si>
    <t>wonderful</t>
  </si>
  <si>
    <t>worn</t>
  </si>
  <si>
    <t>worried</t>
  </si>
  <si>
    <t>worry</t>
  </si>
  <si>
    <t>worrying</t>
  </si>
  <si>
    <t>worse</t>
  </si>
  <si>
    <t>worsen</t>
  </si>
  <si>
    <t>worsened</t>
  </si>
  <si>
    <t>worsening</t>
  </si>
  <si>
    <t>worsens</t>
  </si>
  <si>
    <t>worshiped</t>
  </si>
  <si>
    <t>worst</t>
  </si>
  <si>
    <t>worth</t>
  </si>
  <si>
    <t>worthless</t>
  </si>
  <si>
    <t>worthy</t>
  </si>
  <si>
    <t>wrathful</t>
  </si>
  <si>
    <t>wreck</t>
  </si>
  <si>
    <t>wrong</t>
  </si>
  <si>
    <t>wronged</t>
  </si>
  <si>
    <t>yeah</t>
  </si>
  <si>
    <t>yearning</t>
  </si>
  <si>
    <t>yes</t>
  </si>
  <si>
    <t>youthful</t>
  </si>
  <si>
    <t>yucky</t>
  </si>
  <si>
    <t>yummy</t>
  </si>
  <si>
    <t>zealot</t>
  </si>
  <si>
    <t>zealots</t>
  </si>
  <si>
    <t>zealous</t>
  </si>
  <si>
    <t>Country </t>
  </si>
  <si>
    <t>Alpha-2 code</t>
  </si>
  <si>
    <t>Number of Comments</t>
  </si>
  <si>
    <t>Afghanistan</t>
  </si>
  <si>
    <t>Albania</t>
  </si>
  <si>
    <t>Algeria</t>
  </si>
  <si>
    <t>DZ</t>
  </si>
  <si>
    <t>American Samoa</t>
  </si>
  <si>
    <t>AS</t>
  </si>
  <si>
    <t>Andorra</t>
  </si>
  <si>
    <t>AD</t>
  </si>
  <si>
    <t>Angola</t>
  </si>
  <si>
    <t>AO</t>
  </si>
  <si>
    <t>Anguilla</t>
  </si>
  <si>
    <t>AI</t>
  </si>
  <si>
    <t>Antarctica</t>
  </si>
  <si>
    <t>AQ</t>
  </si>
  <si>
    <t>Antigua and Barbuda</t>
  </si>
  <si>
    <t>AG</t>
  </si>
  <si>
    <t>Argentina</t>
  </si>
  <si>
    <t>Armenia</t>
  </si>
  <si>
    <t>AM</t>
  </si>
  <si>
    <t>Aruba</t>
  </si>
  <si>
    <t>AW</t>
  </si>
  <si>
    <t>Australia</t>
  </si>
  <si>
    <t>Austria</t>
  </si>
  <si>
    <t>Azerbaijan</t>
  </si>
  <si>
    <t>AZ</t>
  </si>
  <si>
    <t>Bahamas (the)</t>
  </si>
  <si>
    <t>BS</t>
  </si>
  <si>
    <t>Bahrain</t>
  </si>
  <si>
    <t>BH</t>
  </si>
  <si>
    <t>Bangladesh</t>
  </si>
  <si>
    <t>BD</t>
  </si>
  <si>
    <t>Barbados</t>
  </si>
  <si>
    <t>BB</t>
  </si>
  <si>
    <t>Belarus</t>
  </si>
  <si>
    <t>Belgium</t>
  </si>
  <si>
    <t>Belize</t>
  </si>
  <si>
    <t>BZ</t>
  </si>
  <si>
    <t>Benin</t>
  </si>
  <si>
    <t>BJ</t>
  </si>
  <si>
    <t>Bermuda</t>
  </si>
  <si>
    <t>BM</t>
  </si>
  <si>
    <t>Bhutan</t>
  </si>
  <si>
    <t>BT</t>
  </si>
  <si>
    <t>Bolivia (Plurinational State of)</t>
  </si>
  <si>
    <t>BO</t>
  </si>
  <si>
    <t>Bonaire, Sint Eustatius and Saba</t>
  </si>
  <si>
    <t>BQ</t>
  </si>
  <si>
    <t>Bosnia and Herzegovina</t>
  </si>
  <si>
    <t>BA</t>
  </si>
  <si>
    <t>Botswana</t>
  </si>
  <si>
    <t>BW</t>
  </si>
  <si>
    <t>Bouvet Island</t>
  </si>
  <si>
    <t>BV</t>
  </si>
  <si>
    <t>Brazil</t>
  </si>
  <si>
    <t>British Indian Ocean Territory (the)</t>
  </si>
  <si>
    <t>IO</t>
  </si>
  <si>
    <t>Brunei Darussalam</t>
  </si>
  <si>
    <t>BN</t>
  </si>
  <si>
    <t>Bulgaria</t>
  </si>
  <si>
    <t>BG</t>
  </si>
  <si>
    <t>Burkina Faso</t>
  </si>
  <si>
    <t>BF</t>
  </si>
  <si>
    <t>Burundi</t>
  </si>
  <si>
    <t>BI</t>
  </si>
  <si>
    <t>Cabo Verde</t>
  </si>
  <si>
    <t>CV</t>
  </si>
  <si>
    <t>Cambodia</t>
  </si>
  <si>
    <t>KH</t>
  </si>
  <si>
    <t>Cameroon</t>
  </si>
  <si>
    <t>CM</t>
  </si>
  <si>
    <t>Canada</t>
  </si>
  <si>
    <t>Cayman Islands (the)</t>
  </si>
  <si>
    <t>KY</t>
  </si>
  <si>
    <t>Central African Republic (the)</t>
  </si>
  <si>
    <t>CF</t>
  </si>
  <si>
    <t>Chad</t>
  </si>
  <si>
    <t>TD</t>
  </si>
  <si>
    <t>Chile</t>
  </si>
  <si>
    <t>China</t>
  </si>
  <si>
    <t>Christmas Island</t>
  </si>
  <si>
    <t>CX</t>
  </si>
  <si>
    <t>Cocos (Keeling) Islands (the)</t>
  </si>
  <si>
    <t>CC</t>
  </si>
  <si>
    <t>Colombia</t>
  </si>
  <si>
    <t>Comoros (the)</t>
  </si>
  <si>
    <t>KM</t>
  </si>
  <si>
    <t>Congo (the Democratic Republic of the)</t>
  </si>
  <si>
    <t>CD</t>
  </si>
  <si>
    <t>Congo (the)</t>
  </si>
  <si>
    <t>CG</t>
  </si>
  <si>
    <t>Cook Islands (the)</t>
  </si>
  <si>
    <t>CK</t>
  </si>
  <si>
    <t>Costa Rica</t>
  </si>
  <si>
    <t>CR</t>
  </si>
  <si>
    <t>Croatia</t>
  </si>
  <si>
    <t>HR</t>
  </si>
  <si>
    <t>Cuba</t>
  </si>
  <si>
    <t>CU</t>
  </si>
  <si>
    <t>Curaçao</t>
  </si>
  <si>
    <t>CW</t>
  </si>
  <si>
    <t>Cyprus</t>
  </si>
  <si>
    <t>CY</t>
  </si>
  <si>
    <t>Czechia</t>
  </si>
  <si>
    <t>Côte d'Ivoire</t>
  </si>
  <si>
    <t>CI</t>
  </si>
  <si>
    <t>Denmark</t>
  </si>
  <si>
    <t>Djibouti</t>
  </si>
  <si>
    <t>DJ</t>
  </si>
  <si>
    <t>Dominica</t>
  </si>
  <si>
    <t>DM</t>
  </si>
  <si>
    <t>Dominican Republic (the)</t>
  </si>
  <si>
    <t>Ecuador</t>
  </si>
  <si>
    <t>EC</t>
  </si>
  <si>
    <t>Egypt</t>
  </si>
  <si>
    <t>EG</t>
  </si>
  <si>
    <t>El Salvador</t>
  </si>
  <si>
    <t>SV</t>
  </si>
  <si>
    <t>Equatorial Guinea</t>
  </si>
  <si>
    <t>GQ</t>
  </si>
  <si>
    <t>Eritrea</t>
  </si>
  <si>
    <t>ER</t>
  </si>
  <si>
    <t>Estonia</t>
  </si>
  <si>
    <t>Eswatini</t>
  </si>
  <si>
    <t>SZ</t>
  </si>
  <si>
    <t>Ethiopia</t>
  </si>
  <si>
    <t>ET</t>
  </si>
  <si>
    <t>Falkland Islands (the) [Malvinas]</t>
  </si>
  <si>
    <t>FK</t>
  </si>
  <si>
    <t>Faroe Islands (the)</t>
  </si>
  <si>
    <t>FO</t>
  </si>
  <si>
    <t>Fiji</t>
  </si>
  <si>
    <t>FJ</t>
  </si>
  <si>
    <t>Finland</t>
  </si>
  <si>
    <t>FI</t>
  </si>
  <si>
    <t>France</t>
  </si>
  <si>
    <t>French Guiana</t>
  </si>
  <si>
    <t>GF</t>
  </si>
  <si>
    <t>French Polynesia</t>
  </si>
  <si>
    <t>PF</t>
  </si>
  <si>
    <t>French Southern Territories (the)</t>
  </si>
  <si>
    <t>TF</t>
  </si>
  <si>
    <t>Gabon</t>
  </si>
  <si>
    <t>GA</t>
  </si>
  <si>
    <t>Gambia (the)</t>
  </si>
  <si>
    <t>GM</t>
  </si>
  <si>
    <t>Georgia</t>
  </si>
  <si>
    <t>GE</t>
  </si>
  <si>
    <t>Germany</t>
  </si>
  <si>
    <t>Ghana</t>
  </si>
  <si>
    <t>Gibraltar</t>
  </si>
  <si>
    <t>GI</t>
  </si>
  <si>
    <t>Greece</t>
  </si>
  <si>
    <t>GR</t>
  </si>
  <si>
    <t>Greenland</t>
  </si>
  <si>
    <t>GL</t>
  </si>
  <si>
    <t>Grenada</t>
  </si>
  <si>
    <t>GD</t>
  </si>
  <si>
    <t>Guadeloupe</t>
  </si>
  <si>
    <t>GP</t>
  </si>
  <si>
    <t>Guam</t>
  </si>
  <si>
    <t>GU</t>
  </si>
  <si>
    <t>Guatemala</t>
  </si>
  <si>
    <t>GT</t>
  </si>
  <si>
    <t>Guernsey</t>
  </si>
  <si>
    <t>GG</t>
  </si>
  <si>
    <t>Guinea</t>
  </si>
  <si>
    <t>GN</t>
  </si>
  <si>
    <t>Guinea-Bissau</t>
  </si>
  <si>
    <t>GW</t>
  </si>
  <si>
    <t>Guyana</t>
  </si>
  <si>
    <t>GY</t>
  </si>
  <si>
    <t>Haiti</t>
  </si>
  <si>
    <t>HT</t>
  </si>
  <si>
    <t>Heard Island and McDonald Islands</t>
  </si>
  <si>
    <t>HM</t>
  </si>
  <si>
    <t>Holy See (the)</t>
  </si>
  <si>
    <t>VA</t>
  </si>
  <si>
    <t>Honduras</t>
  </si>
  <si>
    <t>HN</t>
  </si>
  <si>
    <t>Hong Kong</t>
  </si>
  <si>
    <t>HK</t>
  </si>
  <si>
    <t>Hungary</t>
  </si>
  <si>
    <t>Iceland</t>
  </si>
  <si>
    <t>IS</t>
  </si>
  <si>
    <t>India</t>
  </si>
  <si>
    <t>Indonesia</t>
  </si>
  <si>
    <t>Iran (Islamic Republic of)</t>
  </si>
  <si>
    <t>IR</t>
  </si>
  <si>
    <t>Iraq</t>
  </si>
  <si>
    <t>Ireland</t>
  </si>
  <si>
    <t>Isle of Man</t>
  </si>
  <si>
    <t>IM</t>
  </si>
  <si>
    <t>Israel</t>
  </si>
  <si>
    <t>Italy</t>
  </si>
  <si>
    <t>Jamaica</t>
  </si>
  <si>
    <t>Japan</t>
  </si>
  <si>
    <t>Jersey</t>
  </si>
  <si>
    <t>JE</t>
  </si>
  <si>
    <t>Jordan</t>
  </si>
  <si>
    <t>JO</t>
  </si>
  <si>
    <t>Kazakhstan</t>
  </si>
  <si>
    <t>Kenya</t>
  </si>
  <si>
    <t>Kiribati</t>
  </si>
  <si>
    <t>KI</t>
  </si>
  <si>
    <t>Korea (the Democratic People's Republic of)</t>
  </si>
  <si>
    <t>KP</t>
  </si>
  <si>
    <t>Korea (the Republic of)</t>
  </si>
  <si>
    <t>Kuwait</t>
  </si>
  <si>
    <t>KW</t>
  </si>
  <si>
    <t>Kyrgyzstan</t>
  </si>
  <si>
    <t>KG</t>
  </si>
  <si>
    <t>Lao People's Democratic Republic (the)</t>
  </si>
  <si>
    <t>LA</t>
  </si>
  <si>
    <t>Latvia</t>
  </si>
  <si>
    <t>Lebanon</t>
  </si>
  <si>
    <t>LB</t>
  </si>
  <si>
    <t>Lesotho</t>
  </si>
  <si>
    <t>LS</t>
  </si>
  <si>
    <t>Liberia</t>
  </si>
  <si>
    <t>LR</t>
  </si>
  <si>
    <t>Libya</t>
  </si>
  <si>
    <t>LY</t>
  </si>
  <si>
    <t>Liechtenstein</t>
  </si>
  <si>
    <t>LI</t>
  </si>
  <si>
    <t>Lithuania</t>
  </si>
  <si>
    <t>LT</t>
  </si>
  <si>
    <t>Luxembourg</t>
  </si>
  <si>
    <t>LU</t>
  </si>
  <si>
    <t>Macao</t>
  </si>
  <si>
    <t>MO</t>
  </si>
  <si>
    <t>Madagascar</t>
  </si>
  <si>
    <t>MG</t>
  </si>
  <si>
    <t>Malawi</t>
  </si>
  <si>
    <t>MW</t>
  </si>
  <si>
    <t>Malaysia</t>
  </si>
  <si>
    <t>Maldives</t>
  </si>
  <si>
    <t>MV</t>
  </si>
  <si>
    <t>Mali</t>
  </si>
  <si>
    <t>ML</t>
  </si>
  <si>
    <t>Malta</t>
  </si>
  <si>
    <t>MT</t>
  </si>
  <si>
    <t>Marshall Islands (the)</t>
  </si>
  <si>
    <t>MH</t>
  </si>
  <si>
    <t>Martinique</t>
  </si>
  <si>
    <t>MQ</t>
  </si>
  <si>
    <t>Mauritania</t>
  </si>
  <si>
    <t>MR</t>
  </si>
  <si>
    <t>Mauritius</t>
  </si>
  <si>
    <t>MU</t>
  </si>
  <si>
    <t>Mayotte</t>
  </si>
  <si>
    <t>YT</t>
  </si>
  <si>
    <t>Mexico</t>
  </si>
  <si>
    <t>Micronesia (Federated States of)</t>
  </si>
  <si>
    <t>FM</t>
  </si>
  <si>
    <t>Moldova (the Republic of)</t>
  </si>
  <si>
    <t>MD</t>
  </si>
  <si>
    <t>Monaco</t>
  </si>
  <si>
    <t>MC</t>
  </si>
  <si>
    <t>Mongolia</t>
  </si>
  <si>
    <t>MN</t>
  </si>
  <si>
    <t>Montenegro</t>
  </si>
  <si>
    <t>ME</t>
  </si>
  <si>
    <t>Montserrat</t>
  </si>
  <si>
    <t>MS</t>
  </si>
  <si>
    <t>Morocco</t>
  </si>
  <si>
    <t>Mozambique</t>
  </si>
  <si>
    <t>MZ</t>
  </si>
  <si>
    <t>Myanmar</t>
  </si>
  <si>
    <t>MM</t>
  </si>
  <si>
    <t>Namibia</t>
  </si>
  <si>
    <t>NA</t>
  </si>
  <si>
    <t>Nauru</t>
  </si>
  <si>
    <t>NR</t>
  </si>
  <si>
    <t>Nepal</t>
  </si>
  <si>
    <t>Netherlands (the)</t>
  </si>
  <si>
    <t>New Caledonia</t>
  </si>
  <si>
    <t>NC</t>
  </si>
  <si>
    <t>New Zealand</t>
  </si>
  <si>
    <t>Nicaragua</t>
  </si>
  <si>
    <t>NI</t>
  </si>
  <si>
    <t>Niger (the)</t>
  </si>
  <si>
    <t>NE</t>
  </si>
  <si>
    <t>Nigeria</t>
  </si>
  <si>
    <t>Niue</t>
  </si>
  <si>
    <t>NU</t>
  </si>
  <si>
    <t>Norfolk Island</t>
  </si>
  <si>
    <t>NF</t>
  </si>
  <si>
    <t>Northern Mariana Islands (the)</t>
  </si>
  <si>
    <t>MP</t>
  </si>
  <si>
    <t>Norway</t>
  </si>
  <si>
    <t>Oman</t>
  </si>
  <si>
    <t>OM</t>
  </si>
  <si>
    <t>Pakistan</t>
  </si>
  <si>
    <t>Palau</t>
  </si>
  <si>
    <t>PW</t>
  </si>
  <si>
    <t>Palestine, State of</t>
  </si>
  <si>
    <t>PS</t>
  </si>
  <si>
    <t>Panama</t>
  </si>
  <si>
    <t>PA</t>
  </si>
  <si>
    <t>Papua New Guinea</t>
  </si>
  <si>
    <t>PG</t>
  </si>
  <si>
    <t>Paraguay</t>
  </si>
  <si>
    <t>PY</t>
  </si>
  <si>
    <t>Peru</t>
  </si>
  <si>
    <t>Philippines (the)</t>
  </si>
  <si>
    <t>Pitcairn</t>
  </si>
  <si>
    <t>PN</t>
  </si>
  <si>
    <t>Poland</t>
  </si>
  <si>
    <t>Portugal</t>
  </si>
  <si>
    <t>Puerto Rico</t>
  </si>
  <si>
    <t>PR</t>
  </si>
  <si>
    <t>Qatar</t>
  </si>
  <si>
    <t>QA</t>
  </si>
  <si>
    <t>Republic of North Macedonia</t>
  </si>
  <si>
    <t>MK</t>
  </si>
  <si>
    <t>Romania</t>
  </si>
  <si>
    <t>Russian Federation (the)</t>
  </si>
  <si>
    <t>Rwanda</t>
  </si>
  <si>
    <t>RW</t>
  </si>
  <si>
    <t>Réunion</t>
  </si>
  <si>
    <t>RE</t>
  </si>
  <si>
    <t>Saint Barthélemy</t>
  </si>
  <si>
    <t>BL</t>
  </si>
  <si>
    <t>Saint Helena, Ascension and Tristan da Cunha</t>
  </si>
  <si>
    <t>SH</t>
  </si>
  <si>
    <t>Saint Kitts and Nevis</t>
  </si>
  <si>
    <t>KN</t>
  </si>
  <si>
    <t>Saint Lucia</t>
  </si>
  <si>
    <t>LC</t>
  </si>
  <si>
    <t>Saint Martin (French part)</t>
  </si>
  <si>
    <t>MF</t>
  </si>
  <si>
    <t>Saint Pierre and Miquelon</t>
  </si>
  <si>
    <t>PM</t>
  </si>
  <si>
    <t>Saint Vincent and the Grenadines</t>
  </si>
  <si>
    <t>VC</t>
  </si>
  <si>
    <t>Samoa</t>
  </si>
  <si>
    <t>WS</t>
  </si>
  <si>
    <t>San Marino</t>
  </si>
  <si>
    <t>SM</t>
  </si>
  <si>
    <t>Sao Tome and Principe</t>
  </si>
  <si>
    <t>ST</t>
  </si>
  <si>
    <t>Saudi Arabia</t>
  </si>
  <si>
    <t>Senegal</t>
  </si>
  <si>
    <t>SN</t>
  </si>
  <si>
    <t>Serbia</t>
  </si>
  <si>
    <t>RS</t>
  </si>
  <si>
    <t>Seychelles</t>
  </si>
  <si>
    <t>SC</t>
  </si>
  <si>
    <t>Sierra Leone</t>
  </si>
  <si>
    <t>SL</t>
  </si>
  <si>
    <t>Singapore</t>
  </si>
  <si>
    <t>Sint Maarten (Dutch part)</t>
  </si>
  <si>
    <t>SX</t>
  </si>
  <si>
    <t>Slovakia</t>
  </si>
  <si>
    <t>SK</t>
  </si>
  <si>
    <t>Slovenia</t>
  </si>
  <si>
    <t>SI</t>
  </si>
  <si>
    <t>Solomon Islands</t>
  </si>
  <si>
    <t>SB</t>
  </si>
  <si>
    <t>Somalia</t>
  </si>
  <si>
    <t>SO</t>
  </si>
  <si>
    <t>South Africa</t>
  </si>
  <si>
    <t>South Georgia and the South Sandwich Islands</t>
  </si>
  <si>
    <t>GS</t>
  </si>
  <si>
    <t>South Sudan</t>
  </si>
  <si>
    <t>SS</t>
  </si>
  <si>
    <t>Spain</t>
  </si>
  <si>
    <t>ES</t>
  </si>
  <si>
    <t>Sri Lanka</t>
  </si>
  <si>
    <t>Sudan (the)</t>
  </si>
  <si>
    <t>SD</t>
  </si>
  <si>
    <t>Suriname</t>
  </si>
  <si>
    <t>SR</t>
  </si>
  <si>
    <t>Svalbard and Jan Mayen</t>
  </si>
  <si>
    <t>SJ</t>
  </si>
  <si>
    <t>Sweden</t>
  </si>
  <si>
    <t>Switzerland</t>
  </si>
  <si>
    <t>Syrian Arab Republic</t>
  </si>
  <si>
    <t>SY</t>
  </si>
  <si>
    <t>Taiwan (Province of China)</t>
  </si>
  <si>
    <t>TW</t>
  </si>
  <si>
    <t>Tajikistan</t>
  </si>
  <si>
    <t>TJ</t>
  </si>
  <si>
    <t>Tanzania, United Republic of</t>
  </si>
  <si>
    <t>TZ</t>
  </si>
  <si>
    <t>Thailand</t>
  </si>
  <si>
    <t>TH</t>
  </si>
  <si>
    <t>Timor-Leste</t>
  </si>
  <si>
    <t>TL</t>
  </si>
  <si>
    <t>Togo</t>
  </si>
  <si>
    <t>TG</t>
  </si>
  <si>
    <t>Tokelau</t>
  </si>
  <si>
    <t>TK</t>
  </si>
  <si>
    <t>Tonga</t>
  </si>
  <si>
    <t>TO</t>
  </si>
  <si>
    <t>Trinidad and Tobago</t>
  </si>
  <si>
    <t>TT</t>
  </si>
  <si>
    <t>Tunisia</t>
  </si>
  <si>
    <t>TN</t>
  </si>
  <si>
    <t>Turkey</t>
  </si>
  <si>
    <t>Turkmenistan</t>
  </si>
  <si>
    <t>TM</t>
  </si>
  <si>
    <t>Turks and Caicos Islands (the)</t>
  </si>
  <si>
    <t>TC</t>
  </si>
  <si>
    <t>Tuvalu</t>
  </si>
  <si>
    <t>TV</t>
  </si>
  <si>
    <t>Uganda</t>
  </si>
  <si>
    <t>Ukraine</t>
  </si>
  <si>
    <t>United Arab Emirates (the)</t>
  </si>
  <si>
    <t>United Kingdom of Great Britain and Northern Ireland (the)</t>
  </si>
  <si>
    <t>United States Minor Outlying Islands (the)</t>
  </si>
  <si>
    <t>UM</t>
  </si>
  <si>
    <t>United States of America (the)</t>
  </si>
  <si>
    <t>Uruguay</t>
  </si>
  <si>
    <t>UY</t>
  </si>
  <si>
    <t>Uzbekistan</t>
  </si>
  <si>
    <t>UZ</t>
  </si>
  <si>
    <t>Vanuatu</t>
  </si>
  <si>
    <t>VU</t>
  </si>
  <si>
    <t>Venezuela (Bolivarian Republic of)</t>
  </si>
  <si>
    <t>Viet Nam</t>
  </si>
  <si>
    <t>Virgin Islands (British)</t>
  </si>
  <si>
    <t>VG</t>
  </si>
  <si>
    <t>Virgin Islands (U.S.)</t>
  </si>
  <si>
    <t>VI</t>
  </si>
  <si>
    <t>Wallis and Futuna</t>
  </si>
  <si>
    <t>WF</t>
  </si>
  <si>
    <t>Western Sahara</t>
  </si>
  <si>
    <t>EH</t>
  </si>
  <si>
    <t>Yemen</t>
  </si>
  <si>
    <t>YE</t>
  </si>
  <si>
    <t>Zambia</t>
  </si>
  <si>
    <t>ZM</t>
  </si>
  <si>
    <t>Zimbabwe</t>
  </si>
  <si>
    <t>Åland Islands</t>
  </si>
  <si>
    <t>AX</t>
  </si>
  <si>
    <t>Number of Replies on Neutral Comments</t>
  </si>
  <si>
    <t>Number of Replies on Negative Comments</t>
  </si>
  <si>
    <t>Number of Replies on Positive Comments</t>
  </si>
  <si>
    <t>Total Neutral comments with replies</t>
  </si>
  <si>
    <t>Total Negative Comments with Replies</t>
  </si>
  <si>
    <t>Total Positive Comments with Replies</t>
  </si>
  <si>
    <t>Average Sentiment of Comments with Replies</t>
  </si>
  <si>
    <t>Reply Sentiment</t>
  </si>
  <si>
    <t>Average Sentiment By Location</t>
  </si>
  <si>
    <t>Average Number of Likes on Neutral Comments</t>
  </si>
  <si>
    <t>Average Number Of Likes On Negative Comments</t>
  </si>
  <si>
    <t>Average number of Likes on Positive Comments</t>
  </si>
  <si>
    <t>Total Neutral Liked Comments</t>
  </si>
  <si>
    <t>Total Neutral Comments</t>
  </si>
  <si>
    <t>Total Negative Liked Comments</t>
  </si>
  <si>
    <t>Total Negative Comments</t>
  </si>
  <si>
    <t>Total Positive Liked Comments</t>
  </si>
  <si>
    <t>Total Positive Comments</t>
  </si>
  <si>
    <t>Average Sentiment of Liked Comments</t>
  </si>
  <si>
    <t>Average Sentiment</t>
  </si>
  <si>
    <t>Liked Sentiments</t>
  </si>
  <si>
    <t>Overall Sentiment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</si>
</sst>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mm\ d\,\ yyyy\ hh:mm:ss"/>
  </numFmts>
  <fonts count="8">
    <font>
      <sz val="12"/>
      <color theme="1"/>
      <name val="Aptos Narrow"/>
      <family val="2"/>
      <scheme val="minor"/>
    </font>
    <font>
      <sz val="12"/>
      <color theme="1"/>
      <name val="Aptos Narrow"/>
      <family val="2"/>
      <scheme val="minor"/>
    </font>
    <font>
      <b/>
      <sz val="12"/>
      <color theme="1"/>
      <name val="Aptos Narrow"/>
      <family val="2"/>
      <scheme val="minor"/>
    </font>
    <font>
      <b/>
      <sz val="10"/>
      <color rgb="FF000000"/>
      <name val="Helvetica Neue"/>
      <family val="2"/>
    </font>
    <font>
      <sz val="10"/>
      <color rgb="FF000000"/>
      <name val="Helvetica Neue"/>
      <family val="2"/>
    </font>
    <font>
      <b/>
      <sz val="11"/>
      <color theme="1"/>
      <name val="Aptos Narrow"/>
      <family val="2"/>
      <scheme val="minor"/>
    </font>
    <font>
      <sz val="16"/>
      <color theme="1"/>
      <name val="Aptos Narrow"/>
      <family val="2"/>
      <scheme val="minor"/>
    </font>
    <font>
      <b/>
      <sz val="16"/>
      <color theme="1"/>
      <name val="Aptos Narrow"/>
      <family val="2"/>
      <scheme val="minor"/>
    </font>
  </fonts>
  <fills count="4">
    <fill>
      <patternFill patternType="none"/>
    </fill>
    <fill>
      <patternFill patternType="gray125"/>
    </fill>
    <fill>
      <patternFill patternType="solid">
        <fgColor theme="7"/>
        <bgColor indexed="64"/>
      </patternFill>
    </fill>
    <fill>
      <patternFill patternType="solid">
        <fgColor theme="9"/>
        <bgColor indexed="64"/>
      </patternFill>
    </fill>
  </fills>
  <borders count="14">
    <border>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style="thin">
        <color indexed="64"/>
      </left>
      <right style="medium">
        <color indexed="64"/>
      </right>
      <top style="thin">
        <color indexed="64"/>
      </top>
      <bottom/>
      <diagonal/>
    </border>
  </borders>
  <cellStyleXfs count="1">
    <xf numFmtId="0" fontId="0" fillId="0" borderId="0"/>
  </cellStyleXfs>
  <cellXfs count="34">
    <xf numFmtId="0" fontId="0" fillId="0" borderId="0" xfId="0"/>
    <xf numFmtId="164" fontId="0" fillId="0" borderId="0" xfId="0" applyNumberFormat="1"/>
    <xf numFmtId="22" fontId="0" fillId="0" borderId="0" xfId="0" applyNumberFormat="1"/>
    <xf numFmtId="0" fontId="2" fillId="0" borderId="0" xfId="0" applyFont="1" applyAlignment="1">
      <alignment horizontal="center"/>
    </xf>
    <xf numFmtId="0" fontId="3" fillId="0" borderId="0" xfId="0" applyFont="1"/>
    <xf numFmtId="0" fontId="4" fillId="0" borderId="0" xfId="0" applyFont="1"/>
    <xf numFmtId="0" fontId="3" fillId="0" borderId="0" xfId="0" applyFont="1" applyAlignment="1">
      <alignment horizontal="center"/>
    </xf>
    <xf numFmtId="0" fontId="5" fillId="0" borderId="0" xfId="0" applyFont="1" applyAlignment="1">
      <alignment horizontal="center"/>
    </xf>
    <xf numFmtId="0" fontId="0" fillId="0" borderId="1" xfId="0" applyBorder="1"/>
    <xf numFmtId="0" fontId="0" fillId="0" borderId="2" xfId="0" applyBorder="1"/>
    <xf numFmtId="0" fontId="0" fillId="0" borderId="3" xfId="0" applyBorder="1"/>
    <xf numFmtId="0" fontId="0" fillId="0" borderId="4" xfId="0" applyBorder="1"/>
    <xf numFmtId="0" fontId="1" fillId="0" borderId="3" xfId="0" applyFont="1" applyBorder="1"/>
    <xf numFmtId="0" fontId="6" fillId="2" borderId="1" xfId="0" applyFont="1" applyFill="1" applyBorder="1"/>
    <xf numFmtId="0" fontId="6" fillId="2" borderId="2" xfId="0" applyFont="1" applyFill="1" applyBorder="1"/>
    <xf numFmtId="0" fontId="6" fillId="2" borderId="3" xfId="0" applyFont="1" applyFill="1" applyBorder="1"/>
    <xf numFmtId="0" fontId="6" fillId="2" borderId="4" xfId="0" applyFont="1" applyFill="1" applyBorder="1"/>
    <xf numFmtId="0" fontId="0" fillId="0" borderId="8" xfId="0" applyBorder="1"/>
    <xf numFmtId="0" fontId="0" fillId="0" borderId="9" xfId="0" applyBorder="1"/>
    <xf numFmtId="0" fontId="0" fillId="0" borderId="12" xfId="0" applyBorder="1"/>
    <xf numFmtId="0" fontId="0" fillId="0" borderId="13" xfId="0" applyBorder="1"/>
    <xf numFmtId="0" fontId="0" fillId="0" borderId="7" xfId="0" applyBorder="1"/>
    <xf numFmtId="0" fontId="1" fillId="3" borderId="4" xfId="0" applyFont="1" applyFill="1" applyBorder="1"/>
    <xf numFmtId="0" fontId="1" fillId="3" borderId="3" xfId="0" applyFont="1" applyFill="1" applyBorder="1"/>
    <xf numFmtId="0" fontId="1" fillId="3" borderId="2" xfId="0" applyFont="1" applyFill="1" applyBorder="1"/>
    <xf numFmtId="0" fontId="1" fillId="3" borderId="1" xfId="0" applyFont="1" applyFill="1" applyBorder="1"/>
    <xf numFmtId="0" fontId="7" fillId="2" borderId="6" xfId="0" applyFont="1" applyFill="1" applyBorder="1" applyAlignment="1">
      <alignment horizontal="center"/>
    </xf>
    <xf numFmtId="0" fontId="7" fillId="2" borderId="5" xfId="0" applyFont="1" applyFill="1" applyBorder="1" applyAlignment="1">
      <alignment horizontal="center"/>
    </xf>
    <xf numFmtId="0" fontId="2" fillId="3" borderId="6" xfId="0" applyFont="1" applyFill="1" applyBorder="1" applyAlignment="1">
      <alignment horizontal="center"/>
    </xf>
    <xf numFmtId="0" fontId="2" fillId="3" borderId="5" xfId="0" applyFont="1" applyFill="1" applyBorder="1" applyAlignment="1">
      <alignment horizontal="center"/>
    </xf>
    <xf numFmtId="0" fontId="2" fillId="0" borderId="10" xfId="0" applyFont="1" applyBorder="1" applyAlignment="1">
      <alignment horizontal="center"/>
    </xf>
    <xf numFmtId="0" fontId="2" fillId="0" borderId="11" xfId="0" applyFont="1" applyBorder="1" applyAlignment="1">
      <alignment horizontal="center"/>
    </xf>
    <xf numFmtId="0" fontId="2" fillId="0" borderId="6" xfId="0" applyFont="1" applyBorder="1" applyAlignment="1">
      <alignment horizontal="center"/>
    </xf>
    <xf numFmtId="0" fontId="2" fillId="0" borderId="5"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C5C5C5"/>
      <color rgb="FFFFFFFF"/>
      <color rgb="FF00FF00"/>
      <color rgb="FF008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13" Type="http://schemas.microsoft.com/office/2017/06/relationships/rdRichValue" Target="richData/rdrichvalue.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17/06/relationships/rdRichValueStructure" Target="richData/rdrichvaluestructure.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17/06/relationships/rdRichValueTypes" Target="richData/rdRichValueTyp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3</xdr:col>
      <xdr:colOff>935339</xdr:colOff>
      <xdr:row>22</xdr:row>
      <xdr:rowOff>77230</xdr:rowOff>
    </xdr:from>
    <xdr:to>
      <xdr:col>8</xdr:col>
      <xdr:colOff>386150</xdr:colOff>
      <xdr:row>35</xdr:row>
      <xdr:rowOff>42906</xdr:rowOff>
    </xdr:to>
    <xdr:sp macro="" textlink="">
      <xdr:nvSpPr>
        <xdr:cNvPr id="2" name="TextBox 1">
          <a:extLst>
            <a:ext uri="{FF2B5EF4-FFF2-40B4-BE49-F238E27FC236}">
              <a16:creationId xmlns:a16="http://schemas.microsoft.com/office/drawing/2014/main" id="{5B9964BC-0944-478B-B785-DEA7CA2A233D}"/>
            </a:ext>
          </a:extLst>
        </xdr:cNvPr>
        <xdr:cNvSpPr txBox="1"/>
      </xdr:nvSpPr>
      <xdr:spPr>
        <a:xfrm>
          <a:off x="6058244" y="4642365"/>
          <a:ext cx="6856284" cy="24370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t>For Overall sentiment, I found out that Most text tend to have a sentiment category of neutral while least tend to have a sentiment category of Negative.  For Liked Sentiments, there are positive liked comments </a:t>
          </a:r>
          <a:endParaRPr lang="en-US" sz="1100"/>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248</v>
    <v>1</v>
  </rv>
</rvData>
</file>

<file path=xl/richData/rdrichvaluestructure.xml><?xml version="1.0" encoding="utf-8"?>
<rvStructures xmlns="http://schemas.microsoft.com/office/spreadsheetml/2017/richdata" count="1">
  <s t="_error">
    <k n="colOffset" t="i"/>
    <k n="errorType" t="i"/>
    <k n="rwOffset" t="i"/>
    <k n="subType" t="i"/>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869806-559D-A04F-86C1-AD495650D2F6}">
  <sheetPr codeName="Sheet1"/>
  <dimension ref="A1:N3503"/>
  <sheetViews>
    <sheetView topLeftCell="A3479" zoomScale="99" workbookViewId="0">
      <selection activeCell="N3504" sqref="N3504"/>
    </sheetView>
  </sheetViews>
  <sheetFormatPr defaultColWidth="11.5546875" defaultRowHeight="15"/>
  <cols>
    <col min="8" max="8" width="23.77734375" customWidth="1"/>
    <col min="9" max="9" width="28.109375" customWidth="1"/>
    <col min="10" max="10" width="24.33203125" customWidth="1"/>
  </cols>
  <sheetData>
    <row r="1" spans="1:12" ht="15.75">
      <c r="A1" s="3" t="s">
        <v>4634</v>
      </c>
      <c r="B1" s="3" t="s">
        <v>4633</v>
      </c>
      <c r="C1" s="3" t="s">
        <v>4632</v>
      </c>
      <c r="D1" s="3" t="s">
        <v>4631</v>
      </c>
      <c r="E1" s="3" t="s">
        <v>4630</v>
      </c>
      <c r="F1" s="3" t="s">
        <v>4629</v>
      </c>
      <c r="G1" s="3" t="s">
        <v>4628</v>
      </c>
      <c r="H1" s="3" t="s">
        <v>4627</v>
      </c>
      <c r="I1" s="3" t="s">
        <v>4626</v>
      </c>
      <c r="J1" s="3" t="s">
        <v>4625</v>
      </c>
      <c r="K1" s="3" t="s">
        <v>4624</v>
      </c>
      <c r="L1" s="3" t="s">
        <v>4623</v>
      </c>
    </row>
    <row r="2" spans="1:12" ht="15.95">
      <c r="A2" t="s">
        <v>2215</v>
      </c>
      <c r="B2" t="s">
        <v>4622</v>
      </c>
      <c r="C2" t="str" cm="1">
        <f t="array" ref="C2" xml:space="preserve"> CleanText(B2)</f>
        <v>finish watching i dont know but im kinda dissappointed on the last episode i actually waited to see aang do some amazing actions but still didnt see until the end the movie sucks but i remember to have goosebump on the last scene where he manage to do waterbending did not have that feeling into netflix adaptation</v>
      </c>
      <c r="D2">
        <v>0</v>
      </c>
      <c r="E2">
        <v>0</v>
      </c>
      <c r="F2" t="s">
        <v>0</v>
      </c>
      <c r="G2" t="str" cm="1">
        <f t="array" ref="G2" xml:space="preserve"> FindCountryName(F2)</f>
        <v>None</v>
      </c>
      <c r="H2" s="1">
        <v>45353.007395833331</v>
      </c>
      <c r="I2" s="1">
        <v>45353.007395833331</v>
      </c>
      <c r="J2" s="1">
        <v>40785.486828703702</v>
      </c>
      <c r="K2" cm="1">
        <f t="array" ref="K2" xml:space="preserve"> sentimentCalc(C2)</f>
        <v>2</v>
      </c>
      <c r="L2" t="str" cm="1">
        <f t="array" ref="L2" xml:space="preserve"> sentimentCategory(K2)</f>
        <v>Positive</v>
      </c>
    </row>
    <row r="3" spans="1:12" ht="15.95">
      <c r="A3" t="s">
        <v>38</v>
      </c>
      <c r="B3" t="s">
        <v>4621</v>
      </c>
      <c r="C3" t="str" cm="1">
        <f t="array" ref="C3" xml:space="preserve"> CleanText(B3)</f>
        <v>i liked as a avatar series animations and comic books fan</v>
      </c>
      <c r="D3">
        <v>1</v>
      </c>
      <c r="E3">
        <v>0</v>
      </c>
      <c r="F3" t="s">
        <v>0</v>
      </c>
      <c r="G3" t="str" cm="1">
        <f t="array" ref="G3" xml:space="preserve"> FindCountryName(F3)</f>
        <v>None</v>
      </c>
      <c r="H3" s="1">
        <v>45352.638692129629</v>
      </c>
      <c r="I3" s="1">
        <v>45352.638692129629</v>
      </c>
      <c r="J3" s="1">
        <v>41887.697476851848</v>
      </c>
      <c r="K3" cm="1">
        <f t="array" ref="K3" xml:space="preserve"> sentimentCalc(C3)</f>
        <v>5</v>
      </c>
      <c r="L3" t="str" cm="1">
        <f t="array" ref="L3" xml:space="preserve"> sentimentCategory(K3)</f>
        <v>Positive</v>
      </c>
    </row>
    <row r="4" spans="1:12" ht="15.95">
      <c r="A4" t="s">
        <v>2614</v>
      </c>
      <c r="B4" t="s">
        <v>4620</v>
      </c>
      <c r="C4" t="str" cm="1">
        <f t="array" ref="C4" xml:space="preserve"> CleanText(B4)</f>
        <v>remembered the legend</v>
      </c>
      <c r="D4">
        <v>0</v>
      </c>
      <c r="E4">
        <v>0</v>
      </c>
      <c r="F4" t="s">
        <v>0</v>
      </c>
      <c r="G4" t="str" cm="1">
        <f t="array" ref="G4" xml:space="preserve"> FindCountryName(F4)</f>
        <v>None</v>
      </c>
      <c r="H4" s="1">
        <v>45352.624826388892</v>
      </c>
      <c r="I4" s="1">
        <v>45352.624826388892</v>
      </c>
      <c r="J4" s="1">
        <v>44920.647303240738</v>
      </c>
      <c r="K4" cm="1">
        <f t="array" ref="K4" xml:space="preserve"> sentimentCalc(C4)</f>
        <v>0</v>
      </c>
      <c r="L4" t="str" cm="1">
        <f t="array" ref="L4" xml:space="preserve"> sentimentCategory(K4)</f>
        <v>Neutral</v>
      </c>
    </row>
    <row r="5" spans="1:12" ht="15.95">
      <c r="A5" t="s">
        <v>108</v>
      </c>
      <c r="B5" t="s">
        <v>4619</v>
      </c>
      <c r="C5" t="str" cm="1">
        <f t="array" ref="C5" xml:space="preserve"> CleanText(B5)</f>
        <v>st season watched i really like hopefully the next ones are going to be good too_xDF89_ the only problem is that you should make the characters less serious and let them be more goofy as the original because not everything needs to be that serious</v>
      </c>
      <c r="D5">
        <v>0</v>
      </c>
      <c r="E5">
        <v>0</v>
      </c>
      <c r="F5" t="s">
        <v>0</v>
      </c>
      <c r="G5" t="str" cm="1">
        <f t="array" ref="G5" xml:space="preserve"> FindCountryName(F5)</f>
        <v>None</v>
      </c>
      <c r="H5" s="1">
        <v>45352.444293981483</v>
      </c>
      <c r="I5" s="1">
        <v>45353.28628472222</v>
      </c>
      <c r="J5" s="1">
        <v>41742.776736111111</v>
      </c>
      <c r="K5" cm="1">
        <f t="array" ref="K5" xml:space="preserve"> sentimentCalc(C5)</f>
        <v>5</v>
      </c>
      <c r="L5" t="str" cm="1">
        <f t="array" ref="L5" xml:space="preserve"> sentimentCategory(K5)</f>
        <v>Positive</v>
      </c>
    </row>
    <row r="6" spans="1:12" ht="15.95">
      <c r="A6" t="s">
        <v>3371</v>
      </c>
      <c r="B6" t="s">
        <v>295</v>
      </c>
      <c r="C6" t="str" cm="1">
        <f t="array" ref="C6" xml:space="preserve"> CleanText(B6)</f>
        <v>wow</v>
      </c>
      <c r="D6">
        <v>0</v>
      </c>
      <c r="E6">
        <v>0</v>
      </c>
      <c r="F6" t="s">
        <v>0</v>
      </c>
      <c r="G6" t="str" cm="1">
        <f t="array" ref="G6" xml:space="preserve"> FindCountryName(F6)</f>
        <v>None</v>
      </c>
      <c r="H6" s="1">
        <v>45352.15252314815</v>
      </c>
      <c r="I6" s="1">
        <v>45352.15252314815</v>
      </c>
      <c r="J6" s="1">
        <v>43168.382141203707</v>
      </c>
      <c r="K6" cm="1">
        <f t="array" ref="K6" xml:space="preserve"> sentimentCalc(C6)</f>
        <v>4</v>
      </c>
      <c r="L6" t="str" cm="1">
        <f t="array" ref="L6" xml:space="preserve"> sentimentCategory(K6)</f>
        <v>Positive</v>
      </c>
    </row>
    <row r="7" spans="1:12" ht="15.95">
      <c r="A7" t="s">
        <v>2700</v>
      </c>
      <c r="B7" t="s">
        <v>4618</v>
      </c>
      <c r="C7" t="str" cm="1">
        <f t="array" ref="C7" xml:space="preserve"> CleanText(B7)</f>
        <v>this show was a big disappointmentafter watching the original series and the legend of korra multiple times and being a big fan of the anime netflix just couldnt help themselves to put their woke ideologies into the show do not watch this crap watch the cartoon first and make your own judgement</v>
      </c>
      <c r="D7">
        <v>0</v>
      </c>
      <c r="E7">
        <v>0</v>
      </c>
      <c r="F7" t="s">
        <v>0</v>
      </c>
      <c r="G7" t="str" cm="1">
        <f t="array" ref="G7" xml:space="preserve"> FindCountryName(F7)</f>
        <v>None</v>
      </c>
      <c r="H7" s="1">
        <v>45351.278287037036</v>
      </c>
      <c r="I7" s="1">
        <v>45351.278287037036</v>
      </c>
      <c r="J7" s="1">
        <v>41173.824340277781</v>
      </c>
      <c r="K7" cm="1">
        <f t="array" ref="K7" xml:space="preserve"> sentimentCalc(C7)</f>
        <v>4</v>
      </c>
      <c r="L7" t="str" cm="1">
        <f t="array" ref="L7" xml:space="preserve"> sentimentCategory(K7)</f>
        <v>Positive</v>
      </c>
    </row>
    <row r="8" spans="1:12" ht="15.95">
      <c r="A8" t="s">
        <v>343</v>
      </c>
      <c r="B8" t="s">
        <v>4617</v>
      </c>
      <c r="C8" t="str" cm="1">
        <f t="array" ref="C8" xml:space="preserve"> CleanText(B8)</f>
        <v>noah ringer punching the air right now_xDE2D__xDE2D__xD83E__xD83E_</v>
      </c>
      <c r="D8">
        <v>0</v>
      </c>
      <c r="E8">
        <v>0</v>
      </c>
      <c r="F8" t="s">
        <v>0</v>
      </c>
      <c r="G8" t="str" cm="1">
        <f t="array" ref="G8" xml:space="preserve"> FindCountryName(F8)</f>
        <v>None</v>
      </c>
      <c r="H8" s="1">
        <v>45351.196898148148</v>
      </c>
      <c r="I8" s="1">
        <v>45351.196898148148</v>
      </c>
      <c r="J8" s="1">
        <v>44081.340162037035</v>
      </c>
      <c r="K8" cm="1">
        <f t="array" ref="K8" xml:space="preserve"> sentimentCalc(C8)</f>
        <v>0</v>
      </c>
      <c r="L8" t="str" cm="1">
        <f t="array" ref="L8" xml:space="preserve"> sentimentCategory(K8)</f>
        <v>Neutral</v>
      </c>
    </row>
    <row r="9" spans="1:12" ht="15.95">
      <c r="A9" t="s">
        <v>1606</v>
      </c>
      <c r="B9" t="s">
        <v>4616</v>
      </c>
      <c r="C9" t="str" cm="1">
        <f t="array" ref="C9" xml:space="preserve"> CleanText(B9)</f>
        <v>its really great but can we get movie on new episodes or latter part of the story coz i hv seen this same part in different versions and now i am kind of tired and memorised all the scenes _xDE05_</v>
      </c>
      <c r="D9">
        <v>0</v>
      </c>
      <c r="E9">
        <v>0</v>
      </c>
      <c r="F9" t="s">
        <v>0</v>
      </c>
      <c r="G9" t="str" cm="1">
        <f t="array" ref="G9" xml:space="preserve"> FindCountryName(F9)</f>
        <v>None</v>
      </c>
      <c r="H9" s="1">
        <v>45351.025671296295</v>
      </c>
      <c r="I9" s="1">
        <v>45351.025671296295</v>
      </c>
      <c r="J9" s="1">
        <v>42861.535081018519</v>
      </c>
      <c r="K9">
        <f xml:space="preserve"> sentimentCalc(C9)</f>
        <v>3</v>
      </c>
      <c r="L9" t="str" cm="1">
        <f t="array" ref="L9" xml:space="preserve"> sentimentCategory(K9)</f>
        <v>Positive</v>
      </c>
    </row>
    <row r="10" spans="1:12" ht="15.95">
      <c r="A10" t="s">
        <v>261</v>
      </c>
      <c r="B10" t="s">
        <v>4615</v>
      </c>
      <c r="C10" t="str" cm="1">
        <f t="array" ref="C10" xml:space="preserve"> CleanText(B10)</f>
        <v>its trash the first episode is so disappointing literally just watch the whole animated series  kora  call it a dayunless your standards are low  you are into modern terrible 0 shows wack dialogue  lots of special effects then this shitty show will be for you _xDE42_ if you are desperate  have low standards then you might find enjoyment from  hours of the episodesim told i shouldnt compare this tv series to the animated version but its so hard when 0 of the dialogue is ripped from the animated version nothing will ever compare to or touch how much i loved the avatar animated series  the legend of kora they were so well done  so easy to get into ️ i had higher hopes for this show and im glad i watched the first episode but i would literally rather do anything else that watch this piece of garbage that was produced the only hype they have is the name everything else about it is cringe corny and not my cup of tea</v>
      </c>
      <c r="D10">
        <v>0</v>
      </c>
      <c r="E10">
        <v>0</v>
      </c>
      <c r="F10" t="s">
        <v>0</v>
      </c>
      <c r="G10" t="str" cm="1">
        <f t="array" ref="G10" xml:space="preserve"> FindCountryName(F10)</f>
        <v>None</v>
      </c>
      <c r="H10" s="1">
        <v>45351.022881944446</v>
      </c>
      <c r="I10" s="1">
        <v>45351.022881944446</v>
      </c>
      <c r="J10" s="1">
        <v>39679.90079861111</v>
      </c>
      <c r="K10" cm="1">
        <f t="array" ref="K10" xml:space="preserve"> sentimentCalc(C10)</f>
        <v>0</v>
      </c>
      <c r="L10" t="str" cm="1">
        <f t="array" ref="L10" xml:space="preserve"> sentimentCategory(K10)</f>
        <v>Neutral</v>
      </c>
    </row>
    <row r="11" spans="1:12" ht="15.95">
      <c r="A11" t="s">
        <v>4614</v>
      </c>
      <c r="B11" t="s">
        <v>4613</v>
      </c>
      <c r="C11" t="str" cm="1">
        <f t="array" ref="C11" xml:space="preserve"> CleanText(B11)</f>
        <v>amazing definitely met and surpassed expectations really a masterpiece thank you for this series cant wait for next season the episodes flew by fast ️</v>
      </c>
      <c r="D11">
        <v>2</v>
      </c>
      <c r="E11">
        <v>0</v>
      </c>
      <c r="F11" t="s">
        <v>0</v>
      </c>
      <c r="G11" t="str" cm="1">
        <f t="array" ref="G11" xml:space="preserve"> FindCountryName(F11)</f>
        <v>None</v>
      </c>
      <c r="H11" s="1">
        <v>45350.757094907407</v>
      </c>
      <c r="I11" s="1">
        <v>45350.757094907407</v>
      </c>
      <c r="J11" s="1">
        <v>41193.501168981478</v>
      </c>
      <c r="K11" cm="1">
        <f t="array" ref="K11" xml:space="preserve"> sentimentCalc(C11)</f>
        <v>10</v>
      </c>
      <c r="L11" t="str" cm="1">
        <f t="array" ref="L11" xml:space="preserve"> sentimentCategory(K11)</f>
        <v>Positive</v>
      </c>
    </row>
    <row r="12" spans="1:12" ht="15.95">
      <c r="A12" t="s">
        <v>3097</v>
      </c>
      <c r="B12" t="s">
        <v>4612</v>
      </c>
      <c r="C12" t="str" cm="1">
        <f t="array" ref="C12" xml:space="preserve"> CleanText(B12)</f>
        <v>se ve fenomenal no me la perder</v>
      </c>
      <c r="D12">
        <v>1</v>
      </c>
      <c r="E12">
        <v>0</v>
      </c>
      <c r="F12" t="s">
        <v>0</v>
      </c>
      <c r="G12" t="str" cm="1">
        <f t="array" ref="G12" xml:space="preserve"> FindCountryName(F12)</f>
        <v>None</v>
      </c>
      <c r="H12" s="1">
        <v>45350.72115740741</v>
      </c>
      <c r="I12" s="1">
        <v>45350.72115740741</v>
      </c>
      <c r="J12" s="1">
        <v>44050.863553240742</v>
      </c>
      <c r="K12" cm="1">
        <f t="array" ref="K12" xml:space="preserve"> sentimentCalc(C12)</f>
        <v>-1</v>
      </c>
      <c r="L12" t="str" cm="1">
        <f t="array" ref="L12" xml:space="preserve"> sentimentCategory(K12)</f>
        <v>Negative</v>
      </c>
    </row>
    <row r="13" spans="1:12" ht="15.95">
      <c r="A13" t="s">
        <v>4611</v>
      </c>
      <c r="B13" t="s">
        <v>4610</v>
      </c>
      <c r="C13" t="str" cm="1">
        <f t="array" ref="C13" xml:space="preserve"> CleanText(B13)</f>
        <v>this is a series not to leave home  spectacular</v>
      </c>
      <c r="D13">
        <v>1</v>
      </c>
      <c r="E13">
        <v>0</v>
      </c>
      <c r="F13" t="s">
        <v>0</v>
      </c>
      <c r="G13" t="str" cm="1">
        <f t="array" ref="G13" xml:space="preserve"> FindCountryName(F13)</f>
        <v>None</v>
      </c>
      <c r="H13" s="1">
        <v>45350.44189814815</v>
      </c>
      <c r="I13" s="1">
        <v>45350.44189814815</v>
      </c>
      <c r="J13" s="1">
        <v>40777.011435185188</v>
      </c>
      <c r="K13" cm="1">
        <f t="array" ref="K13" xml:space="preserve"> sentimentCalc(C13)</f>
        <v>-1</v>
      </c>
      <c r="L13" t="str" cm="1">
        <f t="array" ref="L13" xml:space="preserve"> sentimentCategory(K13)</f>
        <v>Negative</v>
      </c>
    </row>
    <row r="14" spans="1:12" ht="15.95">
      <c r="A14" t="s">
        <v>1356</v>
      </c>
      <c r="B14" t="s">
        <v>4609</v>
      </c>
      <c r="C14" t="str" cm="1">
        <f t="array" ref="C14" xml:space="preserve"> CleanText(B14)</f>
        <v>next prt waiting _xDD7A_</v>
      </c>
      <c r="D14">
        <v>0</v>
      </c>
      <c r="E14">
        <v>0</v>
      </c>
      <c r="F14" t="s">
        <v>0</v>
      </c>
      <c r="G14" t="str" cm="1">
        <f t="array" ref="G14" xml:space="preserve"> FindCountryName(F14)</f>
        <v>None</v>
      </c>
      <c r="H14" s="1">
        <v>45350.421747685185</v>
      </c>
      <c r="I14" s="1">
        <v>45350.421747685185</v>
      </c>
      <c r="J14" s="1">
        <v>43773.560081018521</v>
      </c>
      <c r="K14" cm="1">
        <f t="array" ref="K14" xml:space="preserve"> sentimentCalc(C14)</f>
        <v>0</v>
      </c>
      <c r="L14" t="str" cm="1">
        <f t="array" ref="L14" xml:space="preserve"> sentimentCategory(K14)</f>
        <v>Neutral</v>
      </c>
    </row>
    <row r="15" spans="1:12" ht="15.95">
      <c r="A15" t="s">
        <v>4608</v>
      </c>
      <c r="B15" t="s">
        <v>4607</v>
      </c>
      <c r="C15" t="str" cm="1">
        <f t="array" ref="C15" xml:space="preserve"> CleanText(B15)</f>
        <v>my expectations was this and i got what i want</v>
      </c>
      <c r="D15">
        <v>1</v>
      </c>
      <c r="E15">
        <v>0</v>
      </c>
      <c r="F15" t="s">
        <v>0</v>
      </c>
      <c r="G15" t="str" cm="1">
        <f t="array" ref="G15" xml:space="preserve"> FindCountryName(F15)</f>
        <v>None</v>
      </c>
      <c r="H15" s="1">
        <v>45350.108113425929</v>
      </c>
      <c r="I15" s="1">
        <v>45350.108113425929</v>
      </c>
      <c r="J15" s="1">
        <v>44435.084780092591</v>
      </c>
      <c r="K15" cm="1">
        <f t="array" ref="K15" xml:space="preserve"> sentimentCalc(C15)</f>
        <v>1</v>
      </c>
      <c r="L15" t="str" cm="1">
        <f t="array" ref="L15" xml:space="preserve"> sentimentCategory(K15)</f>
        <v>Positive</v>
      </c>
    </row>
    <row r="16" spans="1:12" ht="15.95">
      <c r="A16" t="s">
        <v>447</v>
      </c>
      <c r="B16" t="s">
        <v>4606</v>
      </c>
      <c r="C16" t="str" cm="1">
        <f t="array" ref="C16" xml:space="preserve"> CleanText(B16)</f>
        <v>film taik</v>
      </c>
      <c r="D16">
        <v>0</v>
      </c>
      <c r="E16">
        <v>0</v>
      </c>
      <c r="F16" t="s">
        <v>0</v>
      </c>
      <c r="G16" t="str" cm="1">
        <f t="array" ref="G16" xml:space="preserve"> FindCountryName(F16)</f>
        <v>None</v>
      </c>
      <c r="H16" s="1">
        <v>45349.99386574074</v>
      </c>
      <c r="I16" s="1">
        <v>45349.99386574074</v>
      </c>
      <c r="J16" s="1">
        <v>42209.941805555558</v>
      </c>
      <c r="K16" cm="1">
        <f t="array" ref="K16" xml:space="preserve"> sentimentCalc(C16)</f>
        <v>0</v>
      </c>
      <c r="L16" t="str" cm="1">
        <f t="array" ref="L16" xml:space="preserve"> sentimentCategory(K16)</f>
        <v>Neutral</v>
      </c>
    </row>
    <row r="17" spans="1:12" ht="15.95">
      <c r="A17" t="s">
        <v>62</v>
      </c>
      <c r="B17" t="s">
        <v>4605</v>
      </c>
      <c r="C17" t="str" cm="1">
        <f t="array" ref="C17" xml:space="preserve"> CleanText(B17)</f>
        <v>maybe one day ill get why there needs to be liveaction remakes, but today is not that day</v>
      </c>
      <c r="D17">
        <v>2</v>
      </c>
      <c r="E17">
        <v>0</v>
      </c>
      <c r="F17" t="s">
        <v>0</v>
      </c>
      <c r="G17" t="str" cm="1">
        <f t="array" ref="G17" xml:space="preserve"> FindCountryName(F17)</f>
        <v>None</v>
      </c>
      <c r="H17" s="1">
        <v>45349.42015046296</v>
      </c>
      <c r="I17" s="1">
        <v>45349.42015046296</v>
      </c>
      <c r="J17" s="1">
        <v>42965.962719907409</v>
      </c>
      <c r="K17" cm="1">
        <f t="array" ref="K17" xml:space="preserve"> sentimentCalc(C17)</f>
        <v>-2</v>
      </c>
      <c r="L17" t="str" cm="1">
        <f t="array" ref="L17" xml:space="preserve"> sentimentCategory(K17)</f>
        <v>Negative</v>
      </c>
    </row>
    <row r="18" spans="1:12" ht="15.95">
      <c r="A18" t="s">
        <v>4604</v>
      </c>
      <c r="B18" t="s">
        <v>4603</v>
      </c>
      <c r="C18" t="str" cm="1">
        <f t="array" ref="C18" xml:space="preserve"> CleanText(B18)</f>
        <v>this show was so bad bro why is he called an avatar when he cant master the  elements</v>
      </c>
      <c r="D18">
        <v>1</v>
      </c>
      <c r="E18">
        <v>0</v>
      </c>
      <c r="F18" t="s">
        <v>0</v>
      </c>
      <c r="G18" t="str" cm="1">
        <f t="array" ref="G18" xml:space="preserve"> FindCountryName(F18)</f>
        <v>None</v>
      </c>
      <c r="H18" s="1">
        <v>45349.071909722225</v>
      </c>
      <c r="I18" s="1">
        <v>45349.071909722225</v>
      </c>
      <c r="J18" s="1">
        <v>42637.840381944443</v>
      </c>
      <c r="K18" cm="1">
        <f t="array" ref="K18" xml:space="preserve"> sentimentCalc(C18)</f>
        <v>-3</v>
      </c>
      <c r="L18" t="str" cm="1">
        <f t="array" ref="L18" xml:space="preserve"> sentimentCategory(K18)</f>
        <v>Negative</v>
      </c>
    </row>
    <row r="19" spans="1:12" ht="15.95">
      <c r="A19" t="s">
        <v>1883</v>
      </c>
      <c r="B19" t="s">
        <v>4602</v>
      </c>
      <c r="C19" t="str" cm="1">
        <f t="array" ref="C19" xml:space="preserve"> CleanText(B19)</f>
        <v>where is the kiss scene</v>
      </c>
      <c r="D19">
        <v>0</v>
      </c>
      <c r="E19">
        <v>0</v>
      </c>
      <c r="F19" t="s">
        <v>0</v>
      </c>
      <c r="G19" t="str" cm="1">
        <f t="array" ref="G19" xml:space="preserve"> FindCountryName(F19)</f>
        <v>None</v>
      </c>
      <c r="H19" s="1">
        <v>45348.472395833334</v>
      </c>
      <c r="I19" s="1">
        <v>45348.472395833334</v>
      </c>
      <c r="J19" s="1">
        <v>45145.515439814815</v>
      </c>
      <c r="K19" cm="1">
        <f t="array" ref="K19" xml:space="preserve"> sentimentCalc(C19)</f>
        <v>2</v>
      </c>
      <c r="L19" t="str" cm="1">
        <f t="array" ref="L19" xml:space="preserve"> sentimentCategory(K19)</f>
        <v>Positive</v>
      </c>
    </row>
    <row r="20" spans="1:12" ht="15.95">
      <c r="A20" t="s">
        <v>591</v>
      </c>
      <c r="B20" t="s">
        <v>4601</v>
      </c>
      <c r="C20" t="str" cm="1">
        <f t="array" ref="C20" xml:space="preserve"> CleanText(B20)</f>
        <v>fat mai lol worst character ever</v>
      </c>
      <c r="D20">
        <v>0</v>
      </c>
      <c r="E20">
        <v>0</v>
      </c>
      <c r="F20" t="s">
        <v>0</v>
      </c>
      <c r="G20" t="str" cm="1">
        <f t="array" ref="G20" xml:space="preserve"> FindCountryName(F20)</f>
        <v>None</v>
      </c>
      <c r="H20" s="1">
        <v>45348.357604166667</v>
      </c>
      <c r="I20" s="1">
        <v>45348.357604166667</v>
      </c>
      <c r="J20" s="1">
        <v>41644.725381944445</v>
      </c>
      <c r="K20" cm="1">
        <f t="array" ref="K20" xml:space="preserve"> sentimentCalc(C20)</f>
        <v>-3</v>
      </c>
      <c r="L20" t="str" cm="1">
        <f t="array" ref="L20" xml:space="preserve"> sentimentCategory(K20)</f>
        <v>Negative</v>
      </c>
    </row>
    <row r="21" spans="1:12" ht="15.95">
      <c r="A21" t="s">
        <v>646</v>
      </c>
      <c r="B21" t="s">
        <v>4600</v>
      </c>
      <c r="C21" t="str" cm="1">
        <f t="array" ref="C21" xml:space="preserve"> CleanText(B21)</f>
        <v>spoiler im very happy when i heard my cabbages in omashu that was so satisfying _xDE02__xDD70_</v>
      </c>
      <c r="D21">
        <v>4</v>
      </c>
      <c r="E21">
        <v>0</v>
      </c>
      <c r="F21" t="s">
        <v>0</v>
      </c>
      <c r="G21" t="str" cm="1">
        <f t="array" ref="G21" xml:space="preserve"> FindCountryName(F21)</f>
        <v>None</v>
      </c>
      <c r="H21" s="1">
        <v>45348.287210648145</v>
      </c>
      <c r="I21" s="1">
        <v>45348.287210648145</v>
      </c>
      <c r="J21" s="1">
        <v>43235.006215277775</v>
      </c>
      <c r="K21" cm="1">
        <f t="array" ref="K21" xml:space="preserve"> sentimentCalc(C21)</f>
        <v>3</v>
      </c>
      <c r="L21" t="str" cm="1">
        <f t="array" ref="L21" xml:space="preserve"> sentimentCategory(K21)</f>
        <v>Positive</v>
      </c>
    </row>
    <row r="22" spans="1:12" ht="15.95">
      <c r="A22" t="s">
        <v>30</v>
      </c>
      <c r="B22" t="s">
        <v>4599</v>
      </c>
      <c r="C22" t="str" cm="1">
        <f t="array" ref="C22" xml:space="preserve"> CleanText(B22)</f>
        <v>phenomenal work so good loved it</v>
      </c>
      <c r="D22">
        <v>3</v>
      </c>
      <c r="E22">
        <v>0</v>
      </c>
      <c r="F22" t="s">
        <v>0</v>
      </c>
      <c r="G22" t="str" cm="1">
        <f t="array" ref="G22" xml:space="preserve"> FindCountryName(F22)</f>
        <v>None</v>
      </c>
      <c r="H22" s="1">
        <v>45348.041342592594</v>
      </c>
      <c r="I22" s="1">
        <v>45348.041342592594</v>
      </c>
      <c r="J22" s="1">
        <v>44697.065844907411</v>
      </c>
      <c r="K22" cm="1">
        <f t="array" ref="K22" xml:space="preserve"> sentimentCalc(C22)</f>
        <v>6</v>
      </c>
      <c r="L22" t="str" cm="1">
        <f t="array" ref="L22" xml:space="preserve"> sentimentCategory(K22)</f>
        <v>Positive</v>
      </c>
    </row>
    <row r="23" spans="1:12" ht="15.95">
      <c r="A23" t="s">
        <v>141</v>
      </c>
      <c r="B23" t="s">
        <v>4598</v>
      </c>
      <c r="C23" t="str" cm="1">
        <f t="array" ref="C23" xml:space="preserve"> CleanText(B23)</f>
        <v>the best show i seen them all highly recommended _xDC4F_</v>
      </c>
      <c r="D23">
        <v>5</v>
      </c>
      <c r="E23">
        <v>0</v>
      </c>
      <c r="F23" t="s">
        <v>0</v>
      </c>
      <c r="G23" t="str" cm="1">
        <f t="array" ref="G23" xml:space="preserve"> FindCountryName(F23)</f>
        <v>None</v>
      </c>
      <c r="H23" s="1">
        <v>45348.023530092592</v>
      </c>
      <c r="I23" s="1">
        <v>45348.023530092592</v>
      </c>
      <c r="J23" s="1">
        <v>44772.768935185188</v>
      </c>
      <c r="K23" cm="1">
        <f t="array" ref="K23" xml:space="preserve"> sentimentCalc(C23)</f>
        <v>5</v>
      </c>
      <c r="L23" t="str" cm="1">
        <f t="array" ref="L23" xml:space="preserve"> sentimentCategory(K23)</f>
        <v>Positive</v>
      </c>
    </row>
    <row r="24" spans="1:12" ht="15.95">
      <c r="A24" t="s">
        <v>4597</v>
      </c>
      <c r="B24" t="s">
        <v>4596</v>
      </c>
      <c r="C24" t="str" cm="1">
        <f t="array" ref="C24" xml:space="preserve"> CleanText(B24)</f>
        <v>bells were ringing in our heads for anyone who grew up watching the animated series</v>
      </c>
      <c r="D24">
        <v>1</v>
      </c>
      <c r="E24">
        <v>0</v>
      </c>
      <c r="F24" t="s">
        <v>0</v>
      </c>
      <c r="G24" t="str" cm="1">
        <f t="array" ref="G24" xml:space="preserve"> FindCountryName(F24)</f>
        <v>None</v>
      </c>
      <c r="H24" s="1">
        <v>45348.00472222222</v>
      </c>
      <c r="I24" s="1">
        <v>45348.00472222222</v>
      </c>
      <c r="J24" s="1">
        <v>42001.072210648148</v>
      </c>
      <c r="K24" cm="1">
        <f t="array" ref="K24" xml:space="preserve"> sentimentCalc(C24)</f>
        <v>0</v>
      </c>
      <c r="L24" t="str" cm="1">
        <f t="array" ref="L24" xml:space="preserve"> sentimentCategory(K24)</f>
        <v>Neutral</v>
      </c>
    </row>
    <row r="25" spans="1:12" ht="15.95">
      <c r="A25" t="s">
        <v>1067</v>
      </c>
      <c r="B25" t="s">
        <v>4595</v>
      </c>
      <c r="C25" t="str" cm="1">
        <f t="array" ref="C25" xml:space="preserve"> CleanText(B25)</f>
        <v>thank you netflix this serie is so magnific  please confirm season  _xD83D_</v>
      </c>
      <c r="D25">
        <v>11</v>
      </c>
      <c r="E25">
        <v>0</v>
      </c>
      <c r="F25" t="s">
        <v>0</v>
      </c>
      <c r="G25" t="str" cm="1">
        <f t="array" ref="G25" xml:space="preserve"> FindCountryName(F25)</f>
        <v>None</v>
      </c>
      <c r="H25" s="1">
        <v>45347.788680555554</v>
      </c>
      <c r="I25" s="1">
        <v>45347.788981481484</v>
      </c>
      <c r="J25" s="1">
        <v>44105.308819444443</v>
      </c>
      <c r="K25" cm="1">
        <f t="array" ref="K25" xml:space="preserve"> sentimentCalc(C25)</f>
        <v>3</v>
      </c>
      <c r="L25" t="str" cm="1">
        <f t="array" ref="L25" xml:space="preserve"> sentimentCategory(K25)</f>
        <v>Positive</v>
      </c>
    </row>
    <row r="26" spans="1:12" ht="15.95">
      <c r="A26" t="s">
        <v>865</v>
      </c>
      <c r="B26" t="s">
        <v>4594</v>
      </c>
      <c r="C26" t="str" cm="1">
        <f t="array" ref="C26" xml:space="preserve"> CleanText(B26)</f>
        <v>obviously low budget look at the beard on danny pudi  _xDE02__xD83E_ lmao i couldnt stop laughing</v>
      </c>
      <c r="D26">
        <v>0</v>
      </c>
      <c r="E26">
        <v>0</v>
      </c>
      <c r="F26" t="s">
        <v>0</v>
      </c>
      <c r="G26" t="str" cm="1">
        <f t="array" ref="G26" xml:space="preserve"> FindCountryName(F26)</f>
        <v>None</v>
      </c>
      <c r="H26" s="1">
        <v>45347.651261574072</v>
      </c>
      <c r="I26" s="1">
        <v>45347.651261574072</v>
      </c>
      <c r="J26" s="1">
        <v>40873.988182870373</v>
      </c>
      <c r="K26" cm="1">
        <f t="array" ref="K26" xml:space="preserve"> sentimentCalc(C26)</f>
        <v>0</v>
      </c>
      <c r="L26" t="str" cm="1">
        <f t="array" ref="L26" xml:space="preserve"> sentimentCategory(K26)</f>
        <v>Neutral</v>
      </c>
    </row>
    <row r="27" spans="1:12" ht="15.95">
      <c r="A27" t="s">
        <v>190</v>
      </c>
      <c r="B27" t="s">
        <v>4593</v>
      </c>
      <c r="C27" t="str" cm="1">
        <f t="array" ref="C27" xml:space="preserve"> CleanText(B27)</f>
        <v>the nostalgia pandering is real write something original</v>
      </c>
      <c r="D27">
        <v>0</v>
      </c>
      <c r="E27">
        <v>0</v>
      </c>
      <c r="F27" t="s">
        <v>0</v>
      </c>
      <c r="G27" t="str" cm="1">
        <f t="array" ref="G27" xml:space="preserve"> FindCountryName(F27)</f>
        <v>None</v>
      </c>
      <c r="H27" s="1">
        <v>45347.559131944443</v>
      </c>
      <c r="I27" s="1">
        <v>45347.559131944443</v>
      </c>
      <c r="J27" s="1">
        <v>43911.83965277778</v>
      </c>
      <c r="K27" cm="1">
        <f t="array" ref="K27" xml:space="preserve"> sentimentCalc(C27)</f>
        <v>0</v>
      </c>
      <c r="L27" t="str" cm="1">
        <f t="array" ref="L27" xml:space="preserve"> sentimentCategory(K27)</f>
        <v>Neutral</v>
      </c>
    </row>
    <row r="28" spans="1:12" ht="15.95">
      <c r="A28" t="s">
        <v>1554</v>
      </c>
      <c r="B28" t="s">
        <v>4592</v>
      </c>
      <c r="C28" t="str" cm="1">
        <f t="array" ref="C28" xml:space="preserve"> CleanText(B28)</f>
        <v>even the trailer is fascinating _xDD29_</v>
      </c>
      <c r="D28">
        <v>2</v>
      </c>
      <c r="E28">
        <v>0</v>
      </c>
      <c r="F28" t="s">
        <v>0</v>
      </c>
      <c r="G28" t="str" cm="1">
        <f t="array" ref="G28" xml:space="preserve"> FindCountryName(F28)</f>
        <v>None</v>
      </c>
      <c r="H28" s="1">
        <v>45347.400358796294</v>
      </c>
      <c r="I28" s="1">
        <v>45347.400358796294</v>
      </c>
      <c r="J28" s="1">
        <v>41115.439479166664</v>
      </c>
      <c r="K28" cm="1">
        <f t="array" ref="K28" xml:space="preserve"> sentimentCalc(C28)</f>
        <v>3</v>
      </c>
      <c r="L28" t="str" cm="1">
        <f t="array" ref="L28" xml:space="preserve"> sentimentCategory(K28)</f>
        <v>Positive</v>
      </c>
    </row>
    <row r="29" spans="1:12" ht="15.95">
      <c r="A29" t="s">
        <v>784</v>
      </c>
      <c r="B29" t="s">
        <v>4591</v>
      </c>
      <c r="C29" t="str" cm="1">
        <f t="array" ref="C29" xml:space="preserve"> CleanText(B29)</f>
        <v>niceingwn</v>
      </c>
      <c r="D29">
        <v>0</v>
      </c>
      <c r="E29">
        <v>0</v>
      </c>
      <c r="F29" t="s">
        <v>1523</v>
      </c>
      <c r="G29" t="str" cm="1">
        <f t="array" ref="G29" xml:space="preserve"> FindCountryName(F29)</f>
        <v>Turkey</v>
      </c>
      <c r="H29" s="1">
        <v>45347.285509259258</v>
      </c>
      <c r="I29" s="1">
        <v>45347.285509259258</v>
      </c>
      <c r="J29" s="1">
        <v>42473.470532407409</v>
      </c>
      <c r="K29" cm="1">
        <f t="array" ref="K29" xml:space="preserve"> sentimentCalc(C29)</f>
        <v>0</v>
      </c>
      <c r="L29" t="str" cm="1">
        <f t="array" ref="L29" xml:space="preserve"> sentimentCategory(K29)</f>
        <v>Neutral</v>
      </c>
    </row>
    <row r="30" spans="1:12" ht="15.95">
      <c r="A30" t="s">
        <v>156</v>
      </c>
      <c r="B30" t="s">
        <v>4590</v>
      </c>
      <c r="C30" t="str" cm="1">
        <f t="array" ref="C30" xml:space="preserve"> CleanText(B30)</f>
        <v>just started it now its great so far never saw the movie absolutely loved atla as a child watching it on nickelodeon now im 7 so far think the casting is great everyone from the different nations are all from the races that they represented which ithink is fantastic my childhood animecartoon crush was katara mean she doesnt really look the same dont get me wrong the actress is cute but she doesnt look the same and yes im comparing drawings to real life people so dont at me oh and iroh was always my favorite</v>
      </c>
      <c r="D30">
        <v>1</v>
      </c>
      <c r="E30">
        <v>0</v>
      </c>
      <c r="F30" t="s">
        <v>0</v>
      </c>
      <c r="G30" t="str" cm="1">
        <f t="array" ref="G30" xml:space="preserve"> FindCountryName(F30)</f>
        <v>None</v>
      </c>
      <c r="H30" s="1">
        <v>45347.284548611111</v>
      </c>
      <c r="I30" s="1">
        <v>45348.644826388889</v>
      </c>
      <c r="J30" s="1">
        <v>40856.638703703706</v>
      </c>
      <c r="K30" cm="1">
        <f t="array" ref="K30" xml:space="preserve"> sentimentCalc(C30)</f>
        <v>15</v>
      </c>
      <c r="L30" t="str" cm="1">
        <f t="array" ref="L30" xml:space="preserve"> sentimentCategory(K30)</f>
        <v>Positive</v>
      </c>
    </row>
    <row r="31" spans="1:12" ht="15.95">
      <c r="A31" t="s">
        <v>26</v>
      </c>
      <c r="B31" t="s">
        <v>4589</v>
      </c>
      <c r="C31" t="str" cm="1">
        <f t="array" ref="C31" xml:space="preserve"> CleanText(B31)</f>
        <v>where can i watch i cant find it can you help me</v>
      </c>
      <c r="D31">
        <v>0</v>
      </c>
      <c r="E31">
        <v>1</v>
      </c>
      <c r="F31" t="s">
        <v>0</v>
      </c>
      <c r="G31" t="str" cm="1">
        <f t="array" ref="G31" xml:space="preserve"> FindCountryName(F31)</f>
        <v>None</v>
      </c>
      <c r="H31" s="1">
        <v>45347.281585648147</v>
      </c>
      <c r="I31" s="1">
        <v>45347.281585648147</v>
      </c>
      <c r="J31" s="1">
        <v>44610.59003472222</v>
      </c>
      <c r="K31" cm="1">
        <f t="array" ref="K31" xml:space="preserve"> sentimentCalc(C31)</f>
        <v>2</v>
      </c>
      <c r="L31" t="str" cm="1">
        <f t="array" ref="L31" xml:space="preserve"> sentimentCategory(K31)</f>
        <v>Positive</v>
      </c>
    </row>
    <row r="32" spans="1:12" ht="15.95">
      <c r="A32" t="s">
        <v>483</v>
      </c>
      <c r="B32" t="s">
        <v>4588</v>
      </c>
      <c r="C32" t="str" cm="1">
        <f t="array" ref="C32" xml:space="preserve"> CleanText(B32)</f>
        <v>ok gzel film tavsiye ederim</v>
      </c>
      <c r="D32">
        <v>1</v>
      </c>
      <c r="E32">
        <v>0</v>
      </c>
      <c r="F32" t="s">
        <v>0</v>
      </c>
      <c r="G32" t="str" cm="1">
        <f t="array" ref="G32" xml:space="preserve"> FindCountryName(F32)</f>
        <v>None</v>
      </c>
      <c r="H32" s="1">
        <v>45347.210798611108</v>
      </c>
      <c r="I32" s="1">
        <v>45347.210798611108</v>
      </c>
      <c r="J32" s="1">
        <v>44663.657650462963</v>
      </c>
      <c r="K32" cm="1">
        <f t="array" ref="K32" xml:space="preserve"> sentimentCalc(C32)</f>
        <v>0</v>
      </c>
      <c r="L32" t="str" cm="1">
        <f t="array" ref="L32" xml:space="preserve"> sentimentCategory(K32)</f>
        <v>Neutral</v>
      </c>
    </row>
    <row r="33" spans="1:12" ht="15.95">
      <c r="A33" t="s">
        <v>349</v>
      </c>
      <c r="B33" t="s">
        <v>4587</v>
      </c>
      <c r="C33" t="str" cm="1">
        <f t="array" ref="C33" xml:space="preserve"> CleanText(B33)</f>
        <v>do not let shamalala dingdong ruin this stay true to the original</v>
      </c>
      <c r="D33">
        <v>1</v>
      </c>
      <c r="E33">
        <v>0</v>
      </c>
      <c r="F33" t="s">
        <v>0</v>
      </c>
      <c r="G33" t="str" cm="1">
        <f t="array" ref="G33" xml:space="preserve"> FindCountryName(F33)</f>
        <v>None</v>
      </c>
      <c r="H33" s="1">
        <v>45347.066157407404</v>
      </c>
      <c r="I33" s="1">
        <v>45347.066157407404</v>
      </c>
      <c r="J33" s="1">
        <v>43202.424699074072</v>
      </c>
      <c r="K33" cm="1">
        <f t="array" ref="K33" xml:space="preserve"> sentimentCalc(C33)</f>
        <v>0</v>
      </c>
      <c r="L33" t="str" cm="1">
        <f t="array" ref="L33" xml:space="preserve"> sentimentCategory(K33)</f>
        <v>Neutral</v>
      </c>
    </row>
    <row r="34" spans="1:12" ht="15.95">
      <c r="A34" t="s">
        <v>971</v>
      </c>
      <c r="B34" t="s">
        <v>4586</v>
      </c>
      <c r="C34" t="str" cm="1">
        <f t="array" ref="C34" xml:space="preserve"> CleanText(B34)</f>
        <v>the streak continues</v>
      </c>
      <c r="D34">
        <v>0</v>
      </c>
      <c r="E34">
        <v>0</v>
      </c>
      <c r="F34" t="s">
        <v>0</v>
      </c>
      <c r="G34" t="str" cm="1">
        <f t="array" ref="G34" xml:space="preserve"> FindCountryName(F34)</f>
        <v>None</v>
      </c>
      <c r="H34" s="1">
        <v>45346.692569444444</v>
      </c>
      <c r="I34" s="1">
        <v>45346.692569444444</v>
      </c>
      <c r="J34" s="1">
        <v>41052.84716435185</v>
      </c>
      <c r="K34" cm="1">
        <f t="array" ref="K34" xml:space="preserve"> sentimentCalc(C34)</f>
        <v>0</v>
      </c>
      <c r="L34" t="str" cm="1">
        <f t="array" ref="L34" xml:space="preserve"> sentimentCategory(K34)</f>
        <v>Neutral</v>
      </c>
    </row>
    <row r="35" spans="1:12" ht="15.95">
      <c r="A35" t="s">
        <v>3673</v>
      </c>
      <c r="B35" t="s">
        <v>4585</v>
      </c>
      <c r="C35" t="str" cm="1">
        <f t="array" ref="C35" xml:space="preserve"> CleanText(B35)</f>
        <v>so basically just heard the inducted gay beliefs in the movie whether subtle or not im tired of hollywood trying impose there homophobic beliefs on us man i got kids bro i want to enjoy the shit i enjoyed i but damn cant even watch live action without them asking questions like why is zuko kissing ang</v>
      </c>
      <c r="D35">
        <v>0</v>
      </c>
      <c r="E35">
        <v>0</v>
      </c>
      <c r="F35" t="s">
        <v>0</v>
      </c>
      <c r="G35" t="str" cm="1">
        <f t="array" ref="G35" xml:space="preserve"> FindCountryName(F35)</f>
        <v>None</v>
      </c>
      <c r="H35" s="1">
        <v>45346.578981481478</v>
      </c>
      <c r="I35" s="1">
        <v>45346.578981481478</v>
      </c>
      <c r="J35" s="1">
        <v>42069.879687499997</v>
      </c>
      <c r="K35" cm="1">
        <f t="array" ref="K35" xml:space="preserve"> sentimentCalc(C35)</f>
        <v>-2</v>
      </c>
      <c r="L35" t="str" cm="1">
        <f t="array" ref="L35" xml:space="preserve"> sentimentCategory(K35)</f>
        <v>Negative</v>
      </c>
    </row>
    <row r="36" spans="1:12" ht="15.95">
      <c r="A36" t="s">
        <v>547</v>
      </c>
      <c r="B36" t="s">
        <v>4584</v>
      </c>
      <c r="C36" t="str" cm="1">
        <f t="array" ref="C36" xml:space="preserve"> CleanText(B36)</f>
        <v>avatarn tm serileri arasnda en iyi uyarlanan  filmi olduunu syleyebilirim</v>
      </c>
      <c r="D36">
        <v>0</v>
      </c>
      <c r="E36">
        <v>0</v>
      </c>
      <c r="F36" t="s">
        <v>0</v>
      </c>
      <c r="G36" t="str" cm="1">
        <f t="array" ref="G36" xml:space="preserve"> FindCountryName(F36)</f>
        <v>None</v>
      </c>
      <c r="H36" s="1">
        <v>45346.564444444448</v>
      </c>
      <c r="I36" s="1">
        <v>45346.564444444448</v>
      </c>
      <c r="J36" s="1">
        <v>45344.260694444441</v>
      </c>
      <c r="K36" cm="1">
        <f t="array" ref="K36" xml:space="preserve"> sentimentCalc(C36)</f>
        <v>0</v>
      </c>
      <c r="L36" t="str" cm="1">
        <f t="array" ref="L36" xml:space="preserve"> sentimentCategory(K36)</f>
        <v>Neutral</v>
      </c>
    </row>
    <row r="37" spans="1:12" ht="15.95">
      <c r="A37" t="s">
        <v>367</v>
      </c>
      <c r="B37" t="s">
        <v>4583</v>
      </c>
      <c r="C37" t="str" cm="1">
        <f t="array" ref="C37" xml:space="preserve"> CleanText(B37)</f>
        <v>bitiful efsane filin kesin izle ha garsa</v>
      </c>
      <c r="D37">
        <v>0</v>
      </c>
      <c r="E37">
        <v>0</v>
      </c>
      <c r="F37" t="s">
        <v>0</v>
      </c>
      <c r="G37" t="str" cm="1">
        <f t="array" ref="G37" xml:space="preserve"> FindCountryName(F37)</f>
        <v>None</v>
      </c>
      <c r="H37" s="1">
        <v>45346.560833333337</v>
      </c>
      <c r="I37" s="1">
        <v>45346.560833333337</v>
      </c>
      <c r="J37" s="1">
        <v>43760.935497685183</v>
      </c>
      <c r="K37" cm="1">
        <f t="array" ref="K37" xml:space="preserve"> sentimentCalc(C37)</f>
        <v>0</v>
      </c>
      <c r="L37" t="str" cm="1">
        <f t="array" ref="L37" xml:space="preserve"> sentimentCategory(K37)</f>
        <v>Neutral</v>
      </c>
    </row>
    <row r="38" spans="1:12" ht="15.95">
      <c r="A38" t="s">
        <v>1471</v>
      </c>
      <c r="B38" t="s">
        <v>4166</v>
      </c>
      <c r="C38" t="str" cm="1">
        <f t="array" ref="C38" xml:space="preserve"> CleanText(B38)</f>
        <v>harika film</v>
      </c>
      <c r="D38">
        <v>0</v>
      </c>
      <c r="E38">
        <v>0</v>
      </c>
      <c r="F38" t="s">
        <v>0</v>
      </c>
      <c r="G38" t="str" cm="1">
        <f t="array" ref="G38" xml:space="preserve"> FindCountryName(F38)</f>
        <v>None</v>
      </c>
      <c r="H38" s="1">
        <v>45346.54042824074</v>
      </c>
      <c r="I38" s="1">
        <v>45346.54042824074</v>
      </c>
      <c r="J38" s="1">
        <v>41155.078379629631</v>
      </c>
      <c r="K38" cm="1">
        <f t="array" ref="K38" xml:space="preserve"> sentimentCalc(C38)</f>
        <v>0</v>
      </c>
      <c r="L38" t="str" cm="1">
        <f t="array" ref="L38" xml:space="preserve"> sentimentCategory(K38)</f>
        <v>Neutral</v>
      </c>
    </row>
    <row r="39" spans="1:12" ht="15.95">
      <c r="A39" t="s">
        <v>3475</v>
      </c>
      <c r="B39" t="s">
        <v>4582</v>
      </c>
      <c r="C39" t="str" cm="1">
        <f t="array" ref="C39" xml:space="preserve"> CleanText(B39)</f>
        <v>looking good but why does azula and zuko looks so different from the original they had long face and sharp look while here zuko looks like an older ang</v>
      </c>
      <c r="D39">
        <v>0</v>
      </c>
      <c r="E39">
        <v>0</v>
      </c>
      <c r="F39" t="s">
        <v>0</v>
      </c>
      <c r="G39" t="str" cm="1">
        <f t="array" ref="G39" xml:space="preserve"> FindCountryName(F39)</f>
        <v>None</v>
      </c>
      <c r="H39" s="1">
        <v>45346.531597222223</v>
      </c>
      <c r="I39" s="1">
        <v>45346.531597222223</v>
      </c>
      <c r="J39" s="1">
        <v>40933.289629629631</v>
      </c>
      <c r="K39" cm="1">
        <f t="array" ref="K39" xml:space="preserve"> sentimentCalc(C39)</f>
        <v>5</v>
      </c>
      <c r="L39" t="str" cm="1">
        <f t="array" ref="L39" xml:space="preserve"> sentimentCategory(K39)</f>
        <v>Positive</v>
      </c>
    </row>
    <row r="40" spans="1:12">
      <c r="A40" t="s">
        <v>23</v>
      </c>
      <c r="B40" t="s">
        <v>4581</v>
      </c>
      <c r="C40" t="str" cm="1">
        <f t="array" ref="C40" xml:space="preserve"> CleanText(B40)</f>
        <v>ok iyi gzel ho muhteem</v>
      </c>
      <c r="D40">
        <v>0</v>
      </c>
      <c r="E40">
        <v>0</v>
      </c>
      <c r="F40" t="s">
        <v>0</v>
      </c>
      <c r="G40" t="str" cm="1">
        <f t="array" ref="G40" xml:space="preserve"> FindCountryName(F40)</f>
        <v>None</v>
      </c>
      <c r="H40" s="1">
        <v>45346.507361111115</v>
      </c>
      <c r="I40" s="1">
        <v>45346.507361111115</v>
      </c>
      <c r="J40" s="1">
        <v>45346.251909722225</v>
      </c>
      <c r="K40" cm="1">
        <f t="array" ref="K40" xml:space="preserve"> sentimentCalc(C40)</f>
        <v>0</v>
      </c>
      <c r="L40" t="str" cm="1">
        <f t="array" ref="L40" xml:space="preserve"> sentimentCategory(K40)</f>
        <v>Neutral</v>
      </c>
    </row>
    <row r="41" spans="1:12">
      <c r="A41" t="s">
        <v>1327</v>
      </c>
      <c r="B41" t="s">
        <v>4580</v>
      </c>
      <c r="C41" t="str" cm="1">
        <f t="array" ref="C41" xml:space="preserve"> CleanText(B41)</f>
        <v>gzel bir film</v>
      </c>
      <c r="D41">
        <v>0</v>
      </c>
      <c r="E41">
        <v>0</v>
      </c>
      <c r="F41" t="s">
        <v>0</v>
      </c>
      <c r="G41" t="str" cm="1">
        <f t="array" ref="G41" xml:space="preserve"> FindCountryName(F41)</f>
        <v>None</v>
      </c>
      <c r="H41" s="1">
        <v>45346.502581018518</v>
      </c>
      <c r="I41" s="1">
        <v>45346.502581018518</v>
      </c>
      <c r="J41" s="1">
        <v>44602.107361111113</v>
      </c>
      <c r="K41" cm="1">
        <f t="array" ref="K41" xml:space="preserve"> sentimentCalc(C41)</f>
        <v>0</v>
      </c>
      <c r="L41" t="str" cm="1">
        <f t="array" ref="L41" xml:space="preserve"> sentimentCategory(K41)</f>
        <v>Neutral</v>
      </c>
    </row>
    <row r="42" spans="1:12">
      <c r="A42" t="s">
        <v>2917</v>
      </c>
      <c r="B42" t="s">
        <v>4579</v>
      </c>
      <c r="C42" t="str" cm="1">
        <f t="array" ref="C42" xml:space="preserve"> CleanText(B42)</f>
        <v>cok guzel cocuklugumun filmi ben keyifle izledim</v>
      </c>
      <c r="D42">
        <v>0</v>
      </c>
      <c r="E42">
        <v>0</v>
      </c>
      <c r="F42" t="s">
        <v>0</v>
      </c>
      <c r="G42" t="str" cm="1">
        <f t="array" ref="G42" xml:space="preserve"> FindCountryName(F42)</f>
        <v>None</v>
      </c>
      <c r="H42" s="1">
        <v>45346.502233796295</v>
      </c>
      <c r="I42" s="1">
        <v>45346.502233796295</v>
      </c>
      <c r="J42" s="1">
        <v>45061.49322916667</v>
      </c>
      <c r="K42" cm="1">
        <f t="array" ref="K42" xml:space="preserve"> sentimentCalc(C42)</f>
        <v>0</v>
      </c>
      <c r="L42" t="str" cm="1">
        <f t="array" ref="L42" xml:space="preserve"> sentimentCategory(K42)</f>
        <v>Neutral</v>
      </c>
    </row>
    <row r="43" spans="1:12">
      <c r="A43" t="s">
        <v>1565</v>
      </c>
      <c r="B43" t="s">
        <v>3613</v>
      </c>
      <c r="C43" t="str" cm="1">
        <f t="array" ref="C43" xml:space="preserve"> CleanText(B43)</f>
        <v>ok iyi</v>
      </c>
      <c r="D43">
        <v>0</v>
      </c>
      <c r="E43">
        <v>0</v>
      </c>
      <c r="F43" t="s">
        <v>0</v>
      </c>
      <c r="G43" t="str" cm="1">
        <f t="array" ref="G43" xml:space="preserve"> FindCountryName(F43)</f>
        <v>None</v>
      </c>
      <c r="H43" s="1">
        <v>45346.498680555553</v>
      </c>
      <c r="I43" s="1">
        <v>45346.498680555553</v>
      </c>
      <c r="J43" s="1">
        <v>43080.570763888885</v>
      </c>
      <c r="K43" cm="1">
        <f t="array" ref="K43" xml:space="preserve"> sentimentCalc(C43)</f>
        <v>0</v>
      </c>
      <c r="L43" t="str" cm="1">
        <f t="array" ref="L43" xml:space="preserve"> sentimentCategory(K43)</f>
        <v>Neutral</v>
      </c>
    </row>
    <row r="44" spans="1:12">
      <c r="A44" t="s">
        <v>2463</v>
      </c>
      <c r="B44" t="s">
        <v>4578</v>
      </c>
      <c r="C44" t="str" cm="1">
        <f t="array" ref="C44" xml:space="preserve"> CleanText(B44)</f>
        <v>neftlixde olmas ok iyi ve keyifli</v>
      </c>
      <c r="D44">
        <v>1</v>
      </c>
      <c r="E44">
        <v>0</v>
      </c>
      <c r="F44" t="s">
        <v>0</v>
      </c>
      <c r="G44" t="str" cm="1">
        <f t="array" ref="G44" xml:space="preserve"> FindCountryName(F44)</f>
        <v>None</v>
      </c>
      <c r="H44" s="1">
        <v>45346.478495370371</v>
      </c>
      <c r="I44" s="1">
        <v>45346.478495370371</v>
      </c>
      <c r="J44" s="1">
        <v>44909.513414351852</v>
      </c>
      <c r="K44" cm="1">
        <f t="array" ref="K44" xml:space="preserve"> sentimentCalc(C44)</f>
        <v>0</v>
      </c>
      <c r="L44" t="str" cm="1">
        <f t="array" ref="L44" xml:space="preserve"> sentimentCategory(K44)</f>
        <v>Neutral</v>
      </c>
    </row>
    <row r="45" spans="1:12">
      <c r="A45" t="s">
        <v>710</v>
      </c>
      <c r="B45" t="s">
        <v>4577</v>
      </c>
      <c r="C45" t="str" cm="1">
        <f t="array" ref="C45" xml:space="preserve"> CleanText(B45)</f>
        <v>super series</v>
      </c>
      <c r="D45">
        <v>1</v>
      </c>
      <c r="E45">
        <v>0</v>
      </c>
      <c r="F45" t="s">
        <v>0</v>
      </c>
      <c r="G45" t="str" cm="1">
        <f t="array" ref="G45" xml:space="preserve"> FindCountryName(F45)</f>
        <v>None</v>
      </c>
      <c r="H45" s="1">
        <v>45346.476678240739</v>
      </c>
      <c r="I45" s="1">
        <v>45346.476678240739</v>
      </c>
      <c r="J45" s="1">
        <v>44421.159409722219</v>
      </c>
      <c r="K45" cm="1">
        <f t="array" ref="K45" xml:space="preserve"> sentimentCalc(C45)</f>
        <v>3</v>
      </c>
      <c r="L45" t="str" cm="1">
        <f t="array" ref="L45" xml:space="preserve"> sentimentCategory(K45)</f>
        <v>Positive</v>
      </c>
    </row>
    <row r="46" spans="1:12">
      <c r="A46" t="s">
        <v>735</v>
      </c>
      <c r="B46" t="s">
        <v>3618</v>
      </c>
      <c r="C46" t="str" cm="1">
        <f t="array" ref="C46" xml:space="preserve"> CleanText(B46)</f>
        <v>ok gzel olmu</v>
      </c>
      <c r="D46">
        <v>0</v>
      </c>
      <c r="E46">
        <v>0</v>
      </c>
      <c r="F46" t="s">
        <v>0</v>
      </c>
      <c r="G46" t="str" cm="1">
        <f t="array" ref="G46" xml:space="preserve"> FindCountryName(F46)</f>
        <v>None</v>
      </c>
      <c r="H46" s="1">
        <v>45346.472731481481</v>
      </c>
      <c r="I46" s="1">
        <v>45346.472731481481</v>
      </c>
      <c r="J46" s="1">
        <v>44290.477905092594</v>
      </c>
      <c r="K46" cm="1">
        <f t="array" ref="K46" xml:space="preserve"> sentimentCalc(C46)</f>
        <v>0</v>
      </c>
      <c r="L46" t="str" cm="1">
        <f t="array" ref="L46" xml:space="preserve"> sentimentCategory(K46)</f>
        <v>Neutral</v>
      </c>
    </row>
    <row r="47" spans="1:12">
      <c r="A47" t="s">
        <v>824</v>
      </c>
      <c r="B47" t="s">
        <v>4576</v>
      </c>
      <c r="C47" t="str" cm="1">
        <f t="array" ref="C47" xml:space="preserve"> CleanText(B47)</f>
        <v>en sevdiim filim yeni serinin kmasna ok sevindim</v>
      </c>
      <c r="D47">
        <v>0</v>
      </c>
      <c r="E47">
        <v>0</v>
      </c>
      <c r="F47" t="s">
        <v>0</v>
      </c>
      <c r="G47" t="str" cm="1">
        <f t="array" ref="G47" xml:space="preserve"> FindCountryName(F47)</f>
        <v>None</v>
      </c>
      <c r="H47" s="1">
        <v>45346.46974537037</v>
      </c>
      <c r="I47" s="1">
        <v>45346.46974537037</v>
      </c>
      <c r="J47" s="1">
        <v>43034.553414351853</v>
      </c>
      <c r="K47" cm="1">
        <f t="array" ref="K47" xml:space="preserve"> sentimentCalc(C47)</f>
        <v>0</v>
      </c>
      <c r="L47" t="str" cm="1">
        <f t="array" ref="L47" xml:space="preserve"> sentimentCategory(K47)</f>
        <v>Neutral</v>
      </c>
    </row>
    <row r="48" spans="1:12">
      <c r="A48" t="s">
        <v>1755</v>
      </c>
      <c r="B48" t="s">
        <v>4575</v>
      </c>
      <c r="C48" t="str" cm="1">
        <f t="array" ref="C48" xml:space="preserve"> CleanText(B48)</f>
        <v>this movie may be the best movie of the avatar series awesome movie</v>
      </c>
      <c r="D48">
        <v>1</v>
      </c>
      <c r="E48">
        <v>0</v>
      </c>
      <c r="F48" t="s">
        <v>0</v>
      </c>
      <c r="G48" t="str" cm="1">
        <f t="array" ref="G48" xml:space="preserve"> FindCountryName(F48)</f>
        <v>None</v>
      </c>
      <c r="H48" s="1">
        <v>45346.468946759262</v>
      </c>
      <c r="I48" s="1">
        <v>45346.468946759262</v>
      </c>
      <c r="J48" s="1">
        <v>43946.739884259259</v>
      </c>
      <c r="K48" cm="1">
        <f t="array" ref="K48" xml:space="preserve"> sentimentCalc(C48)</f>
        <v>7</v>
      </c>
      <c r="L48" t="str" cm="1">
        <f t="array" ref="L48" xml:space="preserve"> sentimentCategory(K48)</f>
        <v>Positive</v>
      </c>
    </row>
    <row r="49" spans="1:12">
      <c r="A49" t="s">
        <v>367</v>
      </c>
      <c r="B49" t="s">
        <v>4574</v>
      </c>
      <c r="C49" t="str" cm="1">
        <f t="array" ref="C49" xml:space="preserve"> CleanText(B49)</f>
        <v>esrarengiz bir balangç olmu</v>
      </c>
      <c r="D49">
        <v>0</v>
      </c>
      <c r="E49">
        <v>0</v>
      </c>
      <c r="F49" t="s">
        <v>0</v>
      </c>
      <c r="G49" t="str" cm="1">
        <f t="array" ref="G49" xml:space="preserve"> FindCountryName(F49)</f>
        <v>None</v>
      </c>
      <c r="H49" s="1">
        <v>45346.46503472222</v>
      </c>
      <c r="I49" s="1">
        <v>45346.46503472222</v>
      </c>
      <c r="J49" s="1">
        <v>44311.311736111114</v>
      </c>
      <c r="K49" cm="1">
        <f t="array" ref="K49" xml:space="preserve"> sentimentCalc(C49)</f>
        <v>0</v>
      </c>
      <c r="L49" t="str" cm="1">
        <f t="array" ref="L49" xml:space="preserve"> sentimentCategory(K49)</f>
        <v>Neutral</v>
      </c>
    </row>
    <row r="50" spans="1:12">
      <c r="A50" t="s">
        <v>14</v>
      </c>
      <c r="B50" t="s">
        <v>4573</v>
      </c>
      <c r="C50" t="str" cm="1">
        <f t="array" ref="C50" xml:space="preserve"> CleanText(B50)</f>
        <v>orjinal anime izgi filmini tm blmlerini izlemi biri olarak hi tatmin olmadm filmdenok yava aksiyonu olmayan bir filmkonular ok basit ilenmi ok daha baarl olmas lazmd umarm toprak ve ate blmleri daha gzel olur</v>
      </c>
      <c r="D50">
        <v>0</v>
      </c>
      <c r="E50">
        <v>0</v>
      </c>
      <c r="F50" t="s">
        <v>0</v>
      </c>
      <c r="G50" t="str" cm="1">
        <f t="array" ref="G50" xml:space="preserve"> FindCountryName(F50)</f>
        <v>None</v>
      </c>
      <c r="H50" s="1">
        <v>45346.464490740742</v>
      </c>
      <c r="I50" s="1">
        <v>45346.464490740742</v>
      </c>
      <c r="J50" s="1">
        <v>41016.399768518517</v>
      </c>
      <c r="K50" cm="1">
        <f t="array" ref="K50" xml:space="preserve"> sentimentCalc(C50)</f>
        <v>0</v>
      </c>
      <c r="L50" t="str" cm="1">
        <f t="array" ref="L50" xml:space="preserve"> sentimentCategory(K50)</f>
        <v>Neutral</v>
      </c>
    </row>
    <row r="51" spans="1:12">
      <c r="A51" t="s">
        <v>653</v>
      </c>
      <c r="B51" t="s">
        <v>4572</v>
      </c>
      <c r="C51" t="str" cm="1">
        <f t="array" ref="C51" xml:space="preserve"> CleanText(B51)</f>
        <v>n</v>
      </c>
      <c r="D51">
        <v>0</v>
      </c>
      <c r="E51">
        <v>0</v>
      </c>
      <c r="F51" t="s">
        <v>0</v>
      </c>
      <c r="G51" t="str" cm="1">
        <f t="array" ref="G51" xml:space="preserve"> FindCountryName(F51)</f>
        <v>None</v>
      </c>
      <c r="H51" s="1">
        <v>45346.464224537034</v>
      </c>
      <c r="I51" s="1">
        <v>45346.464224537034</v>
      </c>
      <c r="J51" s="1">
        <v>44343.776875000003</v>
      </c>
      <c r="K51" cm="1">
        <f t="array" ref="K51" xml:space="preserve"> sentimentCalc(C51)</f>
        <v>0</v>
      </c>
      <c r="L51" t="str" cm="1">
        <f t="array" ref="L51" xml:space="preserve"> sentimentCategory(K51)</f>
        <v>Neutral</v>
      </c>
    </row>
    <row r="52" spans="1:12">
      <c r="A52" t="s">
        <v>269</v>
      </c>
      <c r="B52" t="s">
        <v>4571</v>
      </c>
      <c r="C52" t="str" cm="1">
        <f t="array" ref="C52" xml:space="preserve"> CleanText(B52)</f>
        <v>its aang finally not ong _xDC4D__xDFFB_</v>
      </c>
      <c r="D52">
        <v>1</v>
      </c>
      <c r="E52">
        <v>0</v>
      </c>
      <c r="F52" t="s">
        <v>0</v>
      </c>
      <c r="G52" t="str" cm="1">
        <f t="array" ref="G52" xml:space="preserve"> FindCountryName(F52)</f>
        <v>None</v>
      </c>
      <c r="H52" s="1">
        <v>45346.462569444448</v>
      </c>
      <c r="I52" s="1">
        <v>45346.462569444448</v>
      </c>
      <c r="J52" s="1">
        <v>43818.934641203705</v>
      </c>
      <c r="K52" cm="1">
        <f t="array" ref="K52" xml:space="preserve"> sentimentCalc(C52)</f>
        <v>0</v>
      </c>
      <c r="L52" t="str" cm="1">
        <f t="array" ref="L52" xml:space="preserve"> sentimentCategory(K52)</f>
        <v>Neutral</v>
      </c>
    </row>
    <row r="53" spans="1:12">
      <c r="A53" t="s">
        <v>223</v>
      </c>
      <c r="B53" t="s">
        <v>4570</v>
      </c>
      <c r="C53" t="str" cm="1">
        <f t="array" ref="C53" xml:space="preserve"> CleanText(B53)</f>
        <v>bkme ksm var m</v>
      </c>
      <c r="D53">
        <v>0</v>
      </c>
      <c r="E53">
        <v>0</v>
      </c>
      <c r="F53" t="s">
        <v>0</v>
      </c>
      <c r="G53" t="str" cm="1">
        <f t="array" ref="G53" xml:space="preserve"> FindCountryName(F53)</f>
        <v>None</v>
      </c>
      <c r="H53" s="1">
        <v>45346.461238425924</v>
      </c>
      <c r="I53" s="1">
        <v>45346.461238425924</v>
      </c>
      <c r="J53" s="1">
        <v>44882.832037037035</v>
      </c>
      <c r="K53" cm="1">
        <f t="array" ref="K53" xml:space="preserve"> sentimentCalc(C53)</f>
        <v>0</v>
      </c>
      <c r="L53" t="str" cm="1">
        <f t="array" ref="L53" xml:space="preserve"> sentimentCategory(K53)</f>
        <v>Neutral</v>
      </c>
    </row>
    <row r="54" spans="1:12">
      <c r="A54" t="s">
        <v>1755</v>
      </c>
      <c r="B54" t="s">
        <v>4067</v>
      </c>
      <c r="C54" t="str" cm="1">
        <f t="array" ref="C54" xml:space="preserve"> CleanText(B54)</f>
        <v>ok gzel</v>
      </c>
      <c r="D54">
        <v>0</v>
      </c>
      <c r="E54">
        <v>0</v>
      </c>
      <c r="F54" t="s">
        <v>0</v>
      </c>
      <c r="G54" t="str" cm="1">
        <f t="array" ref="G54" xml:space="preserve"> FindCountryName(F54)</f>
        <v>None</v>
      </c>
      <c r="H54" s="1">
        <v>45346.461111111108</v>
      </c>
      <c r="I54" s="1">
        <v>45346.461111111108</v>
      </c>
      <c r="J54" s="1">
        <v>42548.467094907406</v>
      </c>
      <c r="K54" cm="1">
        <f t="array" ref="K54" xml:space="preserve"> sentimentCalc(C54)</f>
        <v>0</v>
      </c>
      <c r="L54" t="str" cm="1">
        <f t="array" ref="L54" xml:space="preserve"> sentimentCategory(K54)</f>
        <v>Neutral</v>
      </c>
    </row>
    <row r="55" spans="1:12">
      <c r="A55" t="s">
        <v>1565</v>
      </c>
      <c r="B55" t="s">
        <v>4569</v>
      </c>
      <c r="C55" t="str" cm="1">
        <f t="array" ref="C55" xml:space="preserve"> CleanText(B55)</f>
        <v>ok iyi bir filim</v>
      </c>
      <c r="D55">
        <v>0</v>
      </c>
      <c r="E55">
        <v>0</v>
      </c>
      <c r="F55" t="s">
        <v>0</v>
      </c>
      <c r="G55" t="str" cm="1">
        <f t="array" ref="G55" xml:space="preserve"> FindCountryName(F55)</f>
        <v>None</v>
      </c>
      <c r="H55" s="1">
        <v>45346.461099537039</v>
      </c>
      <c r="I55" s="1">
        <v>45346.461099537039</v>
      </c>
      <c r="J55" s="1">
        <v>43080.570763888885</v>
      </c>
      <c r="K55" cm="1">
        <f t="array" ref="K55" xml:space="preserve"> sentimentCalc(C55)</f>
        <v>0</v>
      </c>
      <c r="L55" t="str" cm="1">
        <f t="array" ref="L55" xml:space="preserve"> sentimentCategory(K55)</f>
        <v>Neutral</v>
      </c>
    </row>
    <row r="56" spans="1:12">
      <c r="A56" t="s">
        <v>1059</v>
      </c>
      <c r="B56" t="s">
        <v>4568</v>
      </c>
      <c r="C56" t="str" cm="1">
        <f t="array" ref="C56" xml:space="preserve"> CleanText(B56)</f>
        <v>zlediim bilim kurgu filmleri iinde en baarl yapm bu</v>
      </c>
      <c r="D56">
        <v>0</v>
      </c>
      <c r="E56">
        <v>0</v>
      </c>
      <c r="F56" t="s">
        <v>0</v>
      </c>
      <c r="G56" t="str" cm="1">
        <f t="array" ref="G56" xml:space="preserve"> FindCountryName(F56)</f>
        <v>None</v>
      </c>
      <c r="H56" s="1">
        <v>45346.460266203707</v>
      </c>
      <c r="I56" s="1">
        <v>45346.460266203707</v>
      </c>
      <c r="J56" s="1">
        <v>41713.845405092594</v>
      </c>
      <c r="K56" cm="1">
        <f t="array" ref="K56" xml:space="preserve"> sentimentCalc(C56)</f>
        <v>0</v>
      </c>
      <c r="L56" t="str" cm="1">
        <f t="array" ref="L56" xml:space="preserve"> sentimentCategory(K56)</f>
        <v>Neutral</v>
      </c>
    </row>
    <row r="57" spans="1:12">
      <c r="A57" t="s">
        <v>779</v>
      </c>
      <c r="B57" t="s">
        <v>4567</v>
      </c>
      <c r="C57" t="str" cm="1">
        <f t="array" ref="C57" xml:space="preserve"> CleanText(B57)</f>
        <v>gzel bir film olmu beendim mutlaka izleyin ve paylan</v>
      </c>
      <c r="D57">
        <v>0</v>
      </c>
      <c r="E57">
        <v>0</v>
      </c>
      <c r="F57" t="s">
        <v>0</v>
      </c>
      <c r="G57" t="str" cm="1">
        <f t="array" ref="G57" xml:space="preserve"> FindCountryName(F57)</f>
        <v>None</v>
      </c>
      <c r="H57" s="1">
        <v>45346.459803240738</v>
      </c>
      <c r="I57" s="1">
        <v>45346.459803240738</v>
      </c>
      <c r="J57" s="1">
        <v>42790.361631944441</v>
      </c>
      <c r="K57" cm="1">
        <f t="array" ref="K57" xml:space="preserve"> sentimentCalc(C57)</f>
        <v>0</v>
      </c>
      <c r="L57" t="str" cm="1">
        <f t="array" ref="L57" xml:space="preserve"> sentimentCategory(K57)</f>
        <v>Neutral</v>
      </c>
    </row>
    <row r="58" spans="1:12">
      <c r="A58" t="s">
        <v>47</v>
      </c>
      <c r="B58" t="s">
        <v>4566</v>
      </c>
      <c r="C58" t="str" cm="1">
        <f t="array" ref="C58" xml:space="preserve"> CleanText(B58)</f>
        <v>flim gzel burdaki flimleri gerekten ok etkileyici buluyorum super</v>
      </c>
      <c r="D58">
        <v>0</v>
      </c>
      <c r="E58">
        <v>0</v>
      </c>
      <c r="F58" t="s">
        <v>0</v>
      </c>
      <c r="G58" t="str" cm="1">
        <f t="array" ref="G58" xml:space="preserve"> FindCountryName(F58)</f>
        <v>None</v>
      </c>
      <c r="H58" s="1">
        <v>45346.459039351852</v>
      </c>
      <c r="I58" s="1">
        <v>45346.459039351852</v>
      </c>
      <c r="J58" s="1">
        <v>44727.566805555558</v>
      </c>
      <c r="K58" cm="1">
        <f t="array" ref="K58" xml:space="preserve"> sentimentCalc(C58)</f>
        <v>3</v>
      </c>
      <c r="L58" t="str" cm="1">
        <f t="array" ref="L58" xml:space="preserve"> sentimentCategory(K58)</f>
        <v>Positive</v>
      </c>
    </row>
    <row r="59" spans="1:12">
      <c r="A59" t="s">
        <v>4565</v>
      </c>
      <c r="B59" t="s">
        <v>4564</v>
      </c>
      <c r="C59" t="str" cm="1">
        <f t="array" ref="C59" xml:space="preserve"> CleanText(B59)</f>
        <v>bayildimmmm❤️</v>
      </c>
      <c r="D59">
        <v>0</v>
      </c>
      <c r="E59">
        <v>0</v>
      </c>
      <c r="F59" t="s">
        <v>0</v>
      </c>
      <c r="G59" t="str" cm="1">
        <f t="array" ref="G59" xml:space="preserve"> FindCountryName(F59)</f>
        <v>None</v>
      </c>
      <c r="H59" s="1">
        <v>45346.458564814813</v>
      </c>
      <c r="I59" s="1">
        <v>45346.458564814813</v>
      </c>
      <c r="J59" s="1">
        <v>42677.380995370368</v>
      </c>
      <c r="K59" cm="1">
        <f t="array" ref="K59" xml:space="preserve"> sentimentCalc(C59)</f>
        <v>0</v>
      </c>
      <c r="L59" t="str" cm="1">
        <f t="array" ref="L59" xml:space="preserve"> sentimentCategory(K59)</f>
        <v>Neutral</v>
      </c>
    </row>
    <row r="60" spans="1:12">
      <c r="A60" t="s">
        <v>560</v>
      </c>
      <c r="B60" t="s">
        <v>4563</v>
      </c>
      <c r="C60" t="str" cm="1">
        <f t="array" ref="C60" xml:space="preserve"> CleanText(B60)</f>
        <v>wooow good</v>
      </c>
      <c r="D60">
        <v>0</v>
      </c>
      <c r="E60">
        <v>0</v>
      </c>
      <c r="F60" t="s">
        <v>0</v>
      </c>
      <c r="G60" t="str" cm="1">
        <f t="array" ref="G60" xml:space="preserve"> FindCountryName(F60)</f>
        <v>None</v>
      </c>
      <c r="H60" s="1">
        <v>45346.458541666667</v>
      </c>
      <c r="I60" s="1">
        <v>45346.458541666667</v>
      </c>
      <c r="J60" s="1">
        <v>42244.485173611109</v>
      </c>
      <c r="K60" cm="1">
        <f t="array" ref="K60" xml:space="preserve"> sentimentCalc(C60)</f>
        <v>3</v>
      </c>
      <c r="L60" t="str" cm="1">
        <f t="array" ref="L60" xml:space="preserve"> sentimentCategory(K60)</f>
        <v>Positive</v>
      </c>
    </row>
    <row r="61" spans="1:12">
      <c r="A61" t="s">
        <v>56</v>
      </c>
      <c r="B61" t="s">
        <v>4562</v>
      </c>
      <c r="C61" t="str" cm="1">
        <f t="array" ref="C61" xml:space="preserve"> CleanText(B61)</f>
        <v>ok baarl bir yapm olmu baarlarnzn devamn dilerim</v>
      </c>
      <c r="D61">
        <v>0</v>
      </c>
      <c r="E61">
        <v>0</v>
      </c>
      <c r="F61" t="s">
        <v>0</v>
      </c>
      <c r="G61" t="str" cm="1">
        <f t="array" ref="G61" xml:space="preserve"> FindCountryName(F61)</f>
        <v>None</v>
      </c>
      <c r="H61" s="1">
        <v>45346.458449074074</v>
      </c>
      <c r="I61" s="1">
        <v>45346.458449074074</v>
      </c>
      <c r="J61" s="1">
        <v>43219.241354166668</v>
      </c>
      <c r="K61" cm="1">
        <f t="array" ref="K61" xml:space="preserve"> sentimentCalc(C61)</f>
        <v>0</v>
      </c>
      <c r="L61" t="str" cm="1">
        <f t="array" ref="L61" xml:space="preserve"> sentimentCategory(K61)</f>
        <v>Neutral</v>
      </c>
    </row>
    <row r="62" spans="1:12">
      <c r="A62" t="s">
        <v>267</v>
      </c>
      <c r="B62" t="s">
        <v>4561</v>
      </c>
      <c r="C62" t="str" cm="1">
        <f t="array" ref="C62" xml:space="preserve"> CleanText(B62)</f>
        <v>need more actions but its good</v>
      </c>
      <c r="D62">
        <v>0</v>
      </c>
      <c r="E62">
        <v>0</v>
      </c>
      <c r="F62" t="s">
        <v>2796</v>
      </c>
      <c r="G62" t="str" cm="1">
        <f t="array" ref="G62" xml:space="preserve"> FindCountryName(F62)</f>
        <v>France</v>
      </c>
      <c r="H62" s="1">
        <v>45346.376076388886</v>
      </c>
      <c r="I62" s="1">
        <v>45346.376076388886</v>
      </c>
      <c r="J62" s="1">
        <v>41493.19835648148</v>
      </c>
      <c r="K62" cm="1">
        <f t="array" ref="K62" xml:space="preserve"> sentimentCalc(C62)</f>
        <v>3</v>
      </c>
      <c r="L62" t="str" cm="1">
        <f t="array" ref="L62" xml:space="preserve"> sentimentCategory(K62)</f>
        <v>Positive</v>
      </c>
    </row>
    <row r="63" spans="1:12">
      <c r="A63" t="s">
        <v>1613</v>
      </c>
      <c r="B63" t="s">
        <v>4560</v>
      </c>
      <c r="C63" t="str" cm="1">
        <f t="array" ref="C63" xml:space="preserve"> CleanText(B63)</f>
        <v>this movie is a disappointment</v>
      </c>
      <c r="D63">
        <v>0</v>
      </c>
      <c r="E63">
        <v>0</v>
      </c>
      <c r="F63" t="s">
        <v>0</v>
      </c>
      <c r="G63" t="str" cm="1">
        <f t="array" ref="G63" xml:space="preserve"> FindCountryName(F63)</f>
        <v>None</v>
      </c>
      <c r="H63" s="1">
        <v>45345.984224537038</v>
      </c>
      <c r="I63" s="1">
        <v>45345.984224537038</v>
      </c>
      <c r="J63" s="1">
        <v>45084.596296296295</v>
      </c>
      <c r="K63" cm="1">
        <f t="array" ref="K63" xml:space="preserve"> sentimentCalc(C63)</f>
        <v>-2</v>
      </c>
      <c r="L63" t="str" cm="1">
        <f t="array" ref="L63" xml:space="preserve"> sentimentCategory(K63)</f>
        <v>Negative</v>
      </c>
    </row>
    <row r="64" spans="1:12">
      <c r="A64" t="s">
        <v>223</v>
      </c>
      <c r="B64" t="s">
        <v>4559</v>
      </c>
      <c r="C64" t="str" cm="1">
        <f t="array" ref="C64" xml:space="preserve"> CleanText(B64)</f>
        <v>spoiler alert dont get your hopes up</v>
      </c>
      <c r="D64">
        <v>1</v>
      </c>
      <c r="E64">
        <v>0</v>
      </c>
      <c r="F64" t="s">
        <v>0</v>
      </c>
      <c r="G64" t="str" cm="1">
        <f t="array" ref="G64" xml:space="preserve"> FindCountryName(F64)</f>
        <v>None</v>
      </c>
      <c r="H64" s="1">
        <v>45345.920231481483</v>
      </c>
      <c r="I64" s="1">
        <v>45345.920231481483</v>
      </c>
      <c r="J64" s="1">
        <v>42814.919803240744</v>
      </c>
      <c r="K64" cm="1">
        <f t="array" ref="K64" xml:space="preserve"> sentimentCalc(C64)</f>
        <v>1</v>
      </c>
      <c r="L64" t="str" cm="1">
        <f t="array" ref="L64" xml:space="preserve"> sentimentCategory(K64)</f>
        <v>Positive</v>
      </c>
    </row>
    <row r="65" spans="1:12">
      <c r="A65" t="s">
        <v>4558</v>
      </c>
      <c r="B65" t="s">
        <v>4557</v>
      </c>
      <c r="C65" t="str" cm="1">
        <f t="array" ref="C65" xml:space="preserve"> CleanText(B65)</f>
        <v>ill take m knight shayamalalan hostage if you dont continue this</v>
      </c>
      <c r="D65">
        <v>0</v>
      </c>
      <c r="E65">
        <v>0</v>
      </c>
      <c r="F65" t="s">
        <v>0</v>
      </c>
      <c r="G65" t="str" cm="1">
        <f t="array" ref="G65" xml:space="preserve"> FindCountryName(F65)</f>
        <v>None</v>
      </c>
      <c r="H65" s="1">
        <v>45345.891643518517</v>
      </c>
      <c r="I65" s="1">
        <v>45345.891643518517</v>
      </c>
      <c r="J65" s="1">
        <v>44209.695162037038</v>
      </c>
      <c r="K65" cm="1">
        <f t="array" ref="K65" xml:space="preserve"> sentimentCalc(C65)</f>
        <v>-2</v>
      </c>
      <c r="L65" t="str" cm="1">
        <f t="array" ref="L65" xml:space="preserve"> sentimentCategory(K65)</f>
        <v>Negative</v>
      </c>
    </row>
    <row r="66" spans="1:12">
      <c r="A66" t="s">
        <v>774</v>
      </c>
      <c r="B66" t="s">
        <v>4556</v>
      </c>
      <c r="C66" t="str" cm="1">
        <f t="array" ref="C66" xml:space="preserve"> CleanText(B66)</f>
        <v>its rough buddy _xDD72_</v>
      </c>
      <c r="D66">
        <v>0</v>
      </c>
      <c r="E66">
        <v>0</v>
      </c>
      <c r="F66" t="s">
        <v>0</v>
      </c>
      <c r="G66" t="str" cm="1">
        <f t="array" ref="G66" xml:space="preserve"> FindCountryName(F66)</f>
        <v>None</v>
      </c>
      <c r="H66" s="1">
        <v>45345.769444444442</v>
      </c>
      <c r="I66" s="1">
        <v>45345.769444444442</v>
      </c>
      <c r="J66" s="1">
        <v>40962.826261574075</v>
      </c>
      <c r="K66" cm="1">
        <f t="array" ref="K66" xml:space="preserve"> sentimentCalc(C66)</f>
        <v>0</v>
      </c>
      <c r="L66" t="str" cm="1">
        <f t="array" ref="L66" xml:space="preserve"> sentimentCategory(K66)</f>
        <v>Neutral</v>
      </c>
    </row>
    <row r="67" spans="1:12">
      <c r="A67" t="s">
        <v>779</v>
      </c>
      <c r="B67" t="s">
        <v>4555</v>
      </c>
      <c r="C67" t="str" cm="1">
        <f t="array" ref="C67" xml:space="preserve"> CleanText(B67)</f>
        <v>i love it airbenders can command air from your lungs to leave or create a vacuum within the body</v>
      </c>
      <c r="D67">
        <v>1</v>
      </c>
      <c r="E67">
        <v>0</v>
      </c>
      <c r="F67" t="s">
        <v>0</v>
      </c>
      <c r="G67" t="str" cm="1">
        <f t="array" ref="G67" xml:space="preserve"> FindCountryName(F67)</f>
        <v>None</v>
      </c>
      <c r="H67" s="1">
        <v>45345.738043981481</v>
      </c>
      <c r="I67" s="1">
        <v>45353.002256944441</v>
      </c>
      <c r="J67" s="1">
        <v>41459.267083333332</v>
      </c>
      <c r="K67" cm="1">
        <f t="array" ref="K67" xml:space="preserve"> sentimentCalc(C67)</f>
        <v>2</v>
      </c>
      <c r="L67" t="str" cm="1">
        <f t="array" ref="L67" xml:space="preserve"> sentimentCategory(K67)</f>
        <v>Positive</v>
      </c>
    </row>
    <row r="68" spans="1:12">
      <c r="A68" t="s">
        <v>591</v>
      </c>
      <c r="B68" t="s">
        <v>4554</v>
      </c>
      <c r="C68" t="str" cm="1">
        <f t="array" ref="C68" xml:space="preserve"> CleanText(B68)</f>
        <v>that movie was better _xDE2C_</v>
      </c>
      <c r="D68">
        <v>2</v>
      </c>
      <c r="E68">
        <v>3</v>
      </c>
      <c r="F68" t="s">
        <v>0</v>
      </c>
      <c r="G68" t="str" cm="1">
        <f t="array" ref="G68" xml:space="preserve"> FindCountryName(F68)</f>
        <v>None</v>
      </c>
      <c r="H68" s="1">
        <v>45345.654814814814</v>
      </c>
      <c r="I68" s="1">
        <v>45345.654814814814</v>
      </c>
      <c r="J68" s="1">
        <v>44047.796122685184</v>
      </c>
      <c r="K68" cm="1">
        <f t="array" ref="K68" xml:space="preserve"> sentimentCalc(C68)</f>
        <v>2</v>
      </c>
      <c r="L68" t="str" cm="1">
        <f t="array" ref="L68" xml:space="preserve"> sentimentCategory(K68)</f>
        <v>Positive</v>
      </c>
    </row>
    <row r="69" spans="1:12">
      <c r="A69" t="s">
        <v>276</v>
      </c>
      <c r="B69" t="s">
        <v>4553</v>
      </c>
      <c r="C69" t="str" cm="1">
        <f t="array" ref="C69" xml:space="preserve"> CleanText(B69)</f>
        <v>times better than that m shamalamadingdong nonsense so sad ive finished season one already</v>
      </c>
      <c r="D69">
        <v>0</v>
      </c>
      <c r="E69">
        <v>0</v>
      </c>
      <c r="F69" t="s">
        <v>0</v>
      </c>
      <c r="G69" t="str" cm="1">
        <f t="array" ref="G69" xml:space="preserve"> FindCountryName(F69)</f>
        <v>None</v>
      </c>
      <c r="H69" s="1">
        <v>45345.610034722224</v>
      </c>
      <c r="I69" s="1">
        <v>45345.610034722224</v>
      </c>
      <c r="J69" s="1">
        <v>39971.534618055557</v>
      </c>
      <c r="K69" cm="1">
        <f t="array" ref="K69" xml:space="preserve"> sentimentCalc(C69)</f>
        <v>-2</v>
      </c>
      <c r="L69" t="str" cm="1">
        <f t="array" ref="L69" xml:space="preserve"> sentimentCategory(K69)</f>
        <v>Negative</v>
      </c>
    </row>
    <row r="70" spans="1:12">
      <c r="A70" t="s">
        <v>2503</v>
      </c>
      <c r="B70" t="s">
        <v>4552</v>
      </c>
      <c r="C70" t="str" cm="1">
        <f t="array" ref="C70" xml:space="preserve"> CleanText(B70)</f>
        <v>im already afraid of watching netflix series as netflix has a habit of canceling many tv shows after one seasonso im going to wait a few years to see if the nd and rd seasons come out and only then will i watch them</v>
      </c>
      <c r="D70">
        <v>1</v>
      </c>
      <c r="E70">
        <v>0</v>
      </c>
      <c r="F70" t="s">
        <v>0</v>
      </c>
      <c r="G70" t="str" cm="1">
        <f t="array" ref="G70" xml:space="preserve"> FindCountryName(F70)</f>
        <v>None</v>
      </c>
      <c r="H70" s="1">
        <v>45345.534259259257</v>
      </c>
      <c r="I70" s="1">
        <v>45345.534259259257</v>
      </c>
      <c r="J70" s="1">
        <v>40249.975914351853</v>
      </c>
      <c r="K70" cm="1">
        <f t="array" ref="K70" xml:space="preserve"> sentimentCalc(C70)</f>
        <v>-2</v>
      </c>
      <c r="L70" t="str" cm="1">
        <f t="array" ref="L70" xml:space="preserve"> sentimentCategory(K70)</f>
        <v>Negative</v>
      </c>
    </row>
    <row r="71" spans="1:12">
      <c r="A71" t="s">
        <v>141</v>
      </c>
      <c r="B71" t="s">
        <v>4551</v>
      </c>
      <c r="C71" t="str" cm="1">
        <f t="array" ref="C71" xml:space="preserve"> CleanText(B71)</f>
        <v>this seriiieeesss is epiccc</v>
      </c>
      <c r="D71">
        <v>0</v>
      </c>
      <c r="E71">
        <v>0</v>
      </c>
      <c r="F71" t="s">
        <v>0</v>
      </c>
      <c r="G71" t="str" cm="1">
        <f t="array" ref="G71" xml:space="preserve"> FindCountryName(F71)</f>
        <v>None</v>
      </c>
      <c r="H71" s="1">
        <v>45345.515289351853</v>
      </c>
      <c r="I71" s="1">
        <v>45345.515289351853</v>
      </c>
      <c r="J71" s="1">
        <v>42331.491307870368</v>
      </c>
      <c r="K71" cm="1">
        <f t="array" ref="K71" xml:space="preserve"> sentimentCalc(C71)</f>
        <v>0</v>
      </c>
      <c r="L71" t="str" cm="1">
        <f t="array" ref="L71" xml:space="preserve"> sentimentCategory(K71)</f>
        <v>Neutral</v>
      </c>
    </row>
    <row r="72" spans="1:12">
      <c r="A72" t="s">
        <v>28</v>
      </c>
      <c r="B72" t="s">
        <v>4550</v>
      </c>
      <c r="C72" t="str" cm="1">
        <f t="array" ref="C72" xml:space="preserve"> CleanText(B72)</f>
        <v>again they messed up no sense of humor and they changed stuff leave it how it was aang isnt funny here or care free they put aang to be serious and always looking worried _xDE12_ dont even care to finish watching it</v>
      </c>
      <c r="D72">
        <v>3</v>
      </c>
      <c r="E72">
        <v>0</v>
      </c>
      <c r="F72" t="s">
        <v>0</v>
      </c>
      <c r="G72" t="str" cm="1">
        <f t="array" ref="G72" xml:space="preserve"> FindCountryName(F72)</f>
        <v>None</v>
      </c>
      <c r="H72" s="1">
        <v>45345.36440972222</v>
      </c>
      <c r="I72" s="1">
        <v>45345.36440972222</v>
      </c>
      <c r="J72" s="1">
        <v>42358.650671296295</v>
      </c>
      <c r="K72" cm="1">
        <f t="array" ref="K72" xml:space="preserve"> sentimentCalc(C72)</f>
        <v>4</v>
      </c>
      <c r="L72" t="str" cm="1">
        <f t="array" ref="L72" xml:space="preserve"> sentimentCategory(K72)</f>
        <v>Positive</v>
      </c>
    </row>
    <row r="73" spans="1:12">
      <c r="A73" t="s">
        <v>1666</v>
      </c>
      <c r="B73" t="s">
        <v>4549</v>
      </c>
      <c r="C73" t="str" cm="1">
        <f t="array" ref="C73" xml:space="preserve"> CleanText(B73)</f>
        <v>it was good it wasnt perfect /0</v>
      </c>
      <c r="D73">
        <v>3</v>
      </c>
      <c r="E73">
        <v>0</v>
      </c>
      <c r="F73" t="s">
        <v>0</v>
      </c>
      <c r="G73" t="str" cm="1">
        <f t="array" ref="G73" xml:space="preserve"> FindCountryName(F73)</f>
        <v>None</v>
      </c>
      <c r="H73" s="1">
        <v>45345.252303240741</v>
      </c>
      <c r="I73" s="1">
        <v>45345.252303240741</v>
      </c>
      <c r="J73" s="1">
        <v>41873.741261574076</v>
      </c>
      <c r="K73" cm="1">
        <f t="array" ref="K73" xml:space="preserve"> sentimentCalc(C73)</f>
        <v>6</v>
      </c>
      <c r="L73" t="str" cm="1">
        <f t="array" ref="L73" xml:space="preserve"> sentimentCategory(K73)</f>
        <v>Positive</v>
      </c>
    </row>
    <row r="74" spans="1:12">
      <c r="A74" t="s">
        <v>2231</v>
      </c>
      <c r="B74" t="s">
        <v>4548</v>
      </c>
      <c r="C74" t="str" cm="1">
        <f t="array" ref="C74" xml:space="preserve"> CleanText(B74)</f>
        <v>i just finished watching the series and theres only one thing thats bothering me the lack of emotion and expression in some actors faces and body movement everything is absolutely great from the effects especially on their bending its way way waaaaayyy more better than that of the movie zuko and sokka i think made justice in their characters i am not sure about aang and katara especially katara sorry girl i think she lacks facial and body expression in all episodes i feel like i am watching an actor that is reading literally a script same goes to aang hes not a bad actor but not that great either but his presence is shouting aang so thats a great point i guess whenever they are in serious dialogue i can feel from their body movement the awkwardness and lack of emotions but overall this adaptation deserves a second season it deserves to finish till the final chapter netflix dont you dare cancel this</v>
      </c>
      <c r="D74">
        <v>8</v>
      </c>
      <c r="E74">
        <v>0</v>
      </c>
      <c r="F74" t="s">
        <v>4547</v>
      </c>
      <c r="G74" t="str" cm="1">
        <f t="array" ref="G74" xml:space="preserve"> FindCountryName(F74)</f>
        <v>Saudi Arabia</v>
      </c>
      <c r="H74" s="1">
        <v>45345.159768518519</v>
      </c>
      <c r="I74" s="1">
        <v>45345.159768518519</v>
      </c>
      <c r="J74" s="1">
        <v>44018.158460648148</v>
      </c>
      <c r="K74" cm="1">
        <f t="array" ref="K74" xml:space="preserve"> sentimentCalc(C74)</f>
        <v>6</v>
      </c>
      <c r="L74" t="str" cm="1">
        <f t="array" ref="L74" xml:space="preserve"> sentimentCategory(K74)</f>
        <v>Positive</v>
      </c>
    </row>
    <row r="75" spans="1:12">
      <c r="A75" t="s">
        <v>4177</v>
      </c>
      <c r="B75" t="s">
        <v>4546</v>
      </c>
      <c r="C75" t="str" cm="1">
        <f t="array" ref="C75" xml:space="preserve"> CleanText(B75)</f>
        <v>china</v>
      </c>
      <c r="D75">
        <v>1</v>
      </c>
      <c r="E75">
        <v>0</v>
      </c>
      <c r="F75" t="s">
        <v>0</v>
      </c>
      <c r="G75" t="str" cm="1">
        <f t="array" ref="G75" xml:space="preserve"> FindCountryName(F75)</f>
        <v>None</v>
      </c>
      <c r="H75" s="1">
        <v>45345.131874999999</v>
      </c>
      <c r="I75" s="1">
        <v>45345.131874999999</v>
      </c>
      <c r="J75" s="1">
        <v>45315.813402777778</v>
      </c>
      <c r="K75" cm="1">
        <f t="array" ref="K75" xml:space="preserve"> sentimentCalc(C75)</f>
        <v>0</v>
      </c>
      <c r="L75" t="str" cm="1">
        <f t="array" ref="L75" xml:space="preserve"> sentimentCategory(K75)</f>
        <v>Neutral</v>
      </c>
    </row>
    <row r="76" spans="1:12">
      <c r="A76" t="s">
        <v>806</v>
      </c>
      <c r="B76" t="s">
        <v>4545</v>
      </c>
      <c r="C76" t="str" cm="1">
        <f t="array" ref="C76" xml:space="preserve"> CleanText(B76)</f>
        <v>s</v>
      </c>
      <c r="D76">
        <v>0</v>
      </c>
      <c r="E76">
        <v>0</v>
      </c>
      <c r="F76" t="s">
        <v>0</v>
      </c>
      <c r="G76" t="str" cm="1">
        <f t="array" ref="G76" xml:space="preserve"> FindCountryName(F76)</f>
        <v>None</v>
      </c>
      <c r="H76" s="1">
        <v>45345.108402777776</v>
      </c>
      <c r="I76" s="1">
        <v>45345.108402777776</v>
      </c>
      <c r="J76" s="1">
        <v>44342.573391203703</v>
      </c>
      <c r="K76" cm="1">
        <f t="array" ref="K76" xml:space="preserve"> sentimentCalc(C76)</f>
        <v>0</v>
      </c>
      <c r="L76" t="str" cm="1">
        <f t="array" ref="L76" xml:space="preserve"> sentimentCategory(K76)</f>
        <v>Neutral</v>
      </c>
    </row>
    <row r="77" spans="1:12">
      <c r="A77" t="s">
        <v>2863</v>
      </c>
      <c r="B77" t="s">
        <v>4544</v>
      </c>
      <c r="C77" t="str" cm="1">
        <f t="array" ref="C77" xml:space="preserve"> CleanText(B77)</f>
        <v>اد  n</v>
      </c>
      <c r="D77">
        <v>0</v>
      </c>
      <c r="E77">
        <v>0</v>
      </c>
      <c r="F77" t="s">
        <v>0</v>
      </c>
      <c r="G77" t="str" cm="1">
        <f t="array" ref="G77" xml:space="preserve"> FindCountryName(F77)</f>
        <v>None</v>
      </c>
      <c r="H77" s="1">
        <v>45345.096655092595</v>
      </c>
      <c r="I77" s="1">
        <v>45345.096655092595</v>
      </c>
      <c r="J77" s="1">
        <v>44058.509189814817</v>
      </c>
      <c r="K77" cm="1">
        <f t="array" ref="K77" xml:space="preserve"> sentimentCalc(C77)</f>
        <v>0</v>
      </c>
      <c r="L77" t="str" cm="1">
        <f t="array" ref="L77" xml:space="preserve"> sentimentCategory(K77)</f>
        <v>Neutral</v>
      </c>
    </row>
    <row r="78" spans="1:12">
      <c r="A78" t="s">
        <v>1112</v>
      </c>
      <c r="B78" t="s">
        <v>4543</v>
      </c>
      <c r="C78" t="str" cm="1">
        <f t="array" ref="C78" xml:space="preserve"> CleanText(B78)</f>
        <v>instersting movie _xDD14_</v>
      </c>
      <c r="D78">
        <v>1</v>
      </c>
      <c r="E78">
        <v>0</v>
      </c>
      <c r="F78" t="s">
        <v>0</v>
      </c>
      <c r="G78" t="str" cm="1">
        <f t="array" ref="G78" xml:space="preserve"> FindCountryName(F78)</f>
        <v>None</v>
      </c>
      <c r="H78" s="1">
        <v>45344.986087962963</v>
      </c>
      <c r="I78" s="1">
        <v>45344.986087962963</v>
      </c>
      <c r="J78" s="1">
        <v>44965.649409722224</v>
      </c>
      <c r="K78" cm="1">
        <f t="array" ref="K78" xml:space="preserve"> sentimentCalc(C78)</f>
        <v>0</v>
      </c>
      <c r="L78" t="str" cm="1">
        <f t="array" ref="L78" xml:space="preserve"> sentimentCategory(K78)</f>
        <v>Neutral</v>
      </c>
    </row>
    <row r="79" spans="1:12">
      <c r="A79" t="s">
        <v>273</v>
      </c>
      <c r="B79" t="s">
        <v>4542</v>
      </c>
      <c r="C79" t="str" cm="1">
        <f t="array" ref="C79" xml:space="preserve"> CleanText(B79)</f>
        <v>katara needs to step up with the acting in season  vfx is amazing moves too i didnt feel the chemistry between the main cast but loved the visuals</v>
      </c>
      <c r="D79">
        <v>0</v>
      </c>
      <c r="E79">
        <v>0</v>
      </c>
      <c r="F79" t="s">
        <v>0</v>
      </c>
      <c r="G79" t="str" cm="1">
        <f t="array" ref="G79" xml:space="preserve"> FindCountryName(F79)</f>
        <v>None</v>
      </c>
      <c r="H79" s="1">
        <v>45344.976203703707</v>
      </c>
      <c r="I79" s="1">
        <v>45344.976203703707</v>
      </c>
      <c r="J79" s="1">
        <v>41831.574074074073</v>
      </c>
      <c r="K79" cm="1">
        <f t="array" ref="K79" xml:space="preserve"> sentimentCalc(C79)</f>
        <v>7</v>
      </c>
      <c r="L79" t="str" cm="1">
        <f t="array" ref="L79" xml:space="preserve"> sentimentCategory(K79)</f>
        <v>Positive</v>
      </c>
    </row>
    <row r="80" spans="1:12">
      <c r="A80" t="s">
        <v>221</v>
      </c>
      <c r="B80" t="s">
        <v>4541</v>
      </c>
      <c r="C80" t="str" cm="1">
        <f t="array" ref="C80" xml:space="preserve"> CleanText(B80)</f>
        <v>this is how you give avatar the last airbender  the biggest middle finger just watched it today / _xD83D_</v>
      </c>
      <c r="D80">
        <v>1</v>
      </c>
      <c r="E80">
        <v>0</v>
      </c>
      <c r="F80" t="s">
        <v>0</v>
      </c>
      <c r="G80" t="str" cm="1">
        <f t="array" ref="G80" xml:space="preserve"> FindCountryName(F80)</f>
        <v>None</v>
      </c>
      <c r="H80" s="1">
        <v>45344.964548611111</v>
      </c>
      <c r="I80" s="1">
        <v>45344.964548611111</v>
      </c>
      <c r="J80" s="1">
        <v>44260.734432870369</v>
      </c>
      <c r="K80" cm="1">
        <f t="array" ref="K80" xml:space="preserve"> sentimentCalc(C80)</f>
        <v>0</v>
      </c>
      <c r="L80" t="str" cm="1">
        <f t="array" ref="L80" xml:space="preserve"> sentimentCategory(K80)</f>
        <v>Neutral</v>
      </c>
    </row>
    <row r="81" spans="1:12">
      <c r="A81" t="s">
        <v>227</v>
      </c>
      <c r="B81" t="s">
        <v>4540</v>
      </c>
      <c r="C81" t="str" cm="1">
        <f t="array" ref="C81" xml:space="preserve"> CleanText(B81)</f>
        <v>this is so good love it watched  episodes will finish the rest tomorrow  watched them after work  great job</v>
      </c>
      <c r="D81">
        <v>2</v>
      </c>
      <c r="E81">
        <v>0</v>
      </c>
      <c r="F81" t="s">
        <v>0</v>
      </c>
      <c r="G81" t="str" cm="1">
        <f t="array" ref="G81" xml:space="preserve"> FindCountryName(F81)</f>
        <v>None</v>
      </c>
      <c r="H81" s="1">
        <v>45344.8362037037</v>
      </c>
      <c r="I81" s="1">
        <v>45344.8362037037</v>
      </c>
      <c r="J81" s="1">
        <v>41704.695925925924</v>
      </c>
      <c r="K81" cm="1">
        <f t="array" ref="K81" xml:space="preserve"> sentimentCalc(C81)</f>
        <v>9</v>
      </c>
      <c r="L81" t="str" cm="1">
        <f t="array" ref="L81" xml:space="preserve"> sentimentCategory(K81)</f>
        <v>Positive</v>
      </c>
    </row>
    <row r="82" spans="1:12">
      <c r="A82" t="s">
        <v>221</v>
      </c>
      <c r="B82" t="s">
        <v>4539</v>
      </c>
      <c r="C82" t="str" cm="1">
        <f t="array" ref="C82" xml:space="preserve"> CleanText(B82)</f>
        <v>i think the show was really and the view and the pictures are beautiful of the scenery of the show and stuff and the actors and actresses were really well good as well as a look like</v>
      </c>
      <c r="D82">
        <v>0</v>
      </c>
      <c r="E82">
        <v>0</v>
      </c>
      <c r="F82" t="s">
        <v>0</v>
      </c>
      <c r="G82" t="str" cm="1">
        <f t="array" ref="G82" xml:space="preserve"> FindCountryName(F82)</f>
        <v>None</v>
      </c>
      <c r="H82" s="1">
        <v>45344.814236111109</v>
      </c>
      <c r="I82" s="1">
        <v>45344.814236111109</v>
      </c>
      <c r="J82" s="1">
        <v>41748.826041666667</v>
      </c>
      <c r="K82" cm="1">
        <f t="array" ref="K82" xml:space="preserve"> sentimentCalc(C82)</f>
        <v>8</v>
      </c>
      <c r="L82" t="str" cm="1">
        <f t="array" ref="L82" xml:space="preserve"> sentimentCategory(K82)</f>
        <v>Positive</v>
      </c>
    </row>
    <row r="83" spans="1:12">
      <c r="A83" t="s">
        <v>418</v>
      </c>
      <c r="B83" t="s">
        <v>4538</v>
      </c>
      <c r="C83" t="str" cm="1">
        <f t="array" ref="C83" xml:space="preserve"> CleanText(B83)</f>
        <v>i need this music</v>
      </c>
      <c r="D83">
        <v>0</v>
      </c>
      <c r="E83">
        <v>0</v>
      </c>
      <c r="F83" t="s">
        <v>0</v>
      </c>
      <c r="G83" t="str" cm="1">
        <f t="array" ref="G83" xml:space="preserve"> FindCountryName(F83)</f>
        <v>None</v>
      </c>
      <c r="H83" s="1">
        <v>45344.803749999999</v>
      </c>
      <c r="I83" s="1">
        <v>45344.803749999999</v>
      </c>
      <c r="J83" s="1">
        <v>42486.454699074071</v>
      </c>
      <c r="K83" cm="1">
        <f t="array" ref="K83" xml:space="preserve"> sentimentCalc(C83)</f>
        <v>0</v>
      </c>
      <c r="L83" t="str" cm="1">
        <f t="array" ref="L83" xml:space="preserve"> sentimentCategory(K83)</f>
        <v>Neutral</v>
      </c>
    </row>
    <row r="84" spans="1:12">
      <c r="A84" t="s">
        <v>582</v>
      </c>
      <c r="B84" t="s">
        <v>4537</v>
      </c>
      <c r="C84" t="str" cm="1">
        <f t="array" ref="C84" xml:space="preserve"> CleanText(B84)</f>
        <v>quit making this garbage stuff live action</v>
      </c>
      <c r="D84">
        <v>0</v>
      </c>
      <c r="E84">
        <v>0</v>
      </c>
      <c r="F84" t="s">
        <v>0</v>
      </c>
      <c r="G84" t="str" cm="1">
        <f t="array" ref="G84" xml:space="preserve"> FindCountryName(F84)</f>
        <v>None</v>
      </c>
      <c r="H84" s="1">
        <v>45344.769895833335</v>
      </c>
      <c r="I84" s="1">
        <v>45344.769895833335</v>
      </c>
      <c r="J84" s="1">
        <v>41173.867569444446</v>
      </c>
      <c r="K84" cm="1">
        <f t="array" ref="K84" xml:space="preserve"> sentimentCalc(C84)</f>
        <v>0</v>
      </c>
      <c r="L84" t="str" cm="1">
        <f t="array" ref="L84" xml:space="preserve"> sentimentCategory(K84)</f>
        <v>Neutral</v>
      </c>
    </row>
    <row r="85" spans="1:12">
      <c r="A85" t="s">
        <v>4536</v>
      </c>
      <c r="B85" t="s">
        <v>4535</v>
      </c>
      <c r="C85" t="str" cm="1">
        <f t="array" ref="C85" xml:space="preserve"> CleanText(B85)</f>
        <v>best series ever</v>
      </c>
      <c r="D85">
        <v>1</v>
      </c>
      <c r="E85">
        <v>0</v>
      </c>
      <c r="F85" t="s">
        <v>2836</v>
      </c>
      <c r="G85" t="str" cm="1">
        <f t="array" ref="G85" xml:space="preserve"> FindCountryName(F85)</f>
        <v>Hungary</v>
      </c>
      <c r="H85" s="1">
        <v>45344.733159722222</v>
      </c>
      <c r="I85" s="1">
        <v>45344.733159722222</v>
      </c>
      <c r="J85" s="1">
        <v>41356.783379629633</v>
      </c>
      <c r="K85" cm="1">
        <f t="array" ref="K85" xml:space="preserve"> sentimentCalc(C85)</f>
        <v>3</v>
      </c>
      <c r="L85" t="str" cm="1">
        <f t="array" ref="L85" xml:space="preserve"> sentimentCategory(K85)</f>
        <v>Positive</v>
      </c>
    </row>
    <row r="86" spans="1:12">
      <c r="A86" t="s">
        <v>422</v>
      </c>
      <c r="B86" t="s">
        <v>4534</v>
      </c>
      <c r="C86" t="str" cm="1">
        <f t="array" ref="C86" xml:space="preserve"> CleanText(B86)</f>
        <v>just watched it on netflix. it is awesome _xDF89_</v>
      </c>
      <c r="D86">
        <v>0</v>
      </c>
      <c r="E86">
        <v>0</v>
      </c>
      <c r="F86" t="s">
        <v>0</v>
      </c>
      <c r="G86" t="str" cm="1">
        <f t="array" ref="G86" xml:space="preserve"> FindCountryName(F86)</f>
        <v>None</v>
      </c>
      <c r="H86" s="1">
        <v>45344.682395833333</v>
      </c>
      <c r="I86" s="1">
        <v>45344.682395833333</v>
      </c>
      <c r="J86" s="1">
        <v>39377.360625000001</v>
      </c>
      <c r="K86" cm="1">
        <f t="array" ref="K86" xml:space="preserve"> sentimentCalc(C86)</f>
        <v>4</v>
      </c>
      <c r="L86" t="str" cm="1">
        <f t="array" ref="L86" xml:space="preserve"> sentimentCategory(K86)</f>
        <v>Positive</v>
      </c>
    </row>
    <row r="87" spans="1:12">
      <c r="A87" t="s">
        <v>483</v>
      </c>
      <c r="B87" t="s">
        <v>4533</v>
      </c>
      <c r="C87" t="str" cm="1">
        <f t="array" ref="C87" xml:space="preserve"> CleanText(B87)</f>
        <v>yes good job i love it</v>
      </c>
      <c r="D87">
        <v>1</v>
      </c>
      <c r="E87">
        <v>0</v>
      </c>
      <c r="F87" t="s">
        <v>0</v>
      </c>
      <c r="G87" t="str" cm="1">
        <f t="array" ref="G87" xml:space="preserve"> FindCountryName(F87)</f>
        <v>None</v>
      </c>
      <c r="H87" s="1">
        <v>45344.677210648151</v>
      </c>
      <c r="I87" s="1">
        <v>45344.677210648151</v>
      </c>
      <c r="J87" s="1">
        <v>43962.376319444447</v>
      </c>
      <c r="K87" cm="1">
        <f t="array" ref="K87" xml:space="preserve"> sentimentCalc(C87)</f>
        <v>7</v>
      </c>
      <c r="L87" t="str" cm="1">
        <f t="array" ref="L87" xml:space="preserve"> sentimentCategory(K87)</f>
        <v>Positive</v>
      </c>
    </row>
    <row r="88" spans="1:12">
      <c r="A88" t="s">
        <v>47</v>
      </c>
      <c r="B88" t="s">
        <v>4532</v>
      </c>
      <c r="C88" t="str" cm="1">
        <f t="array" ref="C88" xml:space="preserve"> CleanText(B88)</f>
        <v>this show sucks they changed everything waste of time</v>
      </c>
      <c r="D88">
        <v>1</v>
      </c>
      <c r="E88">
        <v>0</v>
      </c>
      <c r="F88" t="s">
        <v>0</v>
      </c>
      <c r="G88" t="str" cm="1">
        <f t="array" ref="G88" xml:space="preserve"> FindCountryName(F88)</f>
        <v>None</v>
      </c>
      <c r="H88" s="1">
        <v>45344.65766203704</v>
      </c>
      <c r="I88" s="1">
        <v>45344.65766203704</v>
      </c>
      <c r="J88" s="1">
        <v>39778.479178240741</v>
      </c>
      <c r="K88" cm="1">
        <f t="array" ref="K88" xml:space="preserve"> sentimentCalc(C88)</f>
        <v>-4</v>
      </c>
      <c r="L88" t="str" cm="1">
        <f t="array" ref="L88" xml:space="preserve"> sentimentCategory(K88)</f>
        <v>Negative</v>
      </c>
    </row>
    <row r="89" spans="1:12">
      <c r="A89" t="s">
        <v>2331</v>
      </c>
      <c r="B89" t="s">
        <v>4531</v>
      </c>
      <c r="C89" t="str" cm="1">
        <f t="array" ref="C89" xml:space="preserve"> CleanText(B89)</f>
        <v>its okay</v>
      </c>
      <c r="D89">
        <v>0</v>
      </c>
      <c r="E89">
        <v>0</v>
      </c>
      <c r="F89" t="s">
        <v>0</v>
      </c>
      <c r="G89" t="str" cm="1">
        <f t="array" ref="G89" xml:space="preserve"> FindCountryName(F89)</f>
        <v>None</v>
      </c>
      <c r="H89" s="1">
        <v>45344.490451388891</v>
      </c>
      <c r="I89" s="1">
        <v>45344.490451388891</v>
      </c>
      <c r="J89" s="1">
        <v>44717.133726851855</v>
      </c>
      <c r="K89" cm="1">
        <f t="array" ref="K89" xml:space="preserve"> sentimentCalc(C89)</f>
        <v>0</v>
      </c>
      <c r="L89" t="str" cm="1">
        <f t="array" ref="L89" xml:space="preserve"> sentimentCategory(K89)</f>
        <v>Neutral</v>
      </c>
    </row>
    <row r="90" spans="1:12">
      <c r="A90" t="s">
        <v>1170</v>
      </c>
      <c r="B90" t="s">
        <v>4530</v>
      </c>
      <c r="C90" t="str" cm="1">
        <f t="array" ref="C90" xml:space="preserve"> CleanText(B90)</f>
        <v>well it is disappointing</v>
      </c>
      <c r="D90">
        <v>4</v>
      </c>
      <c r="E90">
        <v>0</v>
      </c>
      <c r="F90" t="s">
        <v>0</v>
      </c>
      <c r="G90" t="str" cm="1">
        <f t="array" ref="G90" xml:space="preserve"> FindCountryName(F90)</f>
        <v>None</v>
      </c>
      <c r="H90" s="1">
        <v>45344.290243055555</v>
      </c>
      <c r="I90" s="1">
        <v>45344.290243055555</v>
      </c>
      <c r="J90" s="1">
        <v>41683.821273148147</v>
      </c>
      <c r="K90" cm="1">
        <f t="array" ref="K90" xml:space="preserve"> sentimentCalc(C90)</f>
        <v>-2</v>
      </c>
      <c r="L90" t="str" cm="1">
        <f t="array" ref="L90" xml:space="preserve"> sentimentCategory(K90)</f>
        <v>Negative</v>
      </c>
    </row>
    <row r="91" spans="1:12">
      <c r="A91" t="s">
        <v>483</v>
      </c>
      <c r="B91" t="s">
        <v>4529</v>
      </c>
      <c r="C91" t="str" cm="1">
        <f t="array" ref="C91" xml:space="preserve"> CleanText(B91)</f>
        <v>im sad seeing aang is not funnywhy so serious aang is not really that of a full pledged monk at least yet</v>
      </c>
      <c r="D91">
        <v>5</v>
      </c>
      <c r="E91">
        <v>0</v>
      </c>
      <c r="F91" t="s">
        <v>0</v>
      </c>
      <c r="G91" t="str" cm="1">
        <f t="array" ref="G91" xml:space="preserve"> FindCountryName(F91)</f>
        <v>None</v>
      </c>
      <c r="H91" s="1">
        <v>45344.276006944441</v>
      </c>
      <c r="I91" s="1">
        <v>45344.276006944441</v>
      </c>
      <c r="J91" s="1">
        <v>40823.271562499998</v>
      </c>
      <c r="K91" cm="1">
        <f t="array" ref="K91" xml:space="preserve"> sentimentCalc(C91)</f>
        <v>-2</v>
      </c>
      <c r="L91" t="str" cm="1">
        <f t="array" ref="L91" xml:space="preserve"> sentimentCategory(K91)</f>
        <v>Negative</v>
      </c>
    </row>
    <row r="92" spans="1:12">
      <c r="A92" t="s">
        <v>317</v>
      </c>
      <c r="B92" t="s">
        <v>4528</v>
      </c>
      <c r="C92" t="str" cm="1">
        <f t="array" ref="C92" xml:space="preserve"> CleanText(B92)</f>
        <v>hintli orospu ocuu nun pi ettii film</v>
      </c>
      <c r="D92">
        <v>0</v>
      </c>
      <c r="E92">
        <v>0</v>
      </c>
      <c r="F92" t="s">
        <v>0</v>
      </c>
      <c r="G92" t="str" cm="1">
        <f t="array" ref="G92" xml:space="preserve"> FindCountryName(F92)</f>
        <v>None</v>
      </c>
      <c r="H92" s="1">
        <v>45344.260381944441</v>
      </c>
      <c r="I92" s="1">
        <v>45344.260381944441</v>
      </c>
      <c r="J92" s="1">
        <v>41503.141168981485</v>
      </c>
      <c r="K92" cm="1">
        <f t="array" ref="K92" xml:space="preserve"> sentimentCalc(C92)</f>
        <v>0</v>
      </c>
      <c r="L92" t="str" cm="1">
        <f t="array" ref="L92" xml:space="preserve"> sentimentCategory(K92)</f>
        <v>Neutral</v>
      </c>
    </row>
    <row r="93" spans="1:12">
      <c r="A93" t="s">
        <v>2503</v>
      </c>
      <c r="B93" t="s">
        <v>4527</v>
      </c>
      <c r="C93" t="str" cm="1">
        <f t="array" ref="C93" xml:space="preserve"> CleanText(B93)</f>
        <v>i mean its better than the m night i guess but i couldnt get passed the first episode after grangran explained the animated versions intro pacing feels a bit rushed and the cgi is kinda choppy  _xDE22_ live action avatar 2 for me</v>
      </c>
      <c r="D93">
        <v>0</v>
      </c>
      <c r="E93">
        <v>0</v>
      </c>
      <c r="F93" t="s">
        <v>0</v>
      </c>
      <c r="G93" t="str" cm="1">
        <f t="array" ref="G93" xml:space="preserve"> FindCountryName(F93)</f>
        <v>None</v>
      </c>
      <c r="H93" s="1">
        <v>45344.252951388888</v>
      </c>
      <c r="I93" s="1">
        <v>45344.252951388888</v>
      </c>
      <c r="J93" s="1">
        <v>44295.043298611112</v>
      </c>
      <c r="K93" cm="1">
        <f t="array" ref="K93" xml:space="preserve"> sentimentCalc(C93)</f>
        <v>2</v>
      </c>
      <c r="L93" t="str" cm="1">
        <f t="array" ref="L93" xml:space="preserve"> sentimentCategory(K93)</f>
        <v>Positive</v>
      </c>
    </row>
    <row r="94" spans="1:12">
      <c r="A94" t="s">
        <v>735</v>
      </c>
      <c r="B94" t="s">
        <v>4526</v>
      </c>
      <c r="C94" t="str" cm="1">
        <f t="array" ref="C94" xml:space="preserve"> CleanText(B94)</f>
        <v>better than blue avatar</v>
      </c>
      <c r="D94">
        <v>0</v>
      </c>
      <c r="E94">
        <v>0</v>
      </c>
      <c r="F94" t="s">
        <v>0</v>
      </c>
      <c r="G94" t="str" cm="1">
        <f t="array" ref="G94" xml:space="preserve"> FindCountryName(F94)</f>
        <v>None</v>
      </c>
      <c r="H94" s="1">
        <v>45343.606273148151</v>
      </c>
      <c r="I94" s="1">
        <v>45343.606273148151</v>
      </c>
      <c r="J94" s="1">
        <v>44864.619189814817</v>
      </c>
      <c r="K94" cm="1">
        <f t="array" ref="K94" xml:space="preserve"> sentimentCalc(C94)</f>
        <v>2</v>
      </c>
      <c r="L94" t="str" cm="1">
        <f t="array" ref="L94" xml:space="preserve"> sentimentCategory(K94)</f>
        <v>Positive</v>
      </c>
    </row>
    <row r="95" spans="1:12">
      <c r="A95" t="s">
        <v>357</v>
      </c>
      <c r="B95" t="s">
        <v>4525</v>
      </c>
      <c r="C95" t="str" cm="1">
        <f t="array" ref="C95" xml:space="preserve"> CleanText(B95)</f>
        <v>appa yip yip _xDC79_</v>
      </c>
      <c r="D95">
        <v>2</v>
      </c>
      <c r="E95">
        <v>0</v>
      </c>
      <c r="F95" t="s">
        <v>0</v>
      </c>
      <c r="G95" t="str" cm="1">
        <f t="array" ref="G95" xml:space="preserve"> FindCountryName(F95)</f>
        <v>None</v>
      </c>
      <c r="H95" s="1">
        <v>45343.258414351854</v>
      </c>
      <c r="I95" s="1">
        <v>45343.258414351854</v>
      </c>
      <c r="J95" s="1">
        <v>42752.510983796295</v>
      </c>
      <c r="K95" cm="1">
        <f t="array" ref="K95" xml:space="preserve"> sentimentCalc(C95)</f>
        <v>0</v>
      </c>
      <c r="L95" t="str" cm="1">
        <f t="array" ref="L95" xml:space="preserve"> sentimentCategory(K95)</f>
        <v>Neutral</v>
      </c>
    </row>
    <row r="96" spans="1:12">
      <c r="A96" t="s">
        <v>830</v>
      </c>
      <c r="B96" t="s">
        <v>4524</v>
      </c>
      <c r="C96" t="str" cm="1">
        <f t="array" ref="C96" xml:space="preserve"> CleanText(B96)</f>
        <v>my favorite show ever i really hope thi isnt like the other one lol i also hope its true to the story of the show because that is such a good story also i dont really think the characters look very similar to the animated series but hopefully theyll play the parts very well thsi is gonna be awesome</v>
      </c>
      <c r="D96">
        <v>0</v>
      </c>
      <c r="E96">
        <v>0</v>
      </c>
      <c r="F96" t="s">
        <v>0</v>
      </c>
      <c r="G96" t="str" cm="1">
        <f t="array" ref="G96" xml:space="preserve"> FindCountryName(F96)</f>
        <v>None</v>
      </c>
      <c r="H96" s="1">
        <v>45342.930138888885</v>
      </c>
      <c r="I96" s="1">
        <v>45342.930138888885</v>
      </c>
      <c r="J96" s="1">
        <v>42806.855833333335</v>
      </c>
      <c r="K96" cm="1">
        <f t="array" ref="K96" xml:space="preserve"> sentimentCalc(C96)</f>
        <v>19</v>
      </c>
      <c r="L96" t="str" cm="1">
        <f t="array" ref="L96" xml:space="preserve"> sentimentCategory(K96)</f>
        <v>Positive</v>
      </c>
    </row>
    <row r="97" spans="1:12">
      <c r="A97" t="s">
        <v>4523</v>
      </c>
      <c r="B97" t="s">
        <v>4522</v>
      </c>
      <c r="C97" t="str" cm="1">
        <f t="array" ref="C97" xml:space="preserve"> CleanText(B97)</f>
        <v>please be good</v>
      </c>
      <c r="D97">
        <v>0</v>
      </c>
      <c r="E97">
        <v>2</v>
      </c>
      <c r="F97" t="s">
        <v>0</v>
      </c>
      <c r="G97" t="str" cm="1">
        <f t="array" ref="G97" xml:space="preserve"> FindCountryName(F97)</f>
        <v>None</v>
      </c>
      <c r="H97" s="1">
        <v>45342.526250000003</v>
      </c>
      <c r="I97" s="1">
        <v>45342.526250000003</v>
      </c>
      <c r="J97" s="1">
        <v>39160.904722222222</v>
      </c>
      <c r="K97" cm="1">
        <f t="array" ref="K97" xml:space="preserve"> sentimentCalc(C97)</f>
        <v>4</v>
      </c>
      <c r="L97" t="str" cm="1">
        <f t="array" ref="L97" xml:space="preserve"> sentimentCategory(K97)</f>
        <v>Positive</v>
      </c>
    </row>
    <row r="98" spans="1:12">
      <c r="A98" t="s">
        <v>56</v>
      </c>
      <c r="B98" t="s">
        <v>4521</v>
      </c>
      <c r="C98" t="str" cm="1">
        <f t="array" ref="C98" xml:space="preserve"> CleanText(B98)</f>
        <v>last  days guys</v>
      </c>
      <c r="D98">
        <v>1</v>
      </c>
      <c r="E98">
        <v>0</v>
      </c>
      <c r="F98" t="s">
        <v>0</v>
      </c>
      <c r="G98" t="str" cm="1">
        <f t="array" ref="G98" xml:space="preserve"> FindCountryName(F98)</f>
        <v>None</v>
      </c>
      <c r="H98" s="1">
        <v>45342.313310185185</v>
      </c>
      <c r="I98" s="1">
        <v>45342.313310185185</v>
      </c>
      <c r="J98" s="1">
        <v>43324.331932870373</v>
      </c>
      <c r="K98" cm="1">
        <f t="array" ref="K98" xml:space="preserve"> sentimentCalc(C98)</f>
        <v>0</v>
      </c>
      <c r="L98" t="str" cm="1">
        <f t="array" ref="L98" xml:space="preserve"> sentimentCategory(K98)</f>
        <v>Neutral</v>
      </c>
    </row>
    <row r="99" spans="1:12">
      <c r="A99" t="s">
        <v>1762</v>
      </c>
      <c r="B99" t="s">
        <v>4520</v>
      </c>
      <c r="C99" t="str" cm="1">
        <f t="array" ref="C99" xml:space="preserve"> CleanText(B99)</f>
        <v>keren abis</v>
      </c>
      <c r="D99">
        <v>0</v>
      </c>
      <c r="E99">
        <v>0</v>
      </c>
      <c r="F99" t="s">
        <v>0</v>
      </c>
      <c r="G99" t="str" cm="1">
        <f t="array" ref="G99" xml:space="preserve"> FindCountryName(F99)</f>
        <v>None</v>
      </c>
      <c r="H99" s="1">
        <v>45342.306643518517</v>
      </c>
      <c r="I99" s="1">
        <v>45342.306643518517</v>
      </c>
      <c r="J99" s="1">
        <v>44125.045370370368</v>
      </c>
      <c r="K99" cm="1">
        <f t="array" ref="K99" xml:space="preserve"> sentimentCalc(C99)</f>
        <v>0</v>
      </c>
      <c r="L99" t="str" cm="1">
        <f t="array" ref="L99" xml:space="preserve"> sentimentCategory(K99)</f>
        <v>Neutral</v>
      </c>
    </row>
    <row r="100" spans="1:12">
      <c r="A100" t="s">
        <v>2649</v>
      </c>
      <c r="B100" t="s">
        <v>4519</v>
      </c>
      <c r="C100" t="str" cm="1">
        <f t="array" ref="C100" xml:space="preserve"> CleanText(B100)</f>
        <v>man its like a childhood dream come true and because the trailer itself is better than the previous movie im really hyped</v>
      </c>
      <c r="D100">
        <v>0</v>
      </c>
      <c r="E100">
        <v>0</v>
      </c>
      <c r="F100" t="s">
        <v>0</v>
      </c>
      <c r="G100" t="str" cm="1">
        <f t="array" ref="G100" xml:space="preserve"> FindCountryName(F100)</f>
        <v>None</v>
      </c>
      <c r="H100" s="1">
        <v>45342.184398148151</v>
      </c>
      <c r="I100" s="1">
        <v>45342.184398148151</v>
      </c>
      <c r="J100" s="1">
        <v>43931.287974537037</v>
      </c>
      <c r="K100" cm="1">
        <f t="array" ref="K100" xml:space="preserve"> sentimentCalc(C100)</f>
        <v>7</v>
      </c>
      <c r="L100" t="str" cm="1">
        <f t="array" ref="L100" xml:space="preserve"> sentimentCategory(K100)</f>
        <v>Positive</v>
      </c>
    </row>
    <row r="101" spans="1:12">
      <c r="A101" t="s">
        <v>1565</v>
      </c>
      <c r="B101" t="s">
        <v>4518</v>
      </c>
      <c r="C101" t="str" cm="1">
        <f t="array" ref="C101" xml:space="preserve"> CleanText(B101)</f>
        <v>hopefully it succeeds unlike the last live action one</v>
      </c>
      <c r="D101">
        <v>0</v>
      </c>
      <c r="E101">
        <v>0</v>
      </c>
      <c r="F101" t="s">
        <v>0</v>
      </c>
      <c r="G101" t="str" cm="1">
        <f t="array" ref="G101" xml:space="preserve"> FindCountryName(F101)</f>
        <v>None</v>
      </c>
      <c r="H101" s="1">
        <v>45341.484386574077</v>
      </c>
      <c r="I101" s="1">
        <v>45341.484386574077</v>
      </c>
      <c r="J101" s="1">
        <v>42809.660810185182</v>
      </c>
      <c r="K101" cm="1">
        <f t="array" ref="K101" xml:space="preserve"> sentimentCalc(C101)</f>
        <v>2</v>
      </c>
      <c r="L101" t="str" cm="1">
        <f t="array" ref="L101" xml:space="preserve"> sentimentCategory(K101)</f>
        <v>Positive</v>
      </c>
    </row>
    <row r="102" spans="1:12">
      <c r="A102" t="s">
        <v>2210</v>
      </c>
      <c r="B102" t="s">
        <v>4517</v>
      </c>
      <c r="C102" t="str" cm="1">
        <f t="array" ref="C102" xml:space="preserve"> CleanText(B102)</f>
        <v>finally</v>
      </c>
      <c r="D102">
        <v>2</v>
      </c>
      <c r="E102">
        <v>0</v>
      </c>
      <c r="F102" t="s">
        <v>0</v>
      </c>
      <c r="G102" t="str" cm="1">
        <f t="array" ref="G102" xml:space="preserve"> FindCountryName(F102)</f>
        <v>None</v>
      </c>
      <c r="H102" s="1">
        <v>45341.440706018519</v>
      </c>
      <c r="I102" s="1">
        <v>45341.440706018519</v>
      </c>
      <c r="J102" s="1">
        <v>43302.685960648145</v>
      </c>
      <c r="K102" cm="1">
        <f t="array" ref="K102" xml:space="preserve"> sentimentCalc(C102)</f>
        <v>0</v>
      </c>
      <c r="L102" t="str" cm="1">
        <f t="array" ref="L102" xml:space="preserve"> sentimentCategory(K102)</f>
        <v>Neutral</v>
      </c>
    </row>
    <row r="103" spans="1:12">
      <c r="A103" t="s">
        <v>225</v>
      </c>
      <c r="B103" t="s">
        <v>4516</v>
      </c>
      <c r="C103" t="str" cm="1">
        <f t="array" ref="C103" xml:space="preserve"> CleanText(B103)</f>
        <v>just wacth part  of this get cancelled</v>
      </c>
      <c r="D103">
        <v>0</v>
      </c>
      <c r="E103">
        <v>0</v>
      </c>
      <c r="F103" t="s">
        <v>0</v>
      </c>
      <c r="G103" t="str" cm="1">
        <f t="array" ref="G103" xml:space="preserve"> FindCountryName(F103)</f>
        <v>None</v>
      </c>
      <c r="H103" s="1">
        <v>45340.619641203702</v>
      </c>
      <c r="I103" s="1">
        <v>45340.619641203702</v>
      </c>
      <c r="J103" s="1">
        <v>44157.441620370373</v>
      </c>
      <c r="K103" cm="1">
        <f t="array" ref="K103" xml:space="preserve"> sentimentCalc(C103)</f>
        <v>-1</v>
      </c>
      <c r="L103" t="str" cm="1">
        <f t="array" ref="L103" xml:space="preserve"> sentimentCategory(K103)</f>
        <v>Negative</v>
      </c>
    </row>
    <row r="104" spans="1:12">
      <c r="A104" t="s">
        <v>4515</v>
      </c>
      <c r="B104" t="s">
        <v>4514</v>
      </c>
      <c r="C104" t="str" cm="1">
        <f t="array" ref="C104" xml:space="preserve"> CleanText(B104)</f>
        <v>apa look skinny</v>
      </c>
      <c r="D104">
        <v>0</v>
      </c>
      <c r="E104">
        <v>0</v>
      </c>
      <c r="F104" t="s">
        <v>0</v>
      </c>
      <c r="G104" t="str" cm="1">
        <f t="array" ref="G104" xml:space="preserve"> FindCountryName(F104)</f>
        <v>None</v>
      </c>
      <c r="H104" s="1">
        <v>45340.575613425928</v>
      </c>
      <c r="I104" s="1">
        <v>45340.575613425928</v>
      </c>
      <c r="J104" s="1">
        <v>43859.339120370372</v>
      </c>
      <c r="K104" cm="1">
        <f t="array" ref="K104" xml:space="preserve"> sentimentCalc(C104)</f>
        <v>0</v>
      </c>
      <c r="L104" t="str" cm="1">
        <f t="array" ref="L104" xml:space="preserve"> sentimentCategory(K104)</f>
        <v>Neutral</v>
      </c>
    </row>
    <row r="105" spans="1:12">
      <c r="A105" t="s">
        <v>4513</v>
      </c>
      <c r="B105" t="s">
        <v>4512</v>
      </c>
      <c r="C105" t="str" cm="1">
        <f t="array" ref="C105" xml:space="preserve"> CleanText(B105)</f>
        <v>please put it on the big screen so it reaches more audiences</v>
      </c>
      <c r="D105">
        <v>0</v>
      </c>
      <c r="E105">
        <v>0</v>
      </c>
      <c r="F105" t="s">
        <v>0</v>
      </c>
      <c r="G105" t="str" cm="1">
        <f t="array" ref="G105" xml:space="preserve"> FindCountryName(F105)</f>
        <v>None</v>
      </c>
      <c r="H105" s="1">
        <v>45340.266909722224</v>
      </c>
      <c r="I105" s="1">
        <v>45340.266909722224</v>
      </c>
      <c r="J105" s="1">
        <v>45136.156458333331</v>
      </c>
      <c r="K105" cm="1">
        <f t="array" ref="K105" xml:space="preserve"> sentimentCalc(C105)</f>
        <v>3</v>
      </c>
      <c r="L105" t="str" cm="1">
        <f t="array" ref="L105" xml:space="preserve"> sentimentCategory(K105)</f>
        <v>Positive</v>
      </c>
    </row>
    <row r="106" spans="1:12">
      <c r="A106" t="s">
        <v>4511</v>
      </c>
      <c r="B106" t="s">
        <v>4510</v>
      </c>
      <c r="C106" t="str" cm="1">
        <f t="array" ref="C106" xml:space="preserve"> CleanText(B106)</f>
        <v>grnt ve ses asndan mkemmel bir film olmus</v>
      </c>
      <c r="D106">
        <v>1</v>
      </c>
      <c r="E106">
        <v>1</v>
      </c>
      <c r="F106" t="s">
        <v>0</v>
      </c>
      <c r="G106" t="str" cm="1">
        <f t="array" ref="G106" xml:space="preserve"> FindCountryName(F106)</f>
        <v>None</v>
      </c>
      <c r="H106" s="1">
        <v>45340.2497337963</v>
      </c>
      <c r="I106" s="1">
        <v>45340.2497337963</v>
      </c>
      <c r="J106" s="1">
        <v>45339.352858796294</v>
      </c>
      <c r="K106" cm="1">
        <f t="array" ref="K106" xml:space="preserve"> sentimentCalc(C106)</f>
        <v>0</v>
      </c>
      <c r="L106" t="str" cm="1">
        <f t="array" ref="L106" xml:space="preserve"> sentimentCategory(K106)</f>
        <v>Neutral</v>
      </c>
    </row>
    <row r="107" spans="1:12">
      <c r="A107" t="s">
        <v>144</v>
      </c>
      <c r="B107" t="s">
        <v>4509</v>
      </c>
      <c r="C107" t="str" cm="1">
        <f t="array" ref="C107" xml:space="preserve"> CleanText(B107)</f>
        <v>бщ       й      г n</v>
      </c>
      <c r="D107">
        <v>0</v>
      </c>
      <c r="E107">
        <v>0</v>
      </c>
      <c r="F107" t="s">
        <v>0</v>
      </c>
      <c r="G107" t="str" cm="1">
        <f t="array" ref="G107" xml:space="preserve"> FindCountryName(F107)</f>
        <v>None</v>
      </c>
      <c r="H107" s="1">
        <v>45340.194837962961</v>
      </c>
      <c r="I107" s="1">
        <v>45340.194837962961</v>
      </c>
      <c r="J107" s="1">
        <v>41567.463877314818</v>
      </c>
      <c r="K107" cm="1">
        <f t="array" ref="K107" xml:space="preserve"> sentimentCalc(C107)</f>
        <v>0</v>
      </c>
      <c r="L107" t="str" cm="1">
        <f t="array" ref="L107" xml:space="preserve"> sentimentCategory(K107)</f>
        <v>Neutral</v>
      </c>
    </row>
    <row r="108" spans="1:12">
      <c r="A108" t="s">
        <v>865</v>
      </c>
      <c r="B108" t="s">
        <v>4508</v>
      </c>
      <c r="C108" t="str" cm="1">
        <f t="array" ref="C108" xml:space="preserve"> CleanText(B108)</f>
        <v>bleh i still think that u shouldnt mess with perfection why cant you just leave the animated series as it is  this is like completely remaking lord of the rings totally stupid you hit gold the first time youll most likely just taint its reputation if you try to do it again theyre only doing it for money</v>
      </c>
      <c r="D108">
        <v>0</v>
      </c>
      <c r="E108">
        <v>1</v>
      </c>
      <c r="F108" t="s">
        <v>0</v>
      </c>
      <c r="G108" t="str" cm="1">
        <f t="array" ref="G108" xml:space="preserve"> FindCountryName(F108)</f>
        <v>None</v>
      </c>
      <c r="H108" s="1">
        <v>45339.863865740743</v>
      </c>
      <c r="I108" s="1">
        <v>45339.86446759259</v>
      </c>
      <c r="J108" s="1">
        <v>44233.328229166669</v>
      </c>
      <c r="K108" cm="1">
        <f t="array" ref="K108" xml:space="preserve"> sentimentCalc(C108)</f>
        <v>-3</v>
      </c>
      <c r="L108" t="str" cm="1">
        <f t="array" ref="L108" xml:space="preserve"> sentimentCategory(K108)</f>
        <v>Negative</v>
      </c>
    </row>
    <row r="109" spans="1:12">
      <c r="A109" t="s">
        <v>2044</v>
      </c>
      <c r="B109" t="s">
        <v>4507</v>
      </c>
      <c r="C109" t="str" cm="1">
        <f t="array" ref="C109" xml:space="preserve"> CleanText(B109)</f>
        <v>we sure aang aint a trans girl</v>
      </c>
      <c r="D109">
        <v>0</v>
      </c>
      <c r="E109">
        <v>0</v>
      </c>
      <c r="F109" t="s">
        <v>0</v>
      </c>
      <c r="G109" t="str" cm="1">
        <f t="array" ref="G109" xml:space="preserve"> FindCountryName(F109)</f>
        <v>None</v>
      </c>
      <c r="H109" s="1">
        <v>45339.613518518519</v>
      </c>
      <c r="I109" s="1">
        <v>45339.613518518519</v>
      </c>
      <c r="J109" s="1">
        <v>43094.451458333337</v>
      </c>
      <c r="K109" cm="1">
        <f t="array" ref="K109" xml:space="preserve"> sentimentCalc(C109)</f>
        <v>0</v>
      </c>
      <c r="L109" t="str" cm="1">
        <f t="array" ref="L109" xml:space="preserve"> sentimentCategory(K109)</f>
        <v>Neutral</v>
      </c>
    </row>
    <row r="110" spans="1:12">
      <c r="A110" t="s">
        <v>2385</v>
      </c>
      <c r="B110" t="s">
        <v>4067</v>
      </c>
      <c r="C110" t="str" cm="1">
        <f t="array" ref="C110" xml:space="preserve"> CleanText(B110)</f>
        <v>ok gzel</v>
      </c>
      <c r="D110">
        <v>0</v>
      </c>
      <c r="E110">
        <v>0</v>
      </c>
      <c r="F110" t="s">
        <v>0</v>
      </c>
      <c r="G110" t="str" cm="1">
        <f t="array" ref="G110" xml:space="preserve"> FindCountryName(F110)</f>
        <v>None</v>
      </c>
      <c r="H110" s="1">
        <v>45339.522037037037</v>
      </c>
      <c r="I110" s="1">
        <v>45339.522037037037</v>
      </c>
      <c r="J110" s="1">
        <v>44586.439629629633</v>
      </c>
      <c r="K110" cm="1">
        <f t="array" ref="K110" xml:space="preserve"> sentimentCalc(C110)</f>
        <v>0</v>
      </c>
      <c r="L110" t="str" cm="1">
        <f t="array" ref="L110" xml:space="preserve"> sentimentCategory(K110)</f>
        <v>Neutral</v>
      </c>
    </row>
    <row r="111" spans="1:12">
      <c r="A111" t="s">
        <v>494</v>
      </c>
      <c r="B111" t="s">
        <v>4506</v>
      </c>
      <c r="C111" t="str" cm="1">
        <f t="array" ref="C111" xml:space="preserve"> CleanText(B111)</f>
        <v>bu fragman bir efsaneee ok beendim</v>
      </c>
      <c r="D111">
        <v>0</v>
      </c>
      <c r="E111">
        <v>0</v>
      </c>
      <c r="F111" t="s">
        <v>0</v>
      </c>
      <c r="G111" t="str" cm="1">
        <f t="array" ref="G111" xml:space="preserve"> FindCountryName(F111)</f>
        <v>None</v>
      </c>
      <c r="H111" s="1">
        <v>45339.466469907406</v>
      </c>
      <c r="I111" s="1">
        <v>45339.466469907406</v>
      </c>
      <c r="J111" s="1">
        <v>44701.818287037036</v>
      </c>
      <c r="K111" cm="1">
        <f t="array" ref="K111" xml:space="preserve"> sentimentCalc(C111)</f>
        <v>0</v>
      </c>
      <c r="L111" t="str" cm="1">
        <f t="array" ref="L111" xml:space="preserve"> sentimentCategory(K111)</f>
        <v>Neutral</v>
      </c>
    </row>
    <row r="112" spans="1:12">
      <c r="A112" t="s">
        <v>494</v>
      </c>
      <c r="B112" t="s">
        <v>4506</v>
      </c>
      <c r="C112" t="str" cm="1">
        <f t="array" ref="C112" xml:space="preserve"> CleanText(B112)</f>
        <v>bu fragman bir efsaneee ok beendim</v>
      </c>
      <c r="D112">
        <v>0</v>
      </c>
      <c r="E112">
        <v>0</v>
      </c>
      <c r="F112" t="s">
        <v>0</v>
      </c>
      <c r="G112" t="str" cm="1">
        <f t="array" ref="G112" xml:space="preserve"> FindCountryName(F112)</f>
        <v>None</v>
      </c>
      <c r="H112" s="1">
        <v>45339.466412037036</v>
      </c>
      <c r="I112" s="1">
        <v>45339.466412037036</v>
      </c>
      <c r="J112" s="1">
        <v>44701.818287037036</v>
      </c>
      <c r="K112" cm="1">
        <f t="array" ref="K112" xml:space="preserve"> sentimentCalc(C112)</f>
        <v>0</v>
      </c>
      <c r="L112" t="str" cm="1">
        <f t="array" ref="L112" xml:space="preserve"> sentimentCategory(K112)</f>
        <v>Neutral</v>
      </c>
    </row>
    <row r="113" spans="1:12">
      <c r="A113" t="s">
        <v>796</v>
      </c>
      <c r="B113" t="s">
        <v>4505</v>
      </c>
      <c r="C113" t="str" cm="1">
        <f t="array" ref="C113" xml:space="preserve"> CleanText(B113)</f>
        <v>efsane film kesinlikle izlemenizi tavsiye ederim</v>
      </c>
      <c r="D113">
        <v>0</v>
      </c>
      <c r="E113">
        <v>1</v>
      </c>
      <c r="F113" t="s">
        <v>0</v>
      </c>
      <c r="G113" t="str" cm="1">
        <f t="array" ref="G113" xml:space="preserve"> FindCountryName(F113)</f>
        <v>None</v>
      </c>
      <c r="H113" s="1">
        <v>45339.460752314815</v>
      </c>
      <c r="I113" s="1">
        <v>45339.460752314815</v>
      </c>
      <c r="J113" s="1">
        <v>41358.556377314817</v>
      </c>
      <c r="K113" cm="1">
        <f t="array" ref="K113" xml:space="preserve"> sentimentCalc(C113)</f>
        <v>0</v>
      </c>
      <c r="L113" t="str" cm="1">
        <f t="array" ref="L113" xml:space="preserve"> sentimentCategory(K113)</f>
        <v>Neutral</v>
      </c>
    </row>
    <row r="114" spans="1:12">
      <c r="A114" t="s">
        <v>291</v>
      </c>
      <c r="B114" t="s">
        <v>4504</v>
      </c>
      <c r="C114" t="str" cm="1">
        <f t="array" ref="C114" xml:space="preserve"> CleanText(B114)</f>
        <v>film ar iyi herkese tavsiye ederim</v>
      </c>
      <c r="D114">
        <v>0</v>
      </c>
      <c r="E114">
        <v>1</v>
      </c>
      <c r="F114" t="s">
        <v>0</v>
      </c>
      <c r="G114" t="str" cm="1">
        <f t="array" ref="G114" xml:space="preserve"> FindCountryName(F114)</f>
        <v>None</v>
      </c>
      <c r="H114" s="1">
        <v>45339.443749999999</v>
      </c>
      <c r="I114" s="1">
        <v>45339.443749999999</v>
      </c>
      <c r="J114" s="1">
        <v>42867.689016203702</v>
      </c>
      <c r="K114" cm="1">
        <f t="array" ref="K114" xml:space="preserve"> sentimentCalc(C114)</f>
        <v>0</v>
      </c>
      <c r="L114" t="str" cm="1">
        <f t="array" ref="L114" xml:space="preserve"> sentimentCategory(K114)</f>
        <v>Neutral</v>
      </c>
    </row>
    <row r="115" spans="1:12">
      <c r="A115" t="s">
        <v>661</v>
      </c>
      <c r="B115" t="s">
        <v>4503</v>
      </c>
      <c r="C115" t="str" cm="1">
        <f t="array" ref="C115" xml:space="preserve"> CleanText(B115)</f>
        <v>kjafsjlkjsaskjlfjk</v>
      </c>
      <c r="D115">
        <v>0</v>
      </c>
      <c r="E115">
        <v>0</v>
      </c>
      <c r="F115" t="s">
        <v>0</v>
      </c>
      <c r="G115" t="str" cm="1">
        <f t="array" ref="G115" xml:space="preserve"> FindCountryName(F115)</f>
        <v>None</v>
      </c>
      <c r="H115" s="1">
        <v>45339.434930555559</v>
      </c>
      <c r="I115" s="1">
        <v>45339.434930555559</v>
      </c>
      <c r="J115" s="1">
        <v>43840.614247685182</v>
      </c>
      <c r="K115" cm="1">
        <f t="array" ref="K115" xml:space="preserve"> sentimentCalc(C115)</f>
        <v>0</v>
      </c>
      <c r="L115" t="str" cm="1">
        <f t="array" ref="L115" xml:space="preserve"> sentimentCategory(K115)</f>
        <v>Neutral</v>
      </c>
    </row>
    <row r="116" spans="1:12">
      <c r="A116" t="s">
        <v>1432</v>
      </c>
      <c r="B116" t="s">
        <v>4502</v>
      </c>
      <c r="C116" t="str" cm="1">
        <f t="array" ref="C116" xml:space="preserve"> CleanText(B116)</f>
        <v>grdgm en iyi animasyon filmi</v>
      </c>
      <c r="D116">
        <v>0</v>
      </c>
      <c r="E116">
        <v>1</v>
      </c>
      <c r="F116" t="s">
        <v>0</v>
      </c>
      <c r="G116" t="str" cm="1">
        <f t="array" ref="G116" xml:space="preserve"> FindCountryName(F116)</f>
        <v>None</v>
      </c>
      <c r="H116" s="1">
        <v>45339.413043981483</v>
      </c>
      <c r="I116" s="1">
        <v>45339.413043981483</v>
      </c>
      <c r="J116" s="1">
        <v>43161.043553240743</v>
      </c>
      <c r="K116" cm="1">
        <f t="array" ref="K116" xml:space="preserve"> sentimentCalc(C116)</f>
        <v>0</v>
      </c>
      <c r="L116" t="str" cm="1">
        <f t="array" ref="L116" xml:space="preserve"> sentimentCategory(K116)</f>
        <v>Neutral</v>
      </c>
    </row>
    <row r="117" spans="1:12">
      <c r="A117" t="s">
        <v>317</v>
      </c>
      <c r="B117" t="s">
        <v>4501</v>
      </c>
      <c r="C117" t="str" cm="1">
        <f t="array" ref="C117" xml:space="preserve"> CleanText(B117)</f>
        <v>if you can bend gravity you can bend time_xDD2F_</v>
      </c>
      <c r="D117">
        <v>0</v>
      </c>
      <c r="E117">
        <v>0</v>
      </c>
      <c r="F117" t="s">
        <v>0</v>
      </c>
      <c r="G117" t="str" cm="1">
        <f t="array" ref="G117" xml:space="preserve"> FindCountryName(F117)</f>
        <v>None</v>
      </c>
      <c r="H117" s="1">
        <v>45339.408518518518</v>
      </c>
      <c r="I117" s="1">
        <v>45339.408518518518</v>
      </c>
      <c r="J117" s="1">
        <v>44173.896527777775</v>
      </c>
      <c r="K117" cm="1">
        <f t="array" ref="K117" xml:space="preserve"> sentimentCalc(C117)</f>
        <v>0</v>
      </c>
      <c r="L117" t="str" cm="1">
        <f t="array" ref="L117" xml:space="preserve"> sentimentCategory(K117)</f>
        <v>Neutral</v>
      </c>
    </row>
    <row r="118" spans="1:12">
      <c r="A118" t="s">
        <v>2639</v>
      </c>
      <c r="B118" t="s">
        <v>4500</v>
      </c>
      <c r="C118" t="str" cm="1">
        <f t="array" ref="C118" xml:space="preserve"> CleanText(B118)</f>
        <v>omg finally cant wait to watch this</v>
      </c>
      <c r="D118">
        <v>0</v>
      </c>
      <c r="E118">
        <v>0</v>
      </c>
      <c r="F118" t="s">
        <v>0</v>
      </c>
      <c r="G118" t="str" cm="1">
        <f t="array" ref="G118" xml:space="preserve"> FindCountryName(F118)</f>
        <v>None</v>
      </c>
      <c r="H118" s="1">
        <v>45339.399131944447</v>
      </c>
      <c r="I118" s="1">
        <v>45339.399131944447</v>
      </c>
      <c r="J118" s="1">
        <v>43497.460486111115</v>
      </c>
      <c r="K118" cm="1">
        <f t="array" ref="K118" xml:space="preserve"> sentimentCalc(C118)</f>
        <v>0</v>
      </c>
      <c r="L118" t="str" cm="1">
        <f t="array" ref="L118" xml:space="preserve"> sentimentCategory(K118)</f>
        <v>Neutral</v>
      </c>
    </row>
    <row r="119" spans="1:12">
      <c r="A119" t="s">
        <v>4499</v>
      </c>
      <c r="B119" t="s">
        <v>4084</v>
      </c>
      <c r="C119" t="str" cm="1">
        <f t="array" ref="C119" xml:space="preserve"> CleanText(B119)</f>
        <v>gzel</v>
      </c>
      <c r="D119">
        <v>0</v>
      </c>
      <c r="E119">
        <v>1</v>
      </c>
      <c r="F119" t="s">
        <v>0</v>
      </c>
      <c r="G119" t="str" cm="1">
        <f t="array" ref="G119" xml:space="preserve"> FindCountryName(F119)</f>
        <v>None</v>
      </c>
      <c r="H119" s="1">
        <v>45339.387465277781</v>
      </c>
      <c r="I119" s="1">
        <v>45339.387465277781</v>
      </c>
      <c r="J119" s="1">
        <v>42939.244212962964</v>
      </c>
      <c r="K119" cm="1">
        <f t="array" ref="K119" xml:space="preserve"> sentimentCalc(C119)</f>
        <v>0</v>
      </c>
      <c r="L119" t="str" cm="1">
        <f t="array" ref="L119" xml:space="preserve"> sentimentCategory(K119)</f>
        <v>Neutral</v>
      </c>
    </row>
    <row r="120" spans="1:12">
      <c r="A120" t="s">
        <v>1565</v>
      </c>
      <c r="B120" t="s">
        <v>4498</v>
      </c>
      <c r="C120" t="str" cm="1">
        <f t="array" ref="C120" xml:space="preserve"> CleanText(B120)</f>
        <v>ok iyi film bylesi yok tavsiye edilir</v>
      </c>
      <c r="D120">
        <v>0</v>
      </c>
      <c r="E120">
        <v>1</v>
      </c>
      <c r="F120" t="s">
        <v>0</v>
      </c>
      <c r="G120" t="str" cm="1">
        <f t="array" ref="G120" xml:space="preserve"> FindCountryName(F120)</f>
        <v>None</v>
      </c>
      <c r="H120" s="1">
        <v>45339.38</v>
      </c>
      <c r="I120" s="1">
        <v>45339.381342592591</v>
      </c>
      <c r="J120" s="1">
        <v>41536.219849537039</v>
      </c>
      <c r="K120" cm="1">
        <f t="array" ref="K120" xml:space="preserve"> sentimentCalc(C120)</f>
        <v>0</v>
      </c>
      <c r="L120" t="str" cm="1">
        <f t="array" ref="L120" xml:space="preserve"> sentimentCategory(K120)</f>
        <v>Neutral</v>
      </c>
    </row>
    <row r="121" spans="1:12">
      <c r="A121" t="s">
        <v>2863</v>
      </c>
      <c r="B121" t="s">
        <v>4497</v>
      </c>
      <c r="C121" t="str" cm="1">
        <f t="array" ref="C121" xml:space="preserve"> CleanText(B121)</f>
        <v>ok gzel film benziyor ilk iim bu filmi izlemek</v>
      </c>
      <c r="D121">
        <v>0</v>
      </c>
      <c r="E121">
        <v>1</v>
      </c>
      <c r="F121" t="s">
        <v>0</v>
      </c>
      <c r="G121" t="str" cm="1">
        <f t="array" ref="G121" xml:space="preserve"> FindCountryName(F121)</f>
        <v>None</v>
      </c>
      <c r="H121" s="1">
        <v>45339.379837962966</v>
      </c>
      <c r="I121" s="1">
        <v>45339.379837962966</v>
      </c>
      <c r="J121" s="1">
        <v>42999.435763888891</v>
      </c>
      <c r="K121" cm="1">
        <f t="array" ref="K121" xml:space="preserve"> sentimentCalc(C121)</f>
        <v>0</v>
      </c>
      <c r="L121" t="str" cm="1">
        <f t="array" ref="L121" xml:space="preserve"> sentimentCategory(K121)</f>
        <v>Neutral</v>
      </c>
    </row>
    <row r="122" spans="1:12">
      <c r="A122" t="s">
        <v>430</v>
      </c>
      <c r="B122" t="s">
        <v>4496</v>
      </c>
      <c r="C122" t="str" cm="1">
        <f t="array" ref="C122" xml:space="preserve"> CleanText(B122)</f>
        <v>kesinlikle nerilir</v>
      </c>
      <c r="D122">
        <v>1</v>
      </c>
      <c r="E122">
        <v>1</v>
      </c>
      <c r="F122" t="s">
        <v>0</v>
      </c>
      <c r="G122" t="str" cm="1">
        <f t="array" ref="G122" xml:space="preserve"> FindCountryName(F122)</f>
        <v>None</v>
      </c>
      <c r="H122" s="1">
        <v>45339.370659722219</v>
      </c>
      <c r="I122" s="1">
        <v>45339.370659722219</v>
      </c>
      <c r="J122" s="1">
        <v>45339.251631944448</v>
      </c>
      <c r="K122" cm="1">
        <f t="array" ref="K122" xml:space="preserve"> sentimentCalc(C122)</f>
        <v>0</v>
      </c>
      <c r="L122" t="str" cm="1">
        <f t="array" ref="L122" xml:space="preserve"> sentimentCategory(K122)</f>
        <v>Neutral</v>
      </c>
    </row>
    <row r="123" spans="1:12">
      <c r="A123" t="s">
        <v>4495</v>
      </c>
      <c r="B123" t="s">
        <v>4494</v>
      </c>
      <c r="C123" t="str" cm="1">
        <f t="array" ref="C123" xml:space="preserve"> CleanText(B123)</f>
        <v>dndmden ok daha gzel ve cezbedici bir tantm olmu _xD83D_</v>
      </c>
      <c r="D123">
        <v>0</v>
      </c>
      <c r="E123">
        <v>1</v>
      </c>
      <c r="F123" t="s">
        <v>0</v>
      </c>
      <c r="G123" t="str" cm="1">
        <f t="array" ref="G123" xml:space="preserve"> FindCountryName(F123)</f>
        <v>None</v>
      </c>
      <c r="H123" s="1">
        <v>45339.370555555557</v>
      </c>
      <c r="I123" s="1">
        <v>45339.370555555557</v>
      </c>
      <c r="J123" s="1">
        <v>43459.605555555558</v>
      </c>
      <c r="K123" cm="1">
        <f t="array" ref="K123" xml:space="preserve"> sentimentCalc(C123)</f>
        <v>0</v>
      </c>
      <c r="L123" t="str" cm="1">
        <f t="array" ref="L123" xml:space="preserve"> sentimentCategory(K123)</f>
        <v>Neutral</v>
      </c>
    </row>
    <row r="124" spans="1:12">
      <c r="A124" t="s">
        <v>223</v>
      </c>
      <c r="B124" t="s">
        <v>4493</v>
      </c>
      <c r="C124" t="str" cm="1">
        <f t="array" ref="C124" xml:space="preserve"> CleanText(B124)</f>
        <v>ok gzel bi film</v>
      </c>
      <c r="D124">
        <v>0</v>
      </c>
      <c r="E124">
        <v>0</v>
      </c>
      <c r="F124" t="s">
        <v>0</v>
      </c>
      <c r="G124" t="str" cm="1">
        <f t="array" ref="G124" xml:space="preserve"> FindCountryName(F124)</f>
        <v>None</v>
      </c>
      <c r="H124" s="1">
        <v>45339.366863425923</v>
      </c>
      <c r="I124" s="1">
        <v>45339.366863425923</v>
      </c>
      <c r="J124" s="1">
        <v>44649.613611111112</v>
      </c>
      <c r="K124" cm="1">
        <f t="array" ref="K124" xml:space="preserve"> sentimentCalc(C124)</f>
        <v>0</v>
      </c>
      <c r="L124" t="str" cm="1">
        <f t="array" ref="L124" xml:space="preserve"> sentimentCategory(K124)</f>
        <v>Neutral</v>
      </c>
    </row>
    <row r="125" spans="1:12">
      <c r="A125" t="s">
        <v>223</v>
      </c>
      <c r="B125" t="s">
        <v>4492</v>
      </c>
      <c r="C125" t="str" cm="1">
        <f t="array" ref="C125" xml:space="preserve"> CleanText(B125)</f>
        <v>ok gzel bi film defalarca kez izledim</v>
      </c>
      <c r="D125">
        <v>0</v>
      </c>
      <c r="E125">
        <v>2</v>
      </c>
      <c r="F125" t="s">
        <v>0</v>
      </c>
      <c r="G125" t="str" cm="1">
        <f t="array" ref="G125" xml:space="preserve"> FindCountryName(F125)</f>
        <v>None</v>
      </c>
      <c r="H125" s="1">
        <v>45339.366122685184</v>
      </c>
      <c r="I125" s="1">
        <v>45339.366122685184</v>
      </c>
      <c r="J125" s="1">
        <v>44649.613611111112</v>
      </c>
      <c r="K125" cm="1">
        <f t="array" ref="K125" xml:space="preserve"> sentimentCalc(C125)</f>
        <v>0</v>
      </c>
      <c r="L125" t="str" cm="1">
        <f t="array" ref="L125" xml:space="preserve"> sentimentCategory(K125)</f>
        <v>Neutral</v>
      </c>
    </row>
    <row r="126" spans="1:12">
      <c r="A126" t="s">
        <v>730</v>
      </c>
      <c r="B126" t="s">
        <v>4491</v>
      </c>
      <c r="C126" t="str" cm="1">
        <f t="array" ref="C126" xml:space="preserve"> CleanText(B126)</f>
        <v>tek kelimeyle muhteem</v>
      </c>
      <c r="D126">
        <v>0</v>
      </c>
      <c r="E126">
        <v>0</v>
      </c>
      <c r="F126" t="s">
        <v>0</v>
      </c>
      <c r="G126" t="str" cm="1">
        <f t="array" ref="G126" xml:space="preserve"> FindCountryName(F126)</f>
        <v>None</v>
      </c>
      <c r="H126" s="1">
        <v>45339.358124999999</v>
      </c>
      <c r="I126" s="1">
        <v>45339.358124999999</v>
      </c>
      <c r="J126" s="1">
        <v>44399.487534722219</v>
      </c>
      <c r="K126" cm="1">
        <f t="array" ref="K126" xml:space="preserve"> sentimentCalc(C126)</f>
        <v>0</v>
      </c>
      <c r="L126" t="str" cm="1">
        <f t="array" ref="L126" xml:space="preserve"> sentimentCategory(K126)</f>
        <v>Neutral</v>
      </c>
    </row>
    <row r="127" spans="1:12">
      <c r="A127" t="s">
        <v>730</v>
      </c>
      <c r="B127" t="s">
        <v>4490</v>
      </c>
      <c r="C127" t="str" cm="1">
        <f t="array" ref="C127" xml:space="preserve"> CleanText(B127)</f>
        <v>ok eylenceli ve aksiyon dolu gzel filim</v>
      </c>
      <c r="D127">
        <v>0</v>
      </c>
      <c r="E127">
        <v>1</v>
      </c>
      <c r="F127" t="s">
        <v>0</v>
      </c>
      <c r="G127" t="str" cm="1">
        <f t="array" ref="G127" xml:space="preserve"> FindCountryName(F127)</f>
        <v>None</v>
      </c>
      <c r="H127" s="1">
        <v>45339.357974537037</v>
      </c>
      <c r="I127" s="1">
        <v>45339.357974537037</v>
      </c>
      <c r="J127" s="1">
        <v>44399.487534722219</v>
      </c>
      <c r="K127" cm="1">
        <f t="array" ref="K127" xml:space="preserve"> sentimentCalc(C127)</f>
        <v>0</v>
      </c>
      <c r="L127" t="str" cm="1">
        <f t="array" ref="L127" xml:space="preserve"> sentimentCategory(K127)</f>
        <v>Neutral</v>
      </c>
    </row>
    <row r="128" spans="1:12">
      <c r="A128" t="s">
        <v>730</v>
      </c>
      <c r="B128" t="s">
        <v>4489</v>
      </c>
      <c r="C128" t="str" cm="1">
        <f t="array" ref="C128" xml:space="preserve"> CleanText(B128)</f>
        <v>muhteem bir filim karmayn derim</v>
      </c>
      <c r="D128">
        <v>0</v>
      </c>
      <c r="E128">
        <v>0</v>
      </c>
      <c r="F128" t="s">
        <v>0</v>
      </c>
      <c r="G128" t="str" cm="1">
        <f t="array" ref="G128" xml:space="preserve"> FindCountryName(F128)</f>
        <v>None</v>
      </c>
      <c r="H128" s="1">
        <v>45339.357523148145</v>
      </c>
      <c r="I128" s="1">
        <v>45339.357523148145</v>
      </c>
      <c r="J128" s="1">
        <v>44399.487534722219</v>
      </c>
      <c r="K128" cm="1">
        <f t="array" ref="K128" xml:space="preserve"> sentimentCalc(C128)</f>
        <v>0</v>
      </c>
      <c r="L128" t="str" cm="1">
        <f t="array" ref="L128" xml:space="preserve"> sentimentCategory(K128)</f>
        <v>Neutral</v>
      </c>
    </row>
    <row r="129" spans="1:12">
      <c r="A129" t="s">
        <v>490</v>
      </c>
      <c r="B129" t="s">
        <v>4488</v>
      </c>
      <c r="C129" t="str" cm="1">
        <f t="array" ref="C129" xml:space="preserve"> CleanText(B129)</f>
        <v>gzel bir alşma olduu kanaatindeyim</v>
      </c>
      <c r="D129">
        <v>0</v>
      </c>
      <c r="E129">
        <v>1</v>
      </c>
      <c r="F129" t="s">
        <v>0</v>
      </c>
      <c r="G129" t="str" cm="1">
        <f t="array" ref="G129" xml:space="preserve"> FindCountryName(F129)</f>
        <v>None</v>
      </c>
      <c r="H129" s="1">
        <v>45339.355185185188</v>
      </c>
      <c r="I129" s="1">
        <v>45339.355185185188</v>
      </c>
      <c r="J129" s="1">
        <v>45339.354398148149</v>
      </c>
      <c r="K129" cm="1">
        <f t="array" ref="K129" xml:space="preserve"> sentimentCalc(C129)</f>
        <v>0</v>
      </c>
      <c r="L129" t="str" cm="1">
        <f t="array" ref="L129" xml:space="preserve"> sentimentCategory(K129)</f>
        <v>Neutral</v>
      </c>
    </row>
    <row r="130" spans="1:12">
      <c r="A130" t="s">
        <v>1000</v>
      </c>
      <c r="B130" t="s">
        <v>4487</v>
      </c>
      <c r="C130" t="str" cm="1">
        <f t="array" ref="C130" xml:space="preserve"> CleanText(B130)</f>
        <v>cok elenceli mutlaka favorilerime ekleyecegim</v>
      </c>
      <c r="D130">
        <v>0</v>
      </c>
      <c r="E130">
        <v>1</v>
      </c>
      <c r="F130" t="s">
        <v>0</v>
      </c>
      <c r="G130" t="str" cm="1">
        <f t="array" ref="G130" xml:space="preserve"> FindCountryName(F130)</f>
        <v>None</v>
      </c>
      <c r="H130" s="1">
        <v>45339.348761574074</v>
      </c>
      <c r="I130" s="1">
        <v>45339.348761574074</v>
      </c>
      <c r="J130" s="1">
        <v>43496.518622685187</v>
      </c>
      <c r="K130" cm="1">
        <f t="array" ref="K130" xml:space="preserve"> sentimentCalc(C130)</f>
        <v>0</v>
      </c>
      <c r="L130" t="str" cm="1">
        <f t="array" ref="L130" xml:space="preserve"> sentimentCategory(K130)</f>
        <v>Neutral</v>
      </c>
    </row>
    <row r="131" spans="1:12">
      <c r="A131" t="s">
        <v>1565</v>
      </c>
      <c r="B131" t="s">
        <v>4486</v>
      </c>
      <c r="C131" t="str" cm="1">
        <f t="array" ref="C131" xml:space="preserve"> CleanText(B131)</f>
        <v>vvvb</v>
      </c>
      <c r="D131">
        <v>0</v>
      </c>
      <c r="E131">
        <v>0</v>
      </c>
      <c r="F131" t="s">
        <v>0</v>
      </c>
      <c r="G131" t="str" cm="1">
        <f t="array" ref="G131" xml:space="preserve"> FindCountryName(F131)</f>
        <v>None</v>
      </c>
      <c r="H131" s="1">
        <v>45339.344652777778</v>
      </c>
      <c r="I131" s="1">
        <v>45339.344652777778</v>
      </c>
      <c r="J131" s="1">
        <v>41536.219849537039</v>
      </c>
      <c r="K131" cm="1">
        <f t="array" ref="K131" xml:space="preserve"> sentimentCalc(C131)</f>
        <v>0</v>
      </c>
      <c r="L131" t="str" cm="1">
        <f t="array" ref="L131" xml:space="preserve"> sentimentCategory(K131)</f>
        <v>Neutral</v>
      </c>
    </row>
    <row r="132" spans="1:12">
      <c r="A132" t="s">
        <v>1185</v>
      </c>
      <c r="B132" t="s">
        <v>4306</v>
      </c>
      <c r="C132" t="str" cm="1">
        <f t="array" ref="C132" xml:space="preserve"> CleanText(B132)</f>
        <v>harika bir film</v>
      </c>
      <c r="D132">
        <v>0</v>
      </c>
      <c r="E132">
        <v>1</v>
      </c>
      <c r="F132" t="s">
        <v>0</v>
      </c>
      <c r="G132" t="str" cm="1">
        <f t="array" ref="G132" xml:space="preserve"> FindCountryName(F132)</f>
        <v>None</v>
      </c>
      <c r="H132" s="1">
        <v>45339.341446759259</v>
      </c>
      <c r="I132" s="1">
        <v>45339.341446759259</v>
      </c>
      <c r="J132" s="1">
        <v>42525.692847222221</v>
      </c>
      <c r="K132" cm="1">
        <f t="array" ref="K132" xml:space="preserve"> sentimentCalc(C132)</f>
        <v>0</v>
      </c>
      <c r="L132" t="str" cm="1">
        <f t="array" ref="L132" xml:space="preserve"> sentimentCategory(K132)</f>
        <v>Neutral</v>
      </c>
    </row>
    <row r="133" spans="1:12">
      <c r="A133" t="s">
        <v>1847</v>
      </c>
      <c r="B133" t="s">
        <v>4485</v>
      </c>
      <c r="C133" t="str" cm="1">
        <f t="array" ref="C133" xml:space="preserve"> CleanText(B133)</f>
        <v>film ok gzel grnyorkesinlikle izlemem gerek</v>
      </c>
      <c r="D133">
        <v>0</v>
      </c>
      <c r="E133">
        <v>1</v>
      </c>
      <c r="F133" t="s">
        <v>0</v>
      </c>
      <c r="G133" t="str" cm="1">
        <f t="array" ref="G133" xml:space="preserve"> FindCountryName(F133)</f>
        <v>None</v>
      </c>
      <c r="H133" s="1">
        <v>45339.341180555559</v>
      </c>
      <c r="I133" s="1">
        <v>45339.341180555559</v>
      </c>
      <c r="J133" s="1">
        <v>44976.500937500001</v>
      </c>
      <c r="K133" cm="1">
        <f t="array" ref="K133" xml:space="preserve"> sentimentCalc(C133)</f>
        <v>0</v>
      </c>
      <c r="L133" t="str" cm="1">
        <f t="array" ref="L133" xml:space="preserve"> sentimentCategory(K133)</f>
        <v>Neutral</v>
      </c>
    </row>
    <row r="134" spans="1:12">
      <c r="A134" t="s">
        <v>255</v>
      </c>
      <c r="B134" t="s">
        <v>4484</v>
      </c>
      <c r="C134" t="str" cm="1">
        <f t="array" ref="C134" xml:space="preserve"> CleanText(B134)</f>
        <v>mkemmel film hi karmam _xDE0A_</v>
      </c>
      <c r="D134">
        <v>0</v>
      </c>
      <c r="E134">
        <v>1</v>
      </c>
      <c r="F134" t="s">
        <v>0</v>
      </c>
      <c r="G134" t="str" cm="1">
        <f t="array" ref="G134" xml:space="preserve"> FindCountryName(F134)</f>
        <v>None</v>
      </c>
      <c r="H134" s="1">
        <v>45339.339537037034</v>
      </c>
      <c r="I134" s="1">
        <v>45339.339537037034</v>
      </c>
      <c r="J134" s="1">
        <v>42441.445937500001</v>
      </c>
      <c r="K134" cm="1">
        <f t="array" ref="K134" xml:space="preserve"> sentimentCalc(C134)</f>
        <v>0</v>
      </c>
      <c r="L134" t="str" cm="1">
        <f t="array" ref="L134" xml:space="preserve"> sentimentCategory(K134)</f>
        <v>Neutral</v>
      </c>
    </row>
    <row r="135" spans="1:12">
      <c r="A135" t="s">
        <v>789</v>
      </c>
      <c r="B135" t="s">
        <v>4483</v>
      </c>
      <c r="C135" t="str" cm="1">
        <f t="array" ref="C135" xml:space="preserve"> CleanText(B135)</f>
        <v>byle bir film yok acayip akc nefes kesici insan taklnca taklp kalyor</v>
      </c>
      <c r="D135">
        <v>0</v>
      </c>
      <c r="E135">
        <v>1</v>
      </c>
      <c r="F135" t="s">
        <v>19</v>
      </c>
      <c r="G135" t="str" cm="1">
        <f t="array" ref="G135" xml:space="preserve"> FindCountryName(F135)</f>
        <v>United States of America (the)</v>
      </c>
      <c r="H135" s="1">
        <v>45339.339259259257</v>
      </c>
      <c r="I135" s="1">
        <v>45339.339259259257</v>
      </c>
      <c r="J135" s="1">
        <v>44087.366180555553</v>
      </c>
      <c r="K135" cm="1">
        <f t="array" ref="K135" xml:space="preserve"> sentimentCalc(C135)</f>
        <v>0</v>
      </c>
      <c r="L135" t="str" cm="1">
        <f t="array" ref="L135" xml:space="preserve"> sentimentCategory(K135)</f>
        <v>Neutral</v>
      </c>
    </row>
    <row r="136" spans="1:12">
      <c r="A136" t="s">
        <v>397</v>
      </c>
      <c r="B136" t="s">
        <v>4482</v>
      </c>
      <c r="C136" t="str" cm="1">
        <f t="array" ref="C136" xml:space="preserve"> CleanText(B136)</f>
        <v>bu tr filmler muhteemin st dzeyinde izleyenler anlar _xDCAF_</v>
      </c>
      <c r="D136">
        <v>0</v>
      </c>
      <c r="E136">
        <v>1</v>
      </c>
      <c r="F136" t="s">
        <v>0</v>
      </c>
      <c r="G136" t="str" cm="1">
        <f t="array" ref="G136" xml:space="preserve"> FindCountryName(F136)</f>
        <v>None</v>
      </c>
      <c r="H136" s="1">
        <v>45339.338796296295</v>
      </c>
      <c r="I136" s="1">
        <v>45339.338796296295</v>
      </c>
      <c r="J136" s="1">
        <v>44365.845960648148</v>
      </c>
      <c r="K136" cm="1">
        <f t="array" ref="K136" xml:space="preserve"> sentimentCalc(C136)</f>
        <v>0</v>
      </c>
      <c r="L136" t="str" cm="1">
        <f t="array" ref="L136" xml:space="preserve"> sentimentCategory(K136)</f>
        <v>Neutral</v>
      </c>
    </row>
    <row r="137" spans="1:12">
      <c r="A137" t="s">
        <v>4481</v>
      </c>
      <c r="B137" t="s">
        <v>4480</v>
      </c>
      <c r="C137" t="str" cm="1">
        <f t="array" ref="C137" xml:space="preserve"> CleanText(B137)</f>
        <v>gerekten harika grnyor ve mzik de gzel</v>
      </c>
      <c r="D137">
        <v>0</v>
      </c>
      <c r="E137">
        <v>1</v>
      </c>
      <c r="F137" t="s">
        <v>0</v>
      </c>
      <c r="G137" t="str" cm="1">
        <f t="array" ref="G137" xml:space="preserve"> FindCountryName(F137)</f>
        <v>None</v>
      </c>
      <c r="H137" s="1">
        <v>45339.337581018517</v>
      </c>
      <c r="I137" s="1">
        <v>45339.337581018517</v>
      </c>
      <c r="J137" s="1">
        <v>43917.554745370369</v>
      </c>
      <c r="K137" cm="1">
        <f t="array" ref="K137" xml:space="preserve"> sentimentCalc(C137)</f>
        <v>0</v>
      </c>
      <c r="L137" t="str" cm="1">
        <f t="array" ref="L137" xml:space="preserve"> sentimentCategory(K137)</f>
        <v>Neutral</v>
      </c>
    </row>
    <row r="138" spans="1:12">
      <c r="A138" t="s">
        <v>830</v>
      </c>
      <c r="B138" t="s">
        <v>4479</v>
      </c>
      <c r="C138" t="str" cm="1">
        <f t="array" ref="C138" xml:space="preserve"> CleanText(B138)</f>
        <v>fragman gayet iyi izlenecekler srasnda</v>
      </c>
      <c r="D138">
        <v>0</v>
      </c>
      <c r="E138">
        <v>1</v>
      </c>
      <c r="F138" t="s">
        <v>0</v>
      </c>
      <c r="G138" t="str" cm="1">
        <f t="array" ref="G138" xml:space="preserve"> FindCountryName(F138)</f>
        <v>None</v>
      </c>
      <c r="H138" s="1">
        <v>45339.337280092594</v>
      </c>
      <c r="I138" s="1">
        <v>45339.337280092594</v>
      </c>
      <c r="J138" s="1">
        <v>44105.392604166664</v>
      </c>
      <c r="K138" cm="1">
        <f t="array" ref="K138" xml:space="preserve"> sentimentCalc(C138)</f>
        <v>0</v>
      </c>
      <c r="L138" t="str" cm="1">
        <f t="array" ref="L138" xml:space="preserve"> sentimentCategory(K138)</f>
        <v>Neutral</v>
      </c>
    </row>
    <row r="139" spans="1:12">
      <c r="A139" t="s">
        <v>774</v>
      </c>
      <c r="B139" t="s">
        <v>4478</v>
      </c>
      <c r="C139" t="str" cm="1">
        <f t="array" ref="C139" xml:space="preserve"> CleanText(B139)</f>
        <v>gerekten muhteem olmu tebrik ederim</v>
      </c>
      <c r="D139">
        <v>0</v>
      </c>
      <c r="E139">
        <v>1</v>
      </c>
      <c r="F139" t="s">
        <v>0</v>
      </c>
      <c r="G139" t="str" cm="1">
        <f t="array" ref="G139" xml:space="preserve"> FindCountryName(F139)</f>
        <v>None</v>
      </c>
      <c r="H139" s="1">
        <v>45339.337037037039</v>
      </c>
      <c r="I139" s="1">
        <v>45339.337037037039</v>
      </c>
      <c r="J139" s="1">
        <v>44360.441099537034</v>
      </c>
      <c r="K139" cm="1">
        <f t="array" ref="K139" xml:space="preserve"> sentimentCalc(C139)</f>
        <v>0</v>
      </c>
      <c r="L139" t="str" cm="1">
        <f t="array" ref="L139" xml:space="preserve"> sentimentCategory(K139)</f>
        <v>Neutral</v>
      </c>
    </row>
    <row r="140" spans="1:12">
      <c r="A140" t="s">
        <v>41</v>
      </c>
      <c r="B140" t="s">
        <v>4477</v>
      </c>
      <c r="C140" t="str" cm="1">
        <f t="array" ref="C140" xml:space="preserve"> CleanText(B140)</f>
        <v>n</v>
      </c>
      <c r="D140">
        <v>0</v>
      </c>
      <c r="E140">
        <v>0</v>
      </c>
      <c r="F140" t="s">
        <v>0</v>
      </c>
      <c r="G140" t="str" cm="1">
        <f t="array" ref="G140" xml:space="preserve"> FindCountryName(F140)</f>
        <v>None</v>
      </c>
      <c r="H140" s="1">
        <v>45339.336493055554</v>
      </c>
      <c r="I140" s="1">
        <v>45339.336493055554</v>
      </c>
      <c r="J140" s="1">
        <v>45019.646435185183</v>
      </c>
      <c r="K140" cm="1">
        <f t="array" ref="K140" xml:space="preserve"> sentimentCalc(C140)</f>
        <v>0</v>
      </c>
      <c r="L140" t="str" cm="1">
        <f t="array" ref="L140" xml:space="preserve"> sentimentCategory(K140)</f>
        <v>Neutral</v>
      </c>
    </row>
    <row r="141" spans="1:12">
      <c r="A141" t="s">
        <v>267</v>
      </c>
      <c r="B141" t="s">
        <v>4476</v>
      </c>
      <c r="C141" t="str" cm="1">
        <f t="array" ref="C141" xml:space="preserve"> CleanText(B141)</f>
        <v>yllard bu filmi izlerim gerekten her seferinde ayn heyecan ve keyifle izliyorum harika bir film ve tarzma uygun oldunu sylemeden geemeyecem</v>
      </c>
      <c r="D141">
        <v>1</v>
      </c>
      <c r="E141">
        <v>1</v>
      </c>
      <c r="F141" t="s">
        <v>0</v>
      </c>
      <c r="G141" t="str" cm="1">
        <f t="array" ref="G141" xml:space="preserve"> FindCountryName(F141)</f>
        <v>None</v>
      </c>
      <c r="H141" s="1">
        <v>45339.336192129631</v>
      </c>
      <c r="I141" s="1">
        <v>45339.336192129631</v>
      </c>
      <c r="J141" s="1">
        <v>44462.68068287037</v>
      </c>
      <c r="K141" cm="1">
        <f t="array" ref="K141" xml:space="preserve"> sentimentCalc(C141)</f>
        <v>0</v>
      </c>
      <c r="L141" t="str" cm="1">
        <f t="array" ref="L141" xml:space="preserve"> sentimentCategory(K141)</f>
        <v>Neutral</v>
      </c>
    </row>
    <row r="142" spans="1:12">
      <c r="A142" t="s">
        <v>1462</v>
      </c>
      <c r="B142" t="s">
        <v>4475</v>
      </c>
      <c r="C142" t="str" cm="1">
        <f t="array" ref="C142" xml:space="preserve"> CleanText(B142)</f>
        <v>efsane bir film kklmden beri bilirim ki ayn zamanda yapmclar da efsane netfixte izlemek iin sabrszlanyorum</v>
      </c>
      <c r="D142">
        <v>0</v>
      </c>
      <c r="E142">
        <v>0</v>
      </c>
      <c r="F142" t="s">
        <v>0</v>
      </c>
      <c r="G142" t="str" cm="1">
        <f t="array" ref="G142" xml:space="preserve"> FindCountryName(F142)</f>
        <v>None</v>
      </c>
      <c r="H142" s="1">
        <v>45339.336180555554</v>
      </c>
      <c r="I142" s="1">
        <v>45339.336180555554</v>
      </c>
      <c r="J142" s="1">
        <v>45339.259664351855</v>
      </c>
      <c r="K142" cm="1">
        <f t="array" ref="K142" xml:space="preserve"> sentimentCalc(C142)</f>
        <v>0</v>
      </c>
      <c r="L142" t="str" cm="1">
        <f t="array" ref="L142" xml:space="preserve"> sentimentCategory(K142)</f>
        <v>Neutral</v>
      </c>
    </row>
    <row r="143" spans="1:12">
      <c r="A143" t="s">
        <v>367</v>
      </c>
      <c r="B143" t="s">
        <v>4474</v>
      </c>
      <c r="C143" t="str" cm="1">
        <f t="array" ref="C143" xml:space="preserve"> CleanText(B143)</f>
        <v>imdiye kadar buzul ve avatar filmlerinden daha iyi ve sabrszlkla izleyeceim</v>
      </c>
      <c r="D143">
        <v>0</v>
      </c>
      <c r="E143">
        <v>0</v>
      </c>
      <c r="F143" t="s">
        <v>0</v>
      </c>
      <c r="G143" t="str" cm="1">
        <f t="array" ref="G143" xml:space="preserve"> FindCountryName(F143)</f>
        <v>None</v>
      </c>
      <c r="H143" s="1">
        <v>45339.335925925923</v>
      </c>
      <c r="I143" s="1">
        <v>45339.335925925923</v>
      </c>
      <c r="J143" s="1">
        <v>43844.507476851853</v>
      </c>
      <c r="K143" cm="1">
        <f t="array" ref="K143" xml:space="preserve"> sentimentCalc(C143)</f>
        <v>0</v>
      </c>
      <c r="L143" t="str" cm="1">
        <f t="array" ref="L143" xml:space="preserve"> sentimentCategory(K143)</f>
        <v>Neutral</v>
      </c>
    </row>
    <row r="144" spans="1:12">
      <c r="A144" t="s">
        <v>4473</v>
      </c>
      <c r="B144" t="s">
        <v>4472</v>
      </c>
      <c r="C144" t="str" cm="1">
        <f t="array" ref="C144" xml:space="preserve"> CleanText(B144)</f>
        <v>netflix ve filim harika</v>
      </c>
      <c r="D144">
        <v>0</v>
      </c>
      <c r="E144">
        <v>0</v>
      </c>
      <c r="F144" t="s">
        <v>0</v>
      </c>
      <c r="G144" t="str" cm="1">
        <f t="array" ref="G144" xml:space="preserve"> FindCountryName(F144)</f>
        <v>None</v>
      </c>
      <c r="H144" s="1">
        <v>45339.335729166669</v>
      </c>
      <c r="I144" s="1">
        <v>45339.335729166669</v>
      </c>
      <c r="J144" s="1">
        <v>45339.258229166669</v>
      </c>
      <c r="K144" cm="1">
        <f t="array" ref="K144" xml:space="preserve"> sentimentCalc(C144)</f>
        <v>0</v>
      </c>
      <c r="L144" t="str" cm="1">
        <f t="array" ref="L144" xml:space="preserve"> sentimentCategory(K144)</f>
        <v>Neutral</v>
      </c>
    </row>
    <row r="145" spans="1:12">
      <c r="A145" t="s">
        <v>355</v>
      </c>
      <c r="B145" t="s">
        <v>4471</v>
      </c>
      <c r="C145" t="str" cm="1">
        <f t="array" ref="C145" xml:space="preserve"> CleanText(B145)</f>
        <v>baylrm byle heyacanlar filmlere</v>
      </c>
      <c r="D145">
        <v>0</v>
      </c>
      <c r="E145">
        <v>0</v>
      </c>
      <c r="F145" t="s">
        <v>0</v>
      </c>
      <c r="G145" t="str" cm="1">
        <f t="array" ref="G145" xml:space="preserve"> FindCountryName(F145)</f>
        <v>None</v>
      </c>
      <c r="H145" s="1">
        <v>45339.335659722223</v>
      </c>
      <c r="I145" s="1">
        <v>45339.335659722223</v>
      </c>
      <c r="J145" s="1">
        <v>45339.259305555555</v>
      </c>
      <c r="K145" cm="1">
        <f t="array" ref="K145" xml:space="preserve"> sentimentCalc(C145)</f>
        <v>0</v>
      </c>
      <c r="L145" t="str" cm="1">
        <f t="array" ref="L145" xml:space="preserve"> sentimentCategory(K145)</f>
        <v>Neutral</v>
      </c>
    </row>
    <row r="146" spans="1:12">
      <c r="A146" t="s">
        <v>267</v>
      </c>
      <c r="B146" t="s">
        <v>4470</v>
      </c>
      <c r="C146" t="str" cm="1">
        <f t="array" ref="C146" xml:space="preserve"> CleanText(B146)</f>
        <v>seyretmeye deecek bir film mutlaka seyredin</v>
      </c>
      <c r="D146">
        <v>0</v>
      </c>
      <c r="E146">
        <v>0</v>
      </c>
      <c r="F146" t="s">
        <v>0</v>
      </c>
      <c r="G146" t="str" cm="1">
        <f t="array" ref="G146" xml:space="preserve"> FindCountryName(F146)</f>
        <v>None</v>
      </c>
      <c r="H146" s="1">
        <v>45339.335625</v>
      </c>
      <c r="I146" s="1">
        <v>45339.335625</v>
      </c>
      <c r="J146" s="1">
        <v>40828.285104166665</v>
      </c>
      <c r="K146" cm="1">
        <f t="array" ref="K146" xml:space="preserve"> sentimentCalc(C146)</f>
        <v>0</v>
      </c>
      <c r="L146" t="str" cm="1">
        <f t="array" ref="L146" xml:space="preserve"> sentimentCategory(K146)</f>
        <v>Neutral</v>
      </c>
    </row>
    <row r="147" spans="1:12">
      <c r="A147" t="s">
        <v>2181</v>
      </c>
      <c r="B147" t="s">
        <v>4469</v>
      </c>
      <c r="C147" t="str" cm="1">
        <f t="array" ref="C147" xml:space="preserve"> CleanText(B147)</f>
        <v>ocukluumun izgi filmiydi filimleri apayri sper ok beeniyorum hepsi srkleyici</v>
      </c>
      <c r="D147">
        <v>0</v>
      </c>
      <c r="E147">
        <v>0</v>
      </c>
      <c r="F147" t="s">
        <v>0</v>
      </c>
      <c r="G147" t="str" cm="1">
        <f t="array" ref="G147" xml:space="preserve"> FindCountryName(F147)</f>
        <v>None</v>
      </c>
      <c r="H147" s="1">
        <v>45339.335532407407</v>
      </c>
      <c r="I147" s="1">
        <v>45339.335532407407</v>
      </c>
      <c r="J147" s="1">
        <v>41279.687951388885</v>
      </c>
      <c r="K147" cm="1">
        <f t="array" ref="K147" xml:space="preserve"> sentimentCalc(C147)</f>
        <v>0</v>
      </c>
      <c r="L147" t="str" cm="1">
        <f t="array" ref="L147" xml:space="preserve"> sentimentCategory(K147)</f>
        <v>Neutral</v>
      </c>
    </row>
    <row r="148" spans="1:12">
      <c r="A148" t="s">
        <v>824</v>
      </c>
      <c r="B148" t="s">
        <v>4468</v>
      </c>
      <c r="C148" t="str" cm="1">
        <f t="array" ref="C148" xml:space="preserve"> CleanText(B148)</f>
        <v>beendim izlemeye deer</v>
      </c>
      <c r="D148">
        <v>0</v>
      </c>
      <c r="E148">
        <v>0</v>
      </c>
      <c r="F148" t="s">
        <v>0</v>
      </c>
      <c r="G148" t="str" cm="1">
        <f t="array" ref="G148" xml:space="preserve"> FindCountryName(F148)</f>
        <v>None</v>
      </c>
      <c r="H148" s="1">
        <v>45339.335358796299</v>
      </c>
      <c r="I148" s="1">
        <v>45339.335358796299</v>
      </c>
      <c r="J148" s="1">
        <v>42346.758761574078</v>
      </c>
      <c r="K148" cm="1">
        <f t="array" ref="K148" xml:space="preserve"> sentimentCalc(C148)</f>
        <v>0</v>
      </c>
      <c r="L148" t="str" cm="1">
        <f t="array" ref="L148" xml:space="preserve"> sentimentCategory(K148)</f>
        <v>Neutral</v>
      </c>
    </row>
    <row r="149" spans="1:12">
      <c r="A149" t="s">
        <v>32</v>
      </c>
      <c r="B149" t="s">
        <v>4467</v>
      </c>
      <c r="C149" t="str" cm="1">
        <f t="array" ref="C149" xml:space="preserve"> CleanText(B149)</f>
        <v>gerekten ok balayc gzel bir film</v>
      </c>
      <c r="D149">
        <v>0</v>
      </c>
      <c r="E149">
        <v>0</v>
      </c>
      <c r="F149" t="s">
        <v>0</v>
      </c>
      <c r="G149" t="str" cm="1">
        <f t="array" ref="G149" xml:space="preserve"> FindCountryName(F149)</f>
        <v>None</v>
      </c>
      <c r="H149" s="1">
        <v>45339.335300925923</v>
      </c>
      <c r="I149" s="1">
        <v>45339.335300925923</v>
      </c>
      <c r="J149" s="1">
        <v>42765.567407407405</v>
      </c>
      <c r="K149" cm="1">
        <f t="array" ref="K149" xml:space="preserve"> sentimentCalc(C149)</f>
        <v>0</v>
      </c>
      <c r="L149" t="str" cm="1">
        <f t="array" ref="L149" xml:space="preserve"> sentimentCategory(K149)</f>
        <v>Neutral</v>
      </c>
    </row>
    <row r="150" spans="1:12">
      <c r="A150" t="s">
        <v>38</v>
      </c>
      <c r="B150" t="s">
        <v>4466</v>
      </c>
      <c r="C150" t="str" cm="1">
        <f t="array" ref="C150" xml:space="preserve"> CleanText(B150)</f>
        <v>vay canna mkemmel bir filme benziyor</v>
      </c>
      <c r="D150">
        <v>0</v>
      </c>
      <c r="E150">
        <v>0</v>
      </c>
      <c r="F150" t="s">
        <v>1523</v>
      </c>
      <c r="G150" t="str" cm="1">
        <f t="array" ref="G150" xml:space="preserve"> FindCountryName(F150)</f>
        <v>Turkey</v>
      </c>
      <c r="H150" s="1">
        <v>45339.335219907407</v>
      </c>
      <c r="I150" s="1">
        <v>45339.335219907407</v>
      </c>
      <c r="J150" s="1">
        <v>41130.710844907408</v>
      </c>
      <c r="K150" cm="1">
        <f t="array" ref="K150" xml:space="preserve"> sentimentCalc(C150)</f>
        <v>0</v>
      </c>
      <c r="L150" t="str" cm="1">
        <f t="array" ref="L150" xml:space="preserve"> sentimentCategory(K150)</f>
        <v>Neutral</v>
      </c>
    </row>
    <row r="151" spans="1:12">
      <c r="A151" t="s">
        <v>1525</v>
      </c>
      <c r="B151" t="s">
        <v>4465</v>
      </c>
      <c r="C151" t="str" cm="1">
        <f t="array" ref="C151" xml:space="preserve"> CleanText(B151)</f>
        <v>filmi bekliyorum baya houma gitti sanki gerek hayatta yayor gibi srkleyici film _xDE0A_</v>
      </c>
      <c r="D151">
        <v>0</v>
      </c>
      <c r="E151">
        <v>0</v>
      </c>
      <c r="F151" t="s">
        <v>0</v>
      </c>
      <c r="G151" t="str" cm="1">
        <f t="array" ref="G151" xml:space="preserve"> FindCountryName(F151)</f>
        <v>None</v>
      </c>
      <c r="H151" s="1">
        <v>45339.335196759261</v>
      </c>
      <c r="I151" s="1">
        <v>45339.335196759261</v>
      </c>
      <c r="J151" s="1">
        <v>43293.567546296297</v>
      </c>
      <c r="K151" cm="1">
        <f t="array" ref="K151" xml:space="preserve"> sentimentCalc(C151)</f>
        <v>0</v>
      </c>
      <c r="L151" t="str" cm="1">
        <f t="array" ref="L151" xml:space="preserve"> sentimentCategory(K151)</f>
        <v>Neutral</v>
      </c>
    </row>
    <row r="152" spans="1:12">
      <c r="A152" t="s">
        <v>4464</v>
      </c>
      <c r="B152" t="s">
        <v>4463</v>
      </c>
      <c r="C152" t="str" cm="1">
        <f t="array" ref="C152" xml:space="preserve"> CleanText(B152)</f>
        <v>snemada dev kadro le dev proje anca boyle guzel olur _xDE2E__xDF89_</v>
      </c>
      <c r="D152">
        <v>0</v>
      </c>
      <c r="E152">
        <v>0</v>
      </c>
      <c r="F152" t="s">
        <v>0</v>
      </c>
      <c r="G152" t="str" cm="1">
        <f t="array" ref="G152" xml:space="preserve"> FindCountryName(F152)</f>
        <v>None</v>
      </c>
      <c r="H152" s="1">
        <v>45339.335057870368</v>
      </c>
      <c r="I152" s="1">
        <v>45339.335057870368</v>
      </c>
      <c r="J152" s="1">
        <v>43925.319699074076</v>
      </c>
      <c r="K152" cm="1">
        <f t="array" ref="K152" xml:space="preserve"> sentimentCalc(C152)</f>
        <v>0</v>
      </c>
      <c r="L152" t="str" cm="1">
        <f t="array" ref="L152" xml:space="preserve"> sentimentCategory(K152)</f>
        <v>Neutral</v>
      </c>
    </row>
    <row r="153" spans="1:12">
      <c r="A153" t="s">
        <v>104</v>
      </c>
      <c r="B153" t="s">
        <v>4462</v>
      </c>
      <c r="C153" t="str" cm="1">
        <f t="array" ref="C153" xml:space="preserve"> CleanText(B153)</f>
        <v>srkleyici bir film bu adamlar bu ii biliyor kesinlikle tavsiye ederim</v>
      </c>
      <c r="D153">
        <v>0</v>
      </c>
      <c r="E153">
        <v>0</v>
      </c>
      <c r="F153" t="s">
        <v>0</v>
      </c>
      <c r="G153" t="str" cm="1">
        <f t="array" ref="G153" xml:space="preserve"> FindCountryName(F153)</f>
        <v>None</v>
      </c>
      <c r="H153" s="1">
        <v>45339.335034722222</v>
      </c>
      <c r="I153" s="1">
        <v>45339.335034722222</v>
      </c>
      <c r="J153" s="1">
        <v>41605.362488425926</v>
      </c>
      <c r="K153" cm="1">
        <f t="array" ref="K153" xml:space="preserve"> sentimentCalc(C153)</f>
        <v>0</v>
      </c>
      <c r="L153" t="str" cm="1">
        <f t="array" ref="L153" xml:space="preserve"> sentimentCategory(K153)</f>
        <v>Neutral</v>
      </c>
    </row>
    <row r="154" spans="1:12">
      <c r="A154" t="s">
        <v>231</v>
      </c>
      <c r="B154" t="s">
        <v>4461</v>
      </c>
      <c r="C154" t="str" cm="1">
        <f t="array" ref="C154" xml:space="preserve"> CleanText(B154)</f>
        <v>yeni serisini sabrszlkla bekliyordum sonunda kt</v>
      </c>
      <c r="D154">
        <v>0</v>
      </c>
      <c r="E154">
        <v>0</v>
      </c>
      <c r="F154" t="s">
        <v>0</v>
      </c>
      <c r="G154" t="str" cm="1">
        <f t="array" ref="G154" xml:space="preserve"> FindCountryName(F154)</f>
        <v>None</v>
      </c>
      <c r="H154" s="1">
        <v>45339.334988425922</v>
      </c>
      <c r="I154" s="1">
        <v>45339.334988425922</v>
      </c>
      <c r="J154" s="1">
        <v>42926.393506944441</v>
      </c>
      <c r="K154" cm="1">
        <f t="array" ref="K154" xml:space="preserve"> sentimentCalc(C154)</f>
        <v>0</v>
      </c>
      <c r="L154" t="str" cm="1">
        <f t="array" ref="L154" xml:space="preserve"> sentimentCategory(K154)</f>
        <v>Neutral</v>
      </c>
    </row>
    <row r="155" spans="1:12">
      <c r="A155" t="s">
        <v>566</v>
      </c>
      <c r="B155" t="s">
        <v>4460</v>
      </c>
      <c r="C155" t="str" cm="1">
        <f t="array" ref="C155" xml:space="preserve"> CleanText(B155)</f>
        <v>fragman ok gzel iznecek bir film</v>
      </c>
      <c r="D155">
        <v>0</v>
      </c>
      <c r="E155">
        <v>0</v>
      </c>
      <c r="F155" t="s">
        <v>0</v>
      </c>
      <c r="G155" t="str" cm="1">
        <f t="array" ref="G155" xml:space="preserve"> FindCountryName(F155)</f>
        <v>None</v>
      </c>
      <c r="H155" s="1">
        <v>45339.334699074076</v>
      </c>
      <c r="I155" s="1">
        <v>45339.334699074076</v>
      </c>
      <c r="J155" s="1">
        <v>43151.519884259258</v>
      </c>
      <c r="K155" cm="1">
        <f t="array" ref="K155" xml:space="preserve"> sentimentCalc(C155)</f>
        <v>0</v>
      </c>
      <c r="L155" t="str" cm="1">
        <f t="array" ref="L155" xml:space="preserve"> sentimentCategory(K155)</f>
        <v>Neutral</v>
      </c>
    </row>
    <row r="156" spans="1:12">
      <c r="A156" t="s">
        <v>306</v>
      </c>
      <c r="B156" t="s">
        <v>4459</v>
      </c>
      <c r="C156" t="str" cm="1">
        <f t="array" ref="C156" xml:space="preserve"> CleanText(B156)</f>
        <v>ok iyi gzel bir filim</v>
      </c>
      <c r="D156">
        <v>0</v>
      </c>
      <c r="E156">
        <v>0</v>
      </c>
      <c r="F156" t="s">
        <v>0</v>
      </c>
      <c r="G156" t="str" cm="1">
        <f t="array" ref="G156" xml:space="preserve"> FindCountryName(F156)</f>
        <v>None</v>
      </c>
      <c r="H156" s="1">
        <v>45339.33457175926</v>
      </c>
      <c r="I156" s="1">
        <v>45339.33457175926</v>
      </c>
      <c r="J156" s="1">
        <v>42919.831273148149</v>
      </c>
      <c r="K156" cm="1">
        <f t="array" ref="K156" xml:space="preserve"> sentimentCalc(C156)</f>
        <v>0</v>
      </c>
      <c r="L156" t="str" cm="1">
        <f t="array" ref="L156" xml:space="preserve"> sentimentCategory(K156)</f>
        <v>Neutral</v>
      </c>
    </row>
    <row r="157" spans="1:12">
      <c r="A157" t="s">
        <v>4458</v>
      </c>
      <c r="B157" t="s">
        <v>4457</v>
      </c>
      <c r="C157" t="str" cm="1">
        <f t="array" ref="C157" xml:space="preserve"> CleanText(B157)</f>
        <v>my type of moves so excited _xDE06_</v>
      </c>
      <c r="D157">
        <v>0</v>
      </c>
      <c r="E157">
        <v>0</v>
      </c>
      <c r="F157" t="s">
        <v>0</v>
      </c>
      <c r="G157" t="str" cm="1">
        <f t="array" ref="G157" xml:space="preserve"> FindCountryName(F157)</f>
        <v>None</v>
      </c>
      <c r="H157" s="1">
        <v>45339.33452546296</v>
      </c>
      <c r="I157" s="1">
        <v>45339.33452546296</v>
      </c>
      <c r="J157" s="1">
        <v>44295.296527777777</v>
      </c>
      <c r="K157" cm="1">
        <f t="array" ref="K157" xml:space="preserve"> sentimentCalc(C157)</f>
        <v>3</v>
      </c>
      <c r="L157" t="str" cm="1">
        <f t="array" ref="L157" xml:space="preserve"> sentimentCategory(K157)</f>
        <v>Positive</v>
      </c>
    </row>
    <row r="158" spans="1:12">
      <c r="A158" t="s">
        <v>1769</v>
      </c>
      <c r="B158" t="s">
        <v>1404</v>
      </c>
      <c r="C158" t="str" cm="1">
        <f t="array" ref="C158" xml:space="preserve"> CleanText(B158)</f>
        <v>super</v>
      </c>
      <c r="D158">
        <v>0</v>
      </c>
      <c r="E158">
        <v>0</v>
      </c>
      <c r="F158" t="s">
        <v>0</v>
      </c>
      <c r="G158" t="str" cm="1">
        <f t="array" ref="G158" xml:space="preserve"> FindCountryName(F158)</f>
        <v>None</v>
      </c>
      <c r="H158" s="1">
        <v>45339.334108796298</v>
      </c>
      <c r="I158" s="1">
        <v>45339.334108796298</v>
      </c>
      <c r="J158" s="1">
        <v>43784.184606481482</v>
      </c>
      <c r="K158" cm="1">
        <f t="array" ref="K158" xml:space="preserve"> sentimentCalc(C158)</f>
        <v>3</v>
      </c>
      <c r="L158" t="str" cm="1">
        <f t="array" ref="L158" xml:space="preserve"> sentimentCategory(K158)</f>
        <v>Positive</v>
      </c>
    </row>
    <row r="159" spans="1:12">
      <c r="A159" t="s">
        <v>735</v>
      </c>
      <c r="B159" t="s">
        <v>4456</v>
      </c>
      <c r="C159" t="str" cm="1">
        <f t="array" ref="C159" xml:space="preserve"> CleanText(B159)</f>
        <v>fragman bile filmin ok iiyi olcagina garanti veriyor</v>
      </c>
      <c r="D159">
        <v>0</v>
      </c>
      <c r="E159">
        <v>0</v>
      </c>
      <c r="F159" t="s">
        <v>0</v>
      </c>
      <c r="G159" t="str" cm="1">
        <f t="array" ref="G159" xml:space="preserve"> FindCountryName(F159)</f>
        <v>None</v>
      </c>
      <c r="H159" s="1">
        <v>45339.333958333336</v>
      </c>
      <c r="I159" s="1">
        <v>45339.333958333336</v>
      </c>
      <c r="J159" s="1">
        <v>44569.321400462963</v>
      </c>
      <c r="K159" cm="1">
        <f t="array" ref="K159" xml:space="preserve"> sentimentCalc(C159)</f>
        <v>0</v>
      </c>
      <c r="L159" t="str" cm="1">
        <f t="array" ref="L159" xml:space="preserve"> sentimentCategory(K159)</f>
        <v>Neutral</v>
      </c>
    </row>
    <row r="160" spans="1:12">
      <c r="A160" t="s">
        <v>2842</v>
      </c>
      <c r="B160" t="s">
        <v>4455</v>
      </c>
      <c r="C160" t="str" cm="1">
        <f t="array" ref="C160" xml:space="preserve"> CleanText(B160)</f>
        <v>ailecek izlenecek filmler ok gzl fragman lar</v>
      </c>
      <c r="D160">
        <v>0</v>
      </c>
      <c r="E160">
        <v>0</v>
      </c>
      <c r="F160" t="s">
        <v>0</v>
      </c>
      <c r="G160" t="str" cm="1">
        <f t="array" ref="G160" xml:space="preserve"> FindCountryName(F160)</f>
        <v>None</v>
      </c>
      <c r="H160" s="1">
        <v>45339.33394675926</v>
      </c>
      <c r="I160" s="1">
        <v>45339.33394675926</v>
      </c>
      <c r="J160" s="1">
        <v>45339.250937500001</v>
      </c>
      <c r="K160" cm="1">
        <f t="array" ref="K160" xml:space="preserve"> sentimentCalc(C160)</f>
        <v>0</v>
      </c>
      <c r="L160" t="str" cm="1">
        <f t="array" ref="L160" xml:space="preserve"> sentimentCategory(K160)</f>
        <v>Neutral</v>
      </c>
    </row>
    <row r="161" spans="1:12">
      <c r="A161" t="s">
        <v>337</v>
      </c>
      <c r="B161" t="s">
        <v>4454</v>
      </c>
      <c r="C161" t="str" cm="1">
        <f t="array" ref="C161" xml:space="preserve"> CleanText(B161)</f>
        <v>kkken cizgiflimi ok izlerdim ok sarard flimide yle saryor izlemenizi tafsiye ederim</v>
      </c>
      <c r="D161">
        <v>0</v>
      </c>
      <c r="E161">
        <v>0</v>
      </c>
      <c r="F161" t="s">
        <v>0</v>
      </c>
      <c r="G161" t="str" cm="1">
        <f t="array" ref="G161" xml:space="preserve"> FindCountryName(F161)</f>
        <v>None</v>
      </c>
      <c r="H161" s="1">
        <v>45339.33390046296</v>
      </c>
      <c r="I161" s="1">
        <v>45339.33390046296</v>
      </c>
      <c r="J161" s="1">
        <v>45339.251539351855</v>
      </c>
      <c r="K161" cm="1">
        <f t="array" ref="K161" xml:space="preserve"> sentimentCalc(C161)</f>
        <v>0</v>
      </c>
      <c r="L161" t="str" cm="1">
        <f t="array" ref="L161" xml:space="preserve"> sentimentCategory(K161)</f>
        <v>Neutral</v>
      </c>
    </row>
    <row r="162" spans="1:12">
      <c r="A162" t="s">
        <v>1462</v>
      </c>
      <c r="B162" t="s">
        <v>4453</v>
      </c>
      <c r="C162" t="str" cm="1">
        <f t="array" ref="C162" xml:space="preserve"> CleanText(B162)</f>
        <v>fragman ok gzel olmu srkleyici bir film olduunu dnyorum</v>
      </c>
      <c r="D162">
        <v>0</v>
      </c>
      <c r="E162">
        <v>0</v>
      </c>
      <c r="F162" t="s">
        <v>0</v>
      </c>
      <c r="G162" t="str" cm="1">
        <f t="array" ref="G162" xml:space="preserve"> FindCountryName(F162)</f>
        <v>None</v>
      </c>
      <c r="H162" s="1">
        <v>45339.333761574075</v>
      </c>
      <c r="I162" s="1">
        <v>45339.333761574075</v>
      </c>
      <c r="J162" s="1">
        <v>45043.342488425929</v>
      </c>
      <c r="K162" cm="1">
        <f t="array" ref="K162" xml:space="preserve"> sentimentCalc(C162)</f>
        <v>0</v>
      </c>
      <c r="L162" t="str" cm="1">
        <f t="array" ref="L162" xml:space="preserve"> sentimentCategory(K162)</f>
        <v>Neutral</v>
      </c>
    </row>
    <row r="163" spans="1:12">
      <c r="A163" t="s">
        <v>1755</v>
      </c>
      <c r="B163" t="s">
        <v>4452</v>
      </c>
      <c r="C163" t="str" cm="1">
        <f t="array" ref="C163" xml:space="preserve"> CleanText(B163)</f>
        <v>harika bir senaryo</v>
      </c>
      <c r="D163">
        <v>0</v>
      </c>
      <c r="E163">
        <v>0</v>
      </c>
      <c r="F163" t="s">
        <v>0</v>
      </c>
      <c r="G163" t="str" cm="1">
        <f t="array" ref="G163" xml:space="preserve"> FindCountryName(F163)</f>
        <v>None</v>
      </c>
      <c r="H163" s="1">
        <v>45339.333564814813</v>
      </c>
      <c r="I163" s="1">
        <v>45339.333564814813</v>
      </c>
      <c r="J163" s="1">
        <v>44591.264143518521</v>
      </c>
      <c r="K163" cm="1">
        <f t="array" ref="K163" xml:space="preserve"> sentimentCalc(C163)</f>
        <v>0</v>
      </c>
      <c r="L163" t="str" cm="1">
        <f t="array" ref="L163" xml:space="preserve"> sentimentCategory(K163)</f>
        <v>Neutral</v>
      </c>
    </row>
    <row r="164" spans="1:12">
      <c r="A164" t="s">
        <v>26</v>
      </c>
      <c r="B164" t="s">
        <v>4451</v>
      </c>
      <c r="C164" t="str" cm="1">
        <f t="array" ref="C164" xml:space="preserve"> CleanText(B164)</f>
        <v>beklenilen fragman geldi karmayn</v>
      </c>
      <c r="D164">
        <v>0</v>
      </c>
      <c r="E164">
        <v>0</v>
      </c>
      <c r="F164" t="s">
        <v>0</v>
      </c>
      <c r="G164" t="str" cm="1">
        <f t="array" ref="G164" xml:space="preserve"> FindCountryName(F164)</f>
        <v>None</v>
      </c>
      <c r="H164" s="1">
        <v>45339.333518518521</v>
      </c>
      <c r="I164" s="1">
        <v>45339.333518518521</v>
      </c>
      <c r="J164" s="1">
        <v>43979.752326388887</v>
      </c>
      <c r="K164" cm="1">
        <f t="array" ref="K164" xml:space="preserve"> sentimentCalc(C164)</f>
        <v>0</v>
      </c>
      <c r="L164" t="str" cm="1">
        <f t="array" ref="L164" xml:space="preserve"> sentimentCategory(K164)</f>
        <v>Neutral</v>
      </c>
    </row>
    <row r="165" spans="1:12">
      <c r="A165" t="s">
        <v>104</v>
      </c>
      <c r="B165" t="s">
        <v>4450</v>
      </c>
      <c r="C165" t="str" cm="1">
        <f t="array" ref="C165" xml:space="preserve"> CleanText(B165)</f>
        <v>i liked it very good _xDC4D_</v>
      </c>
      <c r="D165">
        <v>0</v>
      </c>
      <c r="E165">
        <v>0</v>
      </c>
      <c r="F165" t="s">
        <v>0</v>
      </c>
      <c r="G165" t="str" cm="1">
        <f t="array" ref="G165" xml:space="preserve"> FindCountryName(F165)</f>
        <v>None</v>
      </c>
      <c r="H165" s="1">
        <v>45339.333472222221</v>
      </c>
      <c r="I165" s="1">
        <v>45339.333472222221</v>
      </c>
      <c r="J165" s="1">
        <v>42019.45453703704</v>
      </c>
      <c r="K165" cm="1">
        <f t="array" ref="K165" xml:space="preserve"> sentimentCalc(C165)</f>
        <v>5</v>
      </c>
      <c r="L165" t="str" cm="1">
        <f t="array" ref="L165" xml:space="preserve"> sentimentCategory(K165)</f>
        <v>Positive</v>
      </c>
    </row>
    <row r="166" spans="1:12">
      <c r="A166" t="s">
        <v>3310</v>
      </c>
      <c r="B166" t="s">
        <v>4449</v>
      </c>
      <c r="C166" t="str" cm="1">
        <f t="array" ref="C166" xml:space="preserve"> CleanText(B166)</f>
        <v>zlemek iin sabrszlandm filmlerden biri sabrszlkla bekliyorum</v>
      </c>
      <c r="D166">
        <v>0</v>
      </c>
      <c r="E166">
        <v>0</v>
      </c>
      <c r="F166" t="s">
        <v>0</v>
      </c>
      <c r="G166" t="str" cm="1">
        <f t="array" ref="G166" xml:space="preserve"> FindCountryName(F166)</f>
        <v>None</v>
      </c>
      <c r="H166" s="1">
        <v>45339.230590277781</v>
      </c>
      <c r="I166" s="1">
        <v>45339.230590277781</v>
      </c>
      <c r="J166" s="1">
        <v>44682.410682870373</v>
      </c>
      <c r="K166" cm="1">
        <f t="array" ref="K166" xml:space="preserve"> sentimentCalc(C166)</f>
        <v>0</v>
      </c>
      <c r="L166" t="str" cm="1">
        <f t="array" ref="L166" xml:space="preserve"> sentimentCategory(K166)</f>
        <v>Neutral</v>
      </c>
    </row>
    <row r="167" spans="1:12">
      <c r="A167" t="s">
        <v>653</v>
      </c>
      <c r="B167" t="s">
        <v>4448</v>
      </c>
      <c r="C167" t="str" cm="1">
        <f t="array" ref="C167" xml:space="preserve"> CleanText(B167)</f>
        <v>aksiyonlarla dolu gzel bir filim izlemeye deer ben begendim</v>
      </c>
      <c r="D167">
        <v>0</v>
      </c>
      <c r="E167">
        <v>0</v>
      </c>
      <c r="F167" t="s">
        <v>0</v>
      </c>
      <c r="G167" t="str" cm="1">
        <f t="array" ref="G167" xml:space="preserve"> FindCountryName(F167)</f>
        <v>None</v>
      </c>
      <c r="H167" s="1">
        <v>45338.3669212963</v>
      </c>
      <c r="I167" s="1">
        <v>45338.3669212963</v>
      </c>
      <c r="J167" s="1">
        <v>40793.332268518519</v>
      </c>
      <c r="K167" cm="1">
        <f t="array" ref="K167" xml:space="preserve"> sentimentCalc(C167)</f>
        <v>0</v>
      </c>
      <c r="L167" t="str" cm="1">
        <f t="array" ref="L167" xml:space="preserve"> sentimentCategory(K167)</f>
        <v>Neutral</v>
      </c>
    </row>
    <row r="168" spans="1:12">
      <c r="A168" t="s">
        <v>1096</v>
      </c>
      <c r="B168" t="s">
        <v>4447</v>
      </c>
      <c r="C168" t="str" cm="1">
        <f t="array" ref="C168" xml:space="preserve"> CleanText(B168)</f>
        <v>mkemmel bir film</v>
      </c>
      <c r="D168">
        <v>0</v>
      </c>
      <c r="E168">
        <v>0</v>
      </c>
      <c r="F168" t="s">
        <v>0</v>
      </c>
      <c r="G168" t="str" cm="1">
        <f t="array" ref="G168" xml:space="preserve"> FindCountryName(F168)</f>
        <v>None</v>
      </c>
      <c r="H168" s="1">
        <v>45338.279236111113</v>
      </c>
      <c r="I168" s="1">
        <v>45338.279236111113</v>
      </c>
      <c r="J168" s="1">
        <v>42565.724641203706</v>
      </c>
      <c r="K168" cm="1">
        <f t="array" ref="K168" xml:space="preserve"> sentimentCalc(C168)</f>
        <v>0</v>
      </c>
      <c r="L168" t="str" cm="1">
        <f t="array" ref="L168" xml:space="preserve"> sentimentCategory(K168)</f>
        <v>Neutral</v>
      </c>
    </row>
    <row r="169" spans="1:12">
      <c r="A169" t="s">
        <v>1204</v>
      </c>
      <c r="B169" t="s">
        <v>4446</v>
      </c>
      <c r="C169" t="str" cm="1">
        <f t="array" ref="C169" xml:space="preserve"> CleanText(B169)</f>
        <v>gayet ok gzel bir flim sinema da ayr gzel</v>
      </c>
      <c r="D169">
        <v>0</v>
      </c>
      <c r="E169">
        <v>0</v>
      </c>
      <c r="F169" t="s">
        <v>0</v>
      </c>
      <c r="G169" t="str" cm="1">
        <f t="array" ref="G169" xml:space="preserve"> FindCountryName(F169)</f>
        <v>None</v>
      </c>
      <c r="H169" s="1">
        <v>45338.219074074077</v>
      </c>
      <c r="I169" s="1">
        <v>45338.219074074077</v>
      </c>
      <c r="J169" s="1">
        <v>42418.471944444442</v>
      </c>
      <c r="K169" cm="1">
        <f t="array" ref="K169" xml:space="preserve"> sentimentCalc(C169)</f>
        <v>0</v>
      </c>
      <c r="L169" t="str" cm="1">
        <f t="array" ref="L169" xml:space="preserve"> sentimentCategory(K169)</f>
        <v>Neutral</v>
      </c>
    </row>
    <row r="170" spans="1:12">
      <c r="A170" t="s">
        <v>547</v>
      </c>
      <c r="B170" t="s">
        <v>4445</v>
      </c>
      <c r="C170" t="str" cm="1">
        <f t="array" ref="C170" xml:space="preserve"> CleanText(B170)</f>
        <v>gzel film gerekten beendim</v>
      </c>
      <c r="D170">
        <v>0</v>
      </c>
      <c r="E170">
        <v>0</v>
      </c>
      <c r="F170" t="s">
        <v>0</v>
      </c>
      <c r="G170" t="str" cm="1">
        <f t="array" ref="G170" xml:space="preserve"> FindCountryName(F170)</f>
        <v>None</v>
      </c>
      <c r="H170" s="1">
        <v>45338.167546296296</v>
      </c>
      <c r="I170" s="1">
        <v>45338.167546296296</v>
      </c>
      <c r="J170" s="1">
        <v>45115.177870370368</v>
      </c>
      <c r="K170" cm="1">
        <f t="array" ref="K170" xml:space="preserve"> sentimentCalc(C170)</f>
        <v>0</v>
      </c>
      <c r="L170" t="str" cm="1">
        <f t="array" ref="L170" xml:space="preserve"> sentimentCategory(K170)</f>
        <v>Neutral</v>
      </c>
    </row>
    <row r="171" spans="1:12">
      <c r="A171" t="s">
        <v>2820</v>
      </c>
      <c r="B171" t="s">
        <v>4444</v>
      </c>
      <c r="C171" t="str" cm="1">
        <f t="array" ref="C171" xml:space="preserve"> CleanText(B171)</f>
        <v>why katara and sokka is white</v>
      </c>
      <c r="D171">
        <v>0</v>
      </c>
      <c r="E171">
        <v>3</v>
      </c>
      <c r="F171" t="s">
        <v>0</v>
      </c>
      <c r="G171" t="str" cm="1">
        <f t="array" ref="G171" xml:space="preserve"> FindCountryName(F171)</f>
        <v>None</v>
      </c>
      <c r="H171" s="1">
        <v>45337.891145833331</v>
      </c>
      <c r="I171" s="1">
        <v>45338.42827546296</v>
      </c>
      <c r="J171" s="1">
        <v>44097.035856481481</v>
      </c>
      <c r="K171" cm="1">
        <f t="array" ref="K171" xml:space="preserve"> sentimentCalc(C171)</f>
        <v>0</v>
      </c>
      <c r="L171" t="str" cm="1">
        <f t="array" ref="L171" xml:space="preserve"> sentimentCategory(K171)</f>
        <v>Neutral</v>
      </c>
    </row>
    <row r="172" spans="1:12">
      <c r="A172" t="s">
        <v>707</v>
      </c>
      <c r="B172" t="s">
        <v>4443</v>
      </c>
      <c r="C172" t="str" cm="1">
        <f t="array" ref="C172" xml:space="preserve"> CleanText(B172)</f>
        <v>hey netflix can you guys make the legend of korra live action please</v>
      </c>
      <c r="D172">
        <v>0</v>
      </c>
      <c r="E172">
        <v>0</v>
      </c>
      <c r="F172" t="s">
        <v>0</v>
      </c>
      <c r="G172" t="str" cm="1">
        <f t="array" ref="G172" xml:space="preserve"> FindCountryName(F172)</f>
        <v>None</v>
      </c>
      <c r="H172" s="1">
        <v>45337.853402777779</v>
      </c>
      <c r="I172" s="1">
        <v>45337.853402777779</v>
      </c>
      <c r="J172" s="1">
        <v>45280.570949074077</v>
      </c>
      <c r="K172" cm="1">
        <f t="array" ref="K172" xml:space="preserve"> sentimentCalc(C172)</f>
        <v>1</v>
      </c>
      <c r="L172" t="str" cm="1">
        <f t="array" ref="L172" xml:space="preserve"> sentimentCategory(K172)</f>
        <v>Positive</v>
      </c>
    </row>
    <row r="173" spans="1:12">
      <c r="A173" t="s">
        <v>966</v>
      </c>
      <c r="B173" t="s">
        <v>4442</v>
      </c>
      <c r="C173" t="str" cm="1">
        <f t="array" ref="C173" xml:space="preserve"> CleanText(B173)</f>
        <v>the best movie ive ever seen in my life i definitely recommend you watch it</v>
      </c>
      <c r="D173">
        <v>0</v>
      </c>
      <c r="E173">
        <v>0</v>
      </c>
      <c r="F173" t="s">
        <v>0</v>
      </c>
      <c r="G173" t="str" cm="1">
        <f t="array" ref="G173" xml:space="preserve"> FindCountryName(F173)</f>
        <v>None</v>
      </c>
      <c r="H173" s="1">
        <v>45337.563263888886</v>
      </c>
      <c r="I173" s="1">
        <v>45337.563263888886</v>
      </c>
      <c r="J173" s="1">
        <v>45307.682719907411</v>
      </c>
      <c r="K173" cm="1">
        <f t="array" ref="K173" xml:space="preserve"> sentimentCalc(C173)</f>
        <v>5</v>
      </c>
      <c r="L173" t="str" cm="1">
        <f t="array" ref="L173" xml:space="preserve"> sentimentCategory(K173)</f>
        <v>Positive</v>
      </c>
    </row>
    <row r="174" spans="1:12">
      <c r="A174" t="s">
        <v>4441</v>
      </c>
      <c r="B174" t="s">
        <v>4440</v>
      </c>
      <c r="C174" t="str" cm="1">
        <f t="array" ref="C174" xml:space="preserve"> CleanText(B174)</f>
        <v>defalarca kez izlesem sikilmiyacagim gzel bir film</v>
      </c>
      <c r="D174">
        <v>0</v>
      </c>
      <c r="E174">
        <v>0</v>
      </c>
      <c r="F174" t="s">
        <v>0</v>
      </c>
      <c r="G174" t="str" cm="1">
        <f t="array" ref="G174" xml:space="preserve"> FindCountryName(F174)</f>
        <v>None</v>
      </c>
      <c r="H174" s="1">
        <v>45337.561192129629</v>
      </c>
      <c r="I174" s="1">
        <v>45337.561192129629</v>
      </c>
      <c r="J174" s="1">
        <v>45028.128993055558</v>
      </c>
      <c r="K174" cm="1">
        <f t="array" ref="K174" xml:space="preserve"> sentimentCalc(C174)</f>
        <v>0</v>
      </c>
      <c r="L174" t="str" cm="1">
        <f t="array" ref="L174" xml:space="preserve"> sentimentCategory(K174)</f>
        <v>Neutral</v>
      </c>
    </row>
    <row r="175" spans="1:12">
      <c r="A175" t="s">
        <v>269</v>
      </c>
      <c r="B175" t="s">
        <v>4439</v>
      </c>
      <c r="C175" t="str" cm="1">
        <f t="array" ref="C175" xml:space="preserve"> CleanText(B175)</f>
        <v>my favorite character since childhood is the avatar perfect movie</v>
      </c>
      <c r="D175">
        <v>0</v>
      </c>
      <c r="E175">
        <v>0</v>
      </c>
      <c r="F175" t="s">
        <v>0</v>
      </c>
      <c r="G175" t="str" cm="1">
        <f t="array" ref="G175" xml:space="preserve"> FindCountryName(F175)</f>
        <v>None</v>
      </c>
      <c r="H175" s="1">
        <v>45337.509282407409</v>
      </c>
      <c r="I175" s="1">
        <v>45337.509282407409</v>
      </c>
      <c r="J175" s="1">
        <v>42477.276446759257</v>
      </c>
      <c r="K175" cm="1">
        <f t="array" ref="K175" xml:space="preserve"> sentimentCalc(C175)</f>
        <v>5</v>
      </c>
      <c r="L175" t="str" cm="1">
        <f t="array" ref="L175" xml:space="preserve"> sentimentCategory(K175)</f>
        <v>Positive</v>
      </c>
    </row>
    <row r="176" spans="1:12">
      <c r="A176" t="s">
        <v>1471</v>
      </c>
      <c r="B176" t="s">
        <v>4438</v>
      </c>
      <c r="C176" t="str" cm="1">
        <f t="array" ref="C176" xml:space="preserve"> CleanText(B176)</f>
        <v>ok gzel grnyor iyi seyirler</v>
      </c>
      <c r="D176">
        <v>0</v>
      </c>
      <c r="E176">
        <v>0</v>
      </c>
      <c r="F176" t="s">
        <v>0</v>
      </c>
      <c r="G176" t="str" cm="1">
        <f t="array" ref="G176" xml:space="preserve"> FindCountryName(F176)</f>
        <v>None</v>
      </c>
      <c r="H176" s="1">
        <v>45337.500949074078</v>
      </c>
      <c r="I176" s="1">
        <v>45337.500949074078</v>
      </c>
      <c r="J176" s="1">
        <v>42267.392523148148</v>
      </c>
      <c r="K176" cm="1">
        <f t="array" ref="K176" xml:space="preserve"> sentimentCalc(C176)</f>
        <v>0</v>
      </c>
      <c r="L176" t="str" cm="1">
        <f t="array" ref="L176" xml:space="preserve"> sentimentCategory(K176)</f>
        <v>Neutral</v>
      </c>
    </row>
    <row r="177" spans="1:12">
      <c r="A177" t="s">
        <v>82</v>
      </c>
      <c r="B177" t="s">
        <v>4437</v>
      </c>
      <c r="C177" t="str" cm="1">
        <f t="array" ref="C177" xml:space="preserve"> CleanText(B177)</f>
        <v>sper film</v>
      </c>
      <c r="D177">
        <v>0</v>
      </c>
      <c r="E177">
        <v>0</v>
      </c>
      <c r="F177" t="s">
        <v>0</v>
      </c>
      <c r="G177" t="str" cm="1">
        <f t="array" ref="G177" xml:space="preserve"> FindCountryName(F177)</f>
        <v>None</v>
      </c>
      <c r="H177" s="1">
        <v>45337.497291666667</v>
      </c>
      <c r="I177" s="1">
        <v>45337.497291666667</v>
      </c>
      <c r="J177" s="1">
        <v>42846.67292824074</v>
      </c>
      <c r="K177" cm="1">
        <f t="array" ref="K177" xml:space="preserve"> sentimentCalc(C177)</f>
        <v>0</v>
      </c>
      <c r="L177" t="str" cm="1">
        <f t="array" ref="L177" xml:space="preserve"> sentimentCategory(K177)</f>
        <v>Neutral</v>
      </c>
    </row>
    <row r="178" spans="1:12">
      <c r="A178" t="s">
        <v>1454</v>
      </c>
      <c r="B178" t="s">
        <v>4436</v>
      </c>
      <c r="C178" t="str" cm="1">
        <f t="array" ref="C178" xml:space="preserve"> CleanText(B178)</f>
        <v>sper izlemeye deer tavsiye ederim</v>
      </c>
      <c r="D178">
        <v>0</v>
      </c>
      <c r="E178">
        <v>0</v>
      </c>
      <c r="F178" t="s">
        <v>0</v>
      </c>
      <c r="G178" t="str" cm="1">
        <f t="array" ref="G178" xml:space="preserve"> FindCountryName(F178)</f>
        <v>None</v>
      </c>
      <c r="H178" s="1">
        <v>45337.482094907406</v>
      </c>
      <c r="I178" s="1">
        <v>45337.482094907406</v>
      </c>
      <c r="J178" s="1">
        <v>45113.643182870372</v>
      </c>
      <c r="K178" cm="1">
        <f t="array" ref="K178" xml:space="preserve"> sentimentCalc(C178)</f>
        <v>0</v>
      </c>
      <c r="L178" t="str" cm="1">
        <f t="array" ref="L178" xml:space="preserve"> sentimentCategory(K178)</f>
        <v>Neutral</v>
      </c>
    </row>
    <row r="179" spans="1:12">
      <c r="A179" t="s">
        <v>14</v>
      </c>
      <c r="B179" t="s">
        <v>4435</v>
      </c>
      <c r="C179" t="str" cm="1">
        <f t="array" ref="C179" xml:space="preserve"> CleanText(B179)</f>
        <v>flim gzel ve sesleri ok elenceli geliyor bayldm biraz korkutucu ama iyi baya</v>
      </c>
      <c r="D179">
        <v>0</v>
      </c>
      <c r="E179">
        <v>0</v>
      </c>
      <c r="F179" t="s">
        <v>0</v>
      </c>
      <c r="G179" t="str" cm="1">
        <f t="array" ref="G179" xml:space="preserve"> FindCountryName(F179)</f>
        <v>None</v>
      </c>
      <c r="H179" s="1">
        <v>45337.481747685182</v>
      </c>
      <c r="I179" s="1">
        <v>45337.481747685182</v>
      </c>
      <c r="J179" s="1">
        <v>43597.565567129626</v>
      </c>
      <c r="K179" cm="1">
        <f t="array" ref="K179" xml:space="preserve"> sentimentCalc(C179)</f>
        <v>0</v>
      </c>
      <c r="L179" t="str" cm="1">
        <f t="array" ref="L179" xml:space="preserve"> sentimentCategory(K179)</f>
        <v>Neutral</v>
      </c>
    </row>
    <row r="180" spans="1:12">
      <c r="A180" t="s">
        <v>72</v>
      </c>
      <c r="B180" t="s">
        <v>4434</v>
      </c>
      <c r="C180" t="str" cm="1">
        <f t="array" ref="C180" xml:space="preserve"> CleanText(B180)</f>
        <v>srkleyici iyiki netflix var</v>
      </c>
      <c r="D180">
        <v>0</v>
      </c>
      <c r="E180">
        <v>0</v>
      </c>
      <c r="F180" t="s">
        <v>0</v>
      </c>
      <c r="G180" t="str" cm="1">
        <f t="array" ref="G180" xml:space="preserve"> FindCountryName(F180)</f>
        <v>None</v>
      </c>
      <c r="H180" s="1">
        <v>45337.471782407411</v>
      </c>
      <c r="I180" s="1">
        <v>45337.471782407411</v>
      </c>
      <c r="J180" s="1">
        <v>45334.383287037039</v>
      </c>
      <c r="K180" cm="1">
        <f t="array" ref="K180" xml:space="preserve"> sentimentCalc(C180)</f>
        <v>0</v>
      </c>
      <c r="L180" t="str" cm="1">
        <f t="array" ref="L180" xml:space="preserve"> sentimentCategory(K180)</f>
        <v>Neutral</v>
      </c>
    </row>
    <row r="181" spans="1:12">
      <c r="A181" t="s">
        <v>994</v>
      </c>
      <c r="B181" t="s">
        <v>4433</v>
      </c>
      <c r="C181" t="str" cm="1">
        <f t="array" ref="C181" xml:space="preserve"> CleanText(B181)</f>
        <v>mkemmel kaliteli _xDF89_</v>
      </c>
      <c r="D181">
        <v>0</v>
      </c>
      <c r="E181">
        <v>0</v>
      </c>
      <c r="F181" t="s">
        <v>0</v>
      </c>
      <c r="G181" t="str" cm="1">
        <f t="array" ref="G181" xml:space="preserve"> FindCountryName(F181)</f>
        <v>None</v>
      </c>
      <c r="H181" s="1">
        <v>45337.465601851851</v>
      </c>
      <c r="I181" s="1">
        <v>45337.465601851851</v>
      </c>
      <c r="J181" s="1">
        <v>45307.33457175926</v>
      </c>
      <c r="K181" cm="1">
        <f t="array" ref="K181" xml:space="preserve"> sentimentCalc(C181)</f>
        <v>0</v>
      </c>
      <c r="L181" t="str" cm="1">
        <f t="array" ref="L181" xml:space="preserve"> sentimentCategory(K181)</f>
        <v>Neutral</v>
      </c>
    </row>
    <row r="182" spans="1:12">
      <c r="A182" t="s">
        <v>367</v>
      </c>
      <c r="B182" t="s">
        <v>4432</v>
      </c>
      <c r="C182" t="str" cm="1">
        <f t="array" ref="C182" xml:space="preserve"> CleanText(B182)</f>
        <v>nie</v>
      </c>
      <c r="D182">
        <v>0</v>
      </c>
      <c r="E182">
        <v>0</v>
      </c>
      <c r="F182" t="s">
        <v>0</v>
      </c>
      <c r="G182" t="str" cm="1">
        <f t="array" ref="G182" xml:space="preserve"> FindCountryName(F182)</f>
        <v>None</v>
      </c>
      <c r="H182" s="1">
        <v>45337.414722222224</v>
      </c>
      <c r="I182" s="1">
        <v>45337.414722222224</v>
      </c>
      <c r="J182" s="1">
        <v>42514.443831018521</v>
      </c>
      <c r="K182" cm="1">
        <f t="array" ref="K182" xml:space="preserve"> sentimentCalc(C182)</f>
        <v>0</v>
      </c>
      <c r="L182" t="str" cm="1">
        <f t="array" ref="L182" xml:space="preserve"> sentimentCategory(K182)</f>
        <v>Neutral</v>
      </c>
    </row>
    <row r="183" spans="1:12">
      <c r="A183" t="s">
        <v>763</v>
      </c>
      <c r="B183" t="s">
        <v>4431</v>
      </c>
      <c r="C183" t="str" cm="1">
        <f t="array" ref="C183" xml:space="preserve"> CleanText(B183)</f>
        <v>ok gzel bir film izleyeceim</v>
      </c>
      <c r="D183">
        <v>0</v>
      </c>
      <c r="E183">
        <v>0</v>
      </c>
      <c r="F183" t="s">
        <v>0</v>
      </c>
      <c r="G183" t="str" cm="1">
        <f t="array" ref="G183" xml:space="preserve"> FindCountryName(F183)</f>
        <v>None</v>
      </c>
      <c r="H183" s="1">
        <v>45337.412627314814</v>
      </c>
      <c r="I183" s="1">
        <v>45337.412627314814</v>
      </c>
      <c r="J183" s="1">
        <v>45337.387245370373</v>
      </c>
      <c r="K183" cm="1">
        <f t="array" ref="K183" xml:space="preserve"> sentimentCalc(C183)</f>
        <v>0</v>
      </c>
      <c r="L183" t="str" cm="1">
        <f t="array" ref="L183" xml:space="preserve"> sentimentCategory(K183)</f>
        <v>Neutral</v>
      </c>
    </row>
    <row r="184" spans="1:12">
      <c r="A184" t="s">
        <v>514</v>
      </c>
      <c r="B184" t="s">
        <v>4430</v>
      </c>
      <c r="C184" t="str" cm="1">
        <f t="array" ref="C184" xml:space="preserve"> CleanText(B184)</f>
        <v>it was a very good movie the graphics and sound were great</v>
      </c>
      <c r="D184">
        <v>0</v>
      </c>
      <c r="E184">
        <v>0</v>
      </c>
      <c r="F184" t="s">
        <v>0</v>
      </c>
      <c r="G184" t="str" cm="1">
        <f t="array" ref="G184" xml:space="preserve"> FindCountryName(F184)</f>
        <v>None</v>
      </c>
      <c r="H184" s="1">
        <v>45337.404826388891</v>
      </c>
      <c r="I184" s="1">
        <v>45337.404826388891</v>
      </c>
      <c r="J184" s="1">
        <v>42085.377928240741</v>
      </c>
      <c r="K184" cm="1">
        <f t="array" ref="K184" xml:space="preserve"> sentimentCalc(C184)</f>
        <v>6</v>
      </c>
      <c r="L184" t="str" cm="1">
        <f t="array" ref="L184" xml:space="preserve"> sentimentCategory(K184)</f>
        <v>Positive</v>
      </c>
    </row>
    <row r="185" spans="1:12">
      <c r="A185" t="s">
        <v>994</v>
      </c>
      <c r="B185" t="s">
        <v>4429</v>
      </c>
      <c r="C185" t="str" cm="1">
        <f t="array" ref="C185" xml:space="preserve"> CleanText(B185)</f>
        <v>mkemmel kalite _xDF89_</v>
      </c>
      <c r="D185">
        <v>0</v>
      </c>
      <c r="E185">
        <v>0</v>
      </c>
      <c r="F185" t="s">
        <v>0</v>
      </c>
      <c r="G185" t="str" cm="1">
        <f t="array" ref="G185" xml:space="preserve"> FindCountryName(F185)</f>
        <v>None</v>
      </c>
      <c r="H185" s="1">
        <v>45337.402407407404</v>
      </c>
      <c r="I185" s="1">
        <v>45337.402407407404</v>
      </c>
      <c r="J185" s="1">
        <v>45307.33457175926</v>
      </c>
      <c r="K185" cm="1">
        <f t="array" ref="K185" xml:space="preserve"> sentimentCalc(C185)</f>
        <v>0</v>
      </c>
      <c r="L185" t="str" cm="1">
        <f t="array" ref="L185" xml:space="preserve"> sentimentCategory(K185)</f>
        <v>Neutral</v>
      </c>
    </row>
    <row r="186" spans="1:12">
      <c r="A186" t="s">
        <v>4302</v>
      </c>
      <c r="B186" t="s">
        <v>4428</v>
      </c>
      <c r="C186" t="str" cm="1">
        <f t="array" ref="C186" xml:space="preserve"> CleanText(B186)</f>
        <v>sper _xDF89_</v>
      </c>
      <c r="D186">
        <v>0</v>
      </c>
      <c r="E186">
        <v>0</v>
      </c>
      <c r="F186" t="s">
        <v>0</v>
      </c>
      <c r="G186" t="str" cm="1">
        <f t="array" ref="G186" xml:space="preserve"> FindCountryName(F186)</f>
        <v>None</v>
      </c>
      <c r="H186" s="1">
        <v>45337.394143518519</v>
      </c>
      <c r="I186" s="1">
        <v>45337.394143518519</v>
      </c>
      <c r="J186" s="1">
        <v>41517.498472222222</v>
      </c>
      <c r="K186" cm="1">
        <f t="array" ref="K186" xml:space="preserve"> sentimentCalc(C186)</f>
        <v>0</v>
      </c>
      <c r="L186" t="str" cm="1">
        <f t="array" ref="L186" xml:space="preserve"> sentimentCategory(K186)</f>
        <v>Neutral</v>
      </c>
    </row>
    <row r="187" spans="1:12">
      <c r="A187" t="s">
        <v>415</v>
      </c>
      <c r="B187" t="s">
        <v>4427</v>
      </c>
      <c r="C187" t="str" cm="1">
        <f t="array" ref="C187" xml:space="preserve"> CleanText(B187)</f>
        <v>film efsane bir ey kesinlikle herkesi izlemesini tavsiye ederim</v>
      </c>
      <c r="D187">
        <v>0</v>
      </c>
      <c r="E187">
        <v>0</v>
      </c>
      <c r="F187" t="s">
        <v>0</v>
      </c>
      <c r="G187" t="str" cm="1">
        <f t="array" ref="G187" xml:space="preserve"> FindCountryName(F187)</f>
        <v>None</v>
      </c>
      <c r="H187" s="1">
        <v>45337.388518518521</v>
      </c>
      <c r="I187" s="1">
        <v>45337.388518518521</v>
      </c>
      <c r="J187" s="1">
        <v>42000.250127314815</v>
      </c>
      <c r="K187" cm="1">
        <f t="array" ref="K187" xml:space="preserve"> sentimentCalc(C187)</f>
        <v>0</v>
      </c>
      <c r="L187" t="str" cm="1">
        <f t="array" ref="L187" xml:space="preserve"> sentimentCategory(K187)</f>
        <v>Neutral</v>
      </c>
    </row>
    <row r="188" spans="1:12">
      <c r="A188" t="s">
        <v>269</v>
      </c>
      <c r="B188" t="s">
        <v>4426</v>
      </c>
      <c r="C188" t="str" cm="1">
        <f t="array" ref="C188" xml:space="preserve"> CleanText(B188)</f>
        <v>kesin izlenmesi gereken filmler</v>
      </c>
      <c r="D188">
        <v>0</v>
      </c>
      <c r="E188">
        <v>0</v>
      </c>
      <c r="F188" t="s">
        <v>0</v>
      </c>
      <c r="G188" t="str" cm="1">
        <f t="array" ref="G188" xml:space="preserve"> FindCountryName(F188)</f>
        <v>None</v>
      </c>
      <c r="H188" s="1">
        <v>45337.388506944444</v>
      </c>
      <c r="I188" s="1">
        <v>45337.388506944444</v>
      </c>
      <c r="J188" s="1">
        <v>41645.161446759259</v>
      </c>
      <c r="K188" cm="1">
        <f t="array" ref="K188" xml:space="preserve"> sentimentCalc(C188)</f>
        <v>0</v>
      </c>
      <c r="L188" t="str" cm="1">
        <f t="array" ref="L188" xml:space="preserve"> sentimentCategory(K188)</f>
        <v>Neutral</v>
      </c>
    </row>
    <row r="189" spans="1:12">
      <c r="A189" t="s">
        <v>710</v>
      </c>
      <c r="B189" t="s">
        <v>4425</v>
      </c>
      <c r="C189" t="str" cm="1">
        <f t="array" ref="C189" xml:space="preserve"> CleanText(B189)</f>
        <v>zleyin izlettirin daha iyisi yok bence</v>
      </c>
      <c r="D189">
        <v>0</v>
      </c>
      <c r="E189">
        <v>0</v>
      </c>
      <c r="F189" t="s">
        <v>0</v>
      </c>
      <c r="G189" t="str" cm="1">
        <f t="array" ref="G189" xml:space="preserve"> FindCountryName(F189)</f>
        <v>None</v>
      </c>
      <c r="H189" s="1">
        <v>45337.385798611111</v>
      </c>
      <c r="I189" s="1">
        <v>45337.385798611111</v>
      </c>
      <c r="J189" s="1">
        <v>43458.638645833336</v>
      </c>
      <c r="K189" cm="1">
        <f t="array" ref="K189" xml:space="preserve"> sentimentCalc(C189)</f>
        <v>0</v>
      </c>
      <c r="L189" t="str" cm="1">
        <f t="array" ref="L189" xml:space="preserve"> sentimentCategory(K189)</f>
        <v>Neutral</v>
      </c>
    </row>
    <row r="190" spans="1:12">
      <c r="A190" t="s">
        <v>2187</v>
      </c>
      <c r="B190" t="s">
        <v>4424</v>
      </c>
      <c r="C190" t="str" cm="1">
        <f t="array" ref="C190" xml:space="preserve"> CleanText(B190)</f>
        <v>tebrikler gzel bir alma olmu tavsiye ederim</v>
      </c>
      <c r="D190">
        <v>0</v>
      </c>
      <c r="E190">
        <v>0</v>
      </c>
      <c r="F190" t="s">
        <v>0</v>
      </c>
      <c r="G190" t="str" cm="1">
        <f t="array" ref="G190" xml:space="preserve"> FindCountryName(F190)</f>
        <v>None</v>
      </c>
      <c r="H190" s="1">
        <v>45337.381712962961</v>
      </c>
      <c r="I190" s="1">
        <v>45337.381712962961</v>
      </c>
      <c r="J190" s="1">
        <v>41517.615046296298</v>
      </c>
      <c r="K190" cm="1">
        <f t="array" ref="K190" xml:space="preserve"> sentimentCalc(C190)</f>
        <v>0</v>
      </c>
      <c r="L190" t="str" cm="1">
        <f t="array" ref="L190" xml:space="preserve"> sentimentCategory(K190)</f>
        <v>Neutral</v>
      </c>
    </row>
    <row r="191" spans="1:12">
      <c r="A191" t="s">
        <v>1769</v>
      </c>
      <c r="B191" t="s">
        <v>4423</v>
      </c>
      <c r="C191" t="str" cm="1">
        <f t="array" ref="C191" xml:space="preserve"> CleanText(B191)</f>
        <v>bu gercekten iyidir izlemek lazim aslinda</v>
      </c>
      <c r="D191">
        <v>0</v>
      </c>
      <c r="E191">
        <v>0</v>
      </c>
      <c r="F191" t="s">
        <v>0</v>
      </c>
      <c r="G191" t="str" cm="1">
        <f t="array" ref="G191" xml:space="preserve"> FindCountryName(F191)</f>
        <v>None</v>
      </c>
      <c r="H191" s="1">
        <v>45337.380995370368</v>
      </c>
      <c r="I191" s="1">
        <v>45337.380995370368</v>
      </c>
      <c r="J191" s="1">
        <v>43269.863136574073</v>
      </c>
      <c r="K191" cm="1">
        <f t="array" ref="K191" xml:space="preserve"> sentimentCalc(C191)</f>
        <v>0</v>
      </c>
      <c r="L191" t="str" cm="1">
        <f t="array" ref="L191" xml:space="preserve"> sentimentCategory(K191)</f>
        <v>Neutral</v>
      </c>
    </row>
    <row r="192" spans="1:12">
      <c r="A192" t="s">
        <v>1087</v>
      </c>
      <c r="B192" t="s">
        <v>4422</v>
      </c>
      <c r="C192" t="str" cm="1">
        <f t="array" ref="C192" xml:space="preserve"> CleanText(B192)</f>
        <v>avatar is really an interesting movie its interesting that you can control water fire and wind</v>
      </c>
      <c r="D192">
        <v>0</v>
      </c>
      <c r="E192">
        <v>0</v>
      </c>
      <c r="F192" t="s">
        <v>1523</v>
      </c>
      <c r="G192" t="str" cm="1">
        <f t="array" ref="G192" xml:space="preserve"> FindCountryName(F192)</f>
        <v>Turkey</v>
      </c>
      <c r="H192" s="1">
        <v>45337.380729166667</v>
      </c>
      <c r="I192" s="1">
        <v>45337.380729166667</v>
      </c>
      <c r="J192" s="1">
        <v>44635.628368055557</v>
      </c>
      <c r="K192" cm="1">
        <f t="array" ref="K192" xml:space="preserve"> sentimentCalc(C192)</f>
        <v>2</v>
      </c>
      <c r="L192" t="str" cm="1">
        <f t="array" ref="L192" xml:space="preserve"> sentimentCategory(K192)</f>
        <v>Positive</v>
      </c>
    </row>
    <row r="193" spans="1:12">
      <c r="A193" t="s">
        <v>146</v>
      </c>
      <c r="B193" t="s">
        <v>4421</v>
      </c>
      <c r="C193" t="str" cm="1">
        <f t="array" ref="C193" xml:space="preserve"> CleanText(B193)</f>
        <v>ok iyi film harika</v>
      </c>
      <c r="D193">
        <v>0</v>
      </c>
      <c r="E193">
        <v>0</v>
      </c>
      <c r="F193" t="s">
        <v>0</v>
      </c>
      <c r="G193" t="str" cm="1">
        <f t="array" ref="G193" xml:space="preserve"> FindCountryName(F193)</f>
        <v>None</v>
      </c>
      <c r="H193" s="1">
        <v>45337.38045138889</v>
      </c>
      <c r="I193" s="1">
        <v>45337.38045138889</v>
      </c>
      <c r="J193" s="1">
        <v>45337.254351851851</v>
      </c>
      <c r="K193" cm="1">
        <f t="array" ref="K193" xml:space="preserve"> sentimentCalc(C193)</f>
        <v>0</v>
      </c>
      <c r="L193" t="str" cm="1">
        <f t="array" ref="L193" xml:space="preserve"> sentimentCategory(K193)</f>
        <v>Neutral</v>
      </c>
    </row>
    <row r="194" spans="1:12">
      <c r="A194" t="s">
        <v>694</v>
      </c>
      <c r="B194" t="s">
        <v>4420</v>
      </c>
      <c r="C194" t="str" cm="1">
        <f t="array" ref="C194" xml:space="preserve"> CleanText(B194)</f>
        <v>kaliteli</v>
      </c>
      <c r="D194">
        <v>0</v>
      </c>
      <c r="E194">
        <v>0</v>
      </c>
      <c r="F194" t="s">
        <v>0</v>
      </c>
      <c r="G194" t="str" cm="1">
        <f t="array" ref="G194" xml:space="preserve"> FindCountryName(F194)</f>
        <v>None</v>
      </c>
      <c r="H194" s="1">
        <v>45337.380439814813</v>
      </c>
      <c r="I194" s="1">
        <v>45337.380439814813</v>
      </c>
      <c r="J194" s="1">
        <v>42371.442754629628</v>
      </c>
      <c r="K194" cm="1">
        <f t="array" ref="K194" xml:space="preserve"> sentimentCalc(C194)</f>
        <v>0</v>
      </c>
      <c r="L194" t="str" cm="1">
        <f t="array" ref="L194" xml:space="preserve"> sentimentCategory(K194)</f>
        <v>Neutral</v>
      </c>
    </row>
    <row r="195" spans="1:12">
      <c r="A195" t="s">
        <v>826</v>
      </c>
      <c r="B195" t="s">
        <v>4419</v>
      </c>
      <c r="C195" t="str" cm="1">
        <f t="array" ref="C195" xml:space="preserve"> CleanText(B195)</f>
        <v>netflix avatar filmi merakl ve heyecanla beklemekteyim</v>
      </c>
      <c r="D195">
        <v>0</v>
      </c>
      <c r="E195">
        <v>0</v>
      </c>
      <c r="F195" t="s">
        <v>0</v>
      </c>
      <c r="G195" t="str" cm="1">
        <f t="array" ref="G195" xml:space="preserve"> FindCountryName(F195)</f>
        <v>None</v>
      </c>
      <c r="H195" s="1">
        <v>45337.380173611113</v>
      </c>
      <c r="I195" s="1">
        <v>45337.380173611113</v>
      </c>
      <c r="J195" s="1">
        <v>41327.584409722222</v>
      </c>
      <c r="K195" cm="1">
        <f t="array" ref="K195" xml:space="preserve"> sentimentCalc(C195)</f>
        <v>0</v>
      </c>
      <c r="L195" t="str" cm="1">
        <f t="array" ref="L195" xml:space="preserve"> sentimentCategory(K195)</f>
        <v>Neutral</v>
      </c>
    </row>
    <row r="196" spans="1:12">
      <c r="A196" t="s">
        <v>36</v>
      </c>
      <c r="B196" t="s">
        <v>4418</v>
      </c>
      <c r="C196" t="str" cm="1">
        <f t="array" ref="C196" xml:space="preserve"> CleanText(B196)</f>
        <v>sper</v>
      </c>
      <c r="D196">
        <v>0</v>
      </c>
      <c r="E196">
        <v>0</v>
      </c>
      <c r="F196" t="s">
        <v>0</v>
      </c>
      <c r="G196" t="str" cm="1">
        <f t="array" ref="G196" xml:space="preserve"> FindCountryName(F196)</f>
        <v>None</v>
      </c>
      <c r="H196" s="1">
        <v>45337.379548611112</v>
      </c>
      <c r="I196" s="1">
        <v>45337.379548611112</v>
      </c>
      <c r="J196" s="1">
        <v>45317.599976851852</v>
      </c>
      <c r="K196" cm="1">
        <f t="array" ref="K196" xml:space="preserve"> sentimentCalc(C196)</f>
        <v>0</v>
      </c>
      <c r="L196" t="str" cm="1">
        <f t="array" ref="L196" xml:space="preserve"> sentimentCategory(K196)</f>
        <v>Neutral</v>
      </c>
    </row>
    <row r="197" spans="1:12">
      <c r="A197" t="s">
        <v>1129</v>
      </c>
      <c r="B197" t="s">
        <v>4417</v>
      </c>
      <c r="C197" t="str" cm="1">
        <f t="array" ref="C197" xml:space="preserve"> CleanText(B197)</f>
        <v>bu bir efsane mutlaka izlenecekler arasnda yer alacak bir film</v>
      </c>
      <c r="D197">
        <v>0</v>
      </c>
      <c r="E197">
        <v>0</v>
      </c>
      <c r="F197" t="s">
        <v>0</v>
      </c>
      <c r="G197" t="str" cm="1">
        <f t="array" ref="G197" xml:space="preserve"> FindCountryName(F197)</f>
        <v>None</v>
      </c>
      <c r="H197" s="1">
        <v>45337.379363425927</v>
      </c>
      <c r="I197" s="1">
        <v>45337.379363425927</v>
      </c>
      <c r="J197" s="1">
        <v>45337.269629629627</v>
      </c>
      <c r="K197" cm="1">
        <f t="array" ref="K197" xml:space="preserve"> sentimentCalc(C197)</f>
        <v>0</v>
      </c>
      <c r="L197" t="str" cm="1">
        <f t="array" ref="L197" xml:space="preserve"> sentimentCategory(K197)</f>
        <v>Neutral</v>
      </c>
    </row>
    <row r="198" spans="1:12">
      <c r="A198" t="s">
        <v>367</v>
      </c>
      <c r="B198" t="s">
        <v>4416</v>
      </c>
      <c r="C198" t="str" cm="1">
        <f t="array" ref="C198" xml:space="preserve"> CleanText(B198)</f>
        <v>ocukluum aklma geldi mutlaka izleyeceim gelmi gemi en iyi film</v>
      </c>
      <c r="D198">
        <v>0</v>
      </c>
      <c r="E198">
        <v>0</v>
      </c>
      <c r="F198" t="s">
        <v>0</v>
      </c>
      <c r="G198" t="str" cm="1">
        <f t="array" ref="G198" xml:space="preserve"> FindCountryName(F198)</f>
        <v>None</v>
      </c>
      <c r="H198" s="1">
        <v>45337.379004629627</v>
      </c>
      <c r="I198" s="1">
        <v>45337.379004629627</v>
      </c>
      <c r="J198" s="1">
        <v>43034.55982638889</v>
      </c>
      <c r="K198" cm="1">
        <f t="array" ref="K198" xml:space="preserve"> sentimentCalc(C198)</f>
        <v>0</v>
      </c>
      <c r="L198" t="str" cm="1">
        <f t="array" ref="L198" xml:space="preserve"> sentimentCategory(K198)</f>
        <v>Neutral</v>
      </c>
    </row>
    <row r="199" spans="1:12">
      <c r="A199" t="s">
        <v>460</v>
      </c>
      <c r="B199" t="s">
        <v>4415</v>
      </c>
      <c r="C199" t="str" cm="1">
        <f t="array" ref="C199" xml:space="preserve"> CleanText(B199)</f>
        <v>its a great movie i recommend it to everyone</v>
      </c>
      <c r="D199">
        <v>0</v>
      </c>
      <c r="E199">
        <v>0</v>
      </c>
      <c r="F199" t="s">
        <v>0</v>
      </c>
      <c r="G199" t="str" cm="1">
        <f t="array" ref="G199" xml:space="preserve"> FindCountryName(F199)</f>
        <v>None</v>
      </c>
      <c r="H199" s="1">
        <v>45337.378611111111</v>
      </c>
      <c r="I199" s="1">
        <v>45337.378611111111</v>
      </c>
      <c r="J199" s="1">
        <v>44939.160775462966</v>
      </c>
      <c r="K199" cm="1">
        <f t="array" ref="K199" xml:space="preserve"> sentimentCalc(C199)</f>
        <v>5</v>
      </c>
      <c r="L199" t="str" cm="1">
        <f t="array" ref="L199" xml:space="preserve"> sentimentCategory(K199)</f>
        <v>Positive</v>
      </c>
    </row>
    <row r="200" spans="1:12">
      <c r="A200" t="s">
        <v>700</v>
      </c>
      <c r="B200" t="s">
        <v>4414</v>
      </c>
      <c r="C200" t="str" cm="1">
        <f t="array" ref="C200" xml:space="preserve"> CleanText(B200)</f>
        <v>this is what i was waiting for finally a proper live action adaptation</v>
      </c>
      <c r="D200">
        <v>0</v>
      </c>
      <c r="E200">
        <v>0</v>
      </c>
      <c r="F200" t="s">
        <v>0</v>
      </c>
      <c r="G200" t="str" cm="1">
        <f t="array" ref="G200" xml:space="preserve"> FindCountryName(F200)</f>
        <v>None</v>
      </c>
      <c r="H200" s="1">
        <v>45337.378055555557</v>
      </c>
      <c r="I200" s="1">
        <v>45337.378055555557</v>
      </c>
      <c r="J200" s="1">
        <v>41530.209837962961</v>
      </c>
      <c r="K200" cm="1">
        <f t="array" ref="K200" xml:space="preserve"> sentimentCalc(C200)</f>
        <v>0</v>
      </c>
      <c r="L200" t="str" cm="1">
        <f t="array" ref="L200" xml:space="preserve"> sentimentCategory(K200)</f>
        <v>Neutral</v>
      </c>
    </row>
    <row r="201" spans="1:12">
      <c r="A201" t="s">
        <v>1154</v>
      </c>
      <c r="B201" t="s">
        <v>4413</v>
      </c>
      <c r="C201" t="str" cm="1">
        <f t="array" ref="C201" xml:space="preserve"> CleanText(B201)</f>
        <v>mkemmel fantastik bir film olmus tebrikler</v>
      </c>
      <c r="D201">
        <v>0</v>
      </c>
      <c r="E201">
        <v>0</v>
      </c>
      <c r="F201" t="s">
        <v>1523</v>
      </c>
      <c r="G201" t="str" cm="1">
        <f t="array" ref="G201" xml:space="preserve"> FindCountryName(F201)</f>
        <v>Turkey</v>
      </c>
      <c r="H201" s="1">
        <v>45337.377696759257</v>
      </c>
      <c r="I201" s="1">
        <v>45337.377696759257</v>
      </c>
      <c r="J201" s="1">
        <v>43408.378472222219</v>
      </c>
      <c r="K201" cm="1">
        <f t="array" ref="K201" xml:space="preserve"> sentimentCalc(C201)</f>
        <v>0</v>
      </c>
      <c r="L201" t="str" cm="1">
        <f t="array" ref="L201" xml:space="preserve"> sentimentCategory(K201)</f>
        <v>Neutral</v>
      </c>
    </row>
    <row r="202" spans="1:12">
      <c r="A202" t="s">
        <v>566</v>
      </c>
      <c r="B202" t="s">
        <v>4412</v>
      </c>
      <c r="C202" t="str" cm="1">
        <f t="array" ref="C202" xml:space="preserve"> CleanText(B202)</f>
        <v>hadi izleyelim bakalim</v>
      </c>
      <c r="D202">
        <v>0</v>
      </c>
      <c r="E202">
        <v>0</v>
      </c>
      <c r="F202" t="s">
        <v>0</v>
      </c>
      <c r="G202" t="str" cm="1">
        <f t="array" ref="G202" xml:space="preserve"> FindCountryName(F202)</f>
        <v>None</v>
      </c>
      <c r="H202" s="1">
        <v>45337.377638888887</v>
      </c>
      <c r="I202" s="1">
        <v>45337.377638888887</v>
      </c>
      <c r="J202" s="1">
        <v>41724.377662037034</v>
      </c>
      <c r="K202" cm="1">
        <f t="array" ref="K202" xml:space="preserve"> sentimentCalc(C202)</f>
        <v>0</v>
      </c>
      <c r="L202" t="str" cm="1">
        <f t="array" ref="L202" xml:space="preserve"> sentimentCategory(K202)</f>
        <v>Neutral</v>
      </c>
    </row>
    <row r="203" spans="1:12">
      <c r="A203" t="s">
        <v>1159</v>
      </c>
      <c r="B203" t="s">
        <v>4411</v>
      </c>
      <c r="C203" t="str" cm="1">
        <f t="array" ref="C203" xml:space="preserve"> CleanText(B203)</f>
        <v>beatufil  the musibet alone gives me chillis</v>
      </c>
      <c r="D203">
        <v>0</v>
      </c>
      <c r="E203">
        <v>0</v>
      </c>
      <c r="F203" t="s">
        <v>0</v>
      </c>
      <c r="G203" t="str" cm="1">
        <f t="array" ref="G203" xml:space="preserve"> FindCountryName(F203)</f>
        <v>None</v>
      </c>
      <c r="H203" s="1">
        <v>45337.377488425926</v>
      </c>
      <c r="I203" s="1">
        <v>45337.377488425926</v>
      </c>
      <c r="J203" s="1">
        <v>44908.322118055556</v>
      </c>
      <c r="K203" cm="1">
        <f t="array" ref="K203" xml:space="preserve"> sentimentCalc(C203)</f>
        <v>-2</v>
      </c>
      <c r="L203" t="str" cm="1">
        <f t="array" ref="L203" xml:space="preserve"> sentimentCategory(K203)</f>
        <v>Negative</v>
      </c>
    </row>
    <row r="204" spans="1:12">
      <c r="A204" t="s">
        <v>508</v>
      </c>
      <c r="B204" t="s">
        <v>4410</v>
      </c>
      <c r="C204" t="str" cm="1">
        <f t="array" ref="C204" xml:space="preserve"> CleanText(B204)</f>
        <v>like this movie</v>
      </c>
      <c r="D204">
        <v>0</v>
      </c>
      <c r="E204">
        <v>0</v>
      </c>
      <c r="F204" t="s">
        <v>0</v>
      </c>
      <c r="G204" t="str" cm="1">
        <f t="array" ref="G204" xml:space="preserve"> FindCountryName(F204)</f>
        <v>None</v>
      </c>
      <c r="H204" s="1">
        <v>45337.37740740741</v>
      </c>
      <c r="I204" s="1">
        <v>45337.37740740741</v>
      </c>
      <c r="J204" s="1">
        <v>43615.4062962963</v>
      </c>
      <c r="K204" cm="1">
        <f t="array" ref="K204" xml:space="preserve"> sentimentCalc(C204)</f>
        <v>2</v>
      </c>
      <c r="L204" t="str" cm="1">
        <f t="array" ref="L204" xml:space="preserve"> sentimentCategory(K204)</f>
        <v>Positive</v>
      </c>
    </row>
    <row r="205" spans="1:12">
      <c r="A205" t="s">
        <v>2067</v>
      </c>
      <c r="B205" t="s">
        <v>4409</v>
      </c>
      <c r="C205" t="str" cm="1">
        <f t="array" ref="C205" xml:space="preserve"> CleanText(B205)</f>
        <v>lets see how it goes _xDC47_</v>
      </c>
      <c r="D205">
        <v>0</v>
      </c>
      <c r="E205">
        <v>0</v>
      </c>
      <c r="F205" t="s">
        <v>0</v>
      </c>
      <c r="G205" t="str" cm="1">
        <f t="array" ref="G205" xml:space="preserve"> FindCountryName(F205)</f>
        <v>None</v>
      </c>
      <c r="H205" s="1">
        <v>45337.377303240741</v>
      </c>
      <c r="I205" s="1">
        <v>45337.377303240741</v>
      </c>
      <c r="J205" s="1">
        <v>43722.646493055552</v>
      </c>
      <c r="K205" cm="1">
        <f t="array" ref="K205" xml:space="preserve"> sentimentCalc(C205)</f>
        <v>0</v>
      </c>
      <c r="L205" t="str" cm="1">
        <f t="array" ref="L205" xml:space="preserve"> sentimentCategory(K205)</f>
        <v>Neutral</v>
      </c>
    </row>
    <row r="206" spans="1:12">
      <c r="A206" t="s">
        <v>4408</v>
      </c>
      <c r="B206" t="s">
        <v>4407</v>
      </c>
      <c r="C206" t="str" cm="1">
        <f t="array" ref="C206" xml:space="preserve"> CleanText(B206)</f>
        <v>herkes izlemeli</v>
      </c>
      <c r="D206">
        <v>0</v>
      </c>
      <c r="E206">
        <v>0</v>
      </c>
      <c r="F206" t="s">
        <v>1523</v>
      </c>
      <c r="G206" t="str" cm="1">
        <f t="array" ref="G206" xml:space="preserve"> FindCountryName(F206)</f>
        <v>Turkey</v>
      </c>
      <c r="H206" s="1">
        <v>45337.377129629633</v>
      </c>
      <c r="I206" s="1">
        <v>45337.377129629633</v>
      </c>
      <c r="J206" s="1">
        <v>40943.598495370374</v>
      </c>
      <c r="K206" cm="1">
        <f t="array" ref="K206" xml:space="preserve"> sentimentCalc(C206)</f>
        <v>0</v>
      </c>
      <c r="L206" t="str" cm="1">
        <f t="array" ref="L206" xml:space="preserve"> sentimentCategory(K206)</f>
        <v>Neutral</v>
      </c>
    </row>
    <row r="207" spans="1:12">
      <c r="A207" t="s">
        <v>494</v>
      </c>
      <c r="B207" t="s">
        <v>4406</v>
      </c>
      <c r="C207" t="str" cm="1">
        <f t="array" ref="C207" xml:space="preserve"> CleanText(B207)</f>
        <v>ocukluk kahramanm avatar arkadalarla izlemek iin gn sayyoruz</v>
      </c>
      <c r="D207">
        <v>0</v>
      </c>
      <c r="E207">
        <v>0</v>
      </c>
      <c r="F207" t="s">
        <v>0</v>
      </c>
      <c r="G207" t="str" cm="1">
        <f t="array" ref="G207" xml:space="preserve"> FindCountryName(F207)</f>
        <v>None</v>
      </c>
      <c r="H207" s="1">
        <v>45337.376446759263</v>
      </c>
      <c r="I207" s="1">
        <v>45337.376446759263</v>
      </c>
      <c r="J207" s="1">
        <v>43314.223958333336</v>
      </c>
      <c r="K207" cm="1">
        <f t="array" ref="K207" xml:space="preserve"> sentimentCalc(C207)</f>
        <v>0</v>
      </c>
      <c r="L207" t="str" cm="1">
        <f t="array" ref="L207" xml:space="preserve"> sentimentCategory(K207)</f>
        <v>Neutral</v>
      </c>
    </row>
    <row r="208" spans="1:12">
      <c r="A208" t="s">
        <v>1327</v>
      </c>
      <c r="B208" t="s">
        <v>4405</v>
      </c>
      <c r="C208" t="str" cm="1">
        <f t="array" ref="C208" xml:space="preserve"> CleanText(B208)</f>
        <v>harika yaplm bir film</v>
      </c>
      <c r="D208">
        <v>0</v>
      </c>
      <c r="E208">
        <v>0</v>
      </c>
      <c r="F208" t="s">
        <v>0</v>
      </c>
      <c r="G208" t="str" cm="1">
        <f t="array" ref="G208" xml:space="preserve"> FindCountryName(F208)</f>
        <v>None</v>
      </c>
      <c r="H208" s="1">
        <v>45337.376435185186</v>
      </c>
      <c r="I208" s="1">
        <v>45337.376435185186</v>
      </c>
      <c r="J208" s="1">
        <v>43114.317916666667</v>
      </c>
      <c r="K208" cm="1">
        <f t="array" ref="K208" xml:space="preserve"> sentimentCalc(C208)</f>
        <v>0</v>
      </c>
      <c r="L208" t="str" cm="1">
        <f t="array" ref="L208" xml:space="preserve"> sentimentCategory(K208)</f>
        <v>Neutral</v>
      </c>
    </row>
    <row r="209" spans="1:12">
      <c r="A209" t="s">
        <v>1829</v>
      </c>
      <c r="B209" t="s">
        <v>4404</v>
      </c>
      <c r="C209" t="str" cm="1">
        <f t="array" ref="C209" xml:space="preserve"> CleanText(B209)</f>
        <v>fragman etkileyiciydi zlemeye deer beendim _xDC4F__xDFFB_</v>
      </c>
      <c r="D209">
        <v>0</v>
      </c>
      <c r="E209">
        <v>0</v>
      </c>
      <c r="F209" t="s">
        <v>0</v>
      </c>
      <c r="G209" t="str" cm="1">
        <f t="array" ref="G209" xml:space="preserve"> FindCountryName(F209)</f>
        <v>None</v>
      </c>
      <c r="H209" s="1">
        <v>45337.376284722224</v>
      </c>
      <c r="I209" s="1">
        <v>45337.376284722224</v>
      </c>
      <c r="J209" s="1">
        <v>43790.677523148152</v>
      </c>
      <c r="K209" cm="1">
        <f t="array" ref="K209" xml:space="preserve"> sentimentCalc(C209)</f>
        <v>0</v>
      </c>
      <c r="L209" t="str" cm="1">
        <f t="array" ref="L209" xml:space="preserve"> sentimentCategory(K209)</f>
        <v>Neutral</v>
      </c>
    </row>
    <row r="210" spans="1:12">
      <c r="A210" t="s">
        <v>735</v>
      </c>
      <c r="B210" t="s">
        <v>4403</v>
      </c>
      <c r="C210" t="str" cm="1">
        <f t="array" ref="C210" xml:space="preserve"> CleanText(B210)</f>
        <v>very very nice filmm superrr_xDC4D_</v>
      </c>
      <c r="D210">
        <v>0</v>
      </c>
      <c r="E210">
        <v>0</v>
      </c>
      <c r="F210" t="s">
        <v>0</v>
      </c>
      <c r="G210" t="str" cm="1">
        <f t="array" ref="G210" xml:space="preserve"> FindCountryName(F210)</f>
        <v>None</v>
      </c>
      <c r="H210" s="1">
        <v>45337.376168981478</v>
      </c>
      <c r="I210" s="1">
        <v>45337.376168981478</v>
      </c>
      <c r="J210" s="1">
        <v>43946.464733796296</v>
      </c>
      <c r="K210" cm="1">
        <f t="array" ref="K210" xml:space="preserve"> sentimentCalc(C210)</f>
        <v>3</v>
      </c>
      <c r="L210" t="str" cm="1">
        <f t="array" ref="L210" xml:space="preserve"> sentimentCategory(K210)</f>
        <v>Positive</v>
      </c>
    </row>
    <row r="211" spans="1:12">
      <c r="A211" t="s">
        <v>367</v>
      </c>
      <c r="B211" t="s">
        <v>4402</v>
      </c>
      <c r="C211" t="str" cm="1">
        <f t="array" ref="C211" xml:space="preserve"> CleanText(B211)</f>
        <v>efsanenin ok iyi bir gsterisi</v>
      </c>
      <c r="D211">
        <v>0</v>
      </c>
      <c r="E211">
        <v>0</v>
      </c>
      <c r="F211" t="s">
        <v>0</v>
      </c>
      <c r="G211" t="str" cm="1">
        <f t="array" ref="G211" xml:space="preserve"> FindCountryName(F211)</f>
        <v>None</v>
      </c>
      <c r="H211" s="1">
        <v>45337.375983796293</v>
      </c>
      <c r="I211" s="1">
        <v>45337.375983796293</v>
      </c>
      <c r="J211" s="1">
        <v>44736.691053240742</v>
      </c>
      <c r="K211" cm="1">
        <f t="array" ref="K211" xml:space="preserve"> sentimentCalc(C211)</f>
        <v>0</v>
      </c>
      <c r="L211" t="str" cm="1">
        <f t="array" ref="L211" xml:space="preserve"> sentimentCategory(K211)</f>
        <v>Neutral</v>
      </c>
    </row>
    <row r="212" spans="1:12">
      <c r="A212" t="s">
        <v>824</v>
      </c>
      <c r="B212" t="s">
        <v>4401</v>
      </c>
      <c r="C212" t="str" cm="1">
        <f t="array" ref="C212" xml:space="preserve"> CleanText(B212)</f>
        <v>ok iyi film drt gzle bekliyorum</v>
      </c>
      <c r="D212">
        <v>0</v>
      </c>
      <c r="E212">
        <v>0</v>
      </c>
      <c r="F212" t="s">
        <v>0</v>
      </c>
      <c r="G212" t="str" cm="1">
        <f t="array" ref="G212" xml:space="preserve"> FindCountryName(F212)</f>
        <v>None</v>
      </c>
      <c r="H212" s="1">
        <v>45337.375879629632</v>
      </c>
      <c r="I212" s="1">
        <v>45337.375879629632</v>
      </c>
      <c r="J212" s="1">
        <v>42774.412245370368</v>
      </c>
      <c r="K212" cm="1">
        <f t="array" ref="K212" xml:space="preserve"> sentimentCalc(C212)</f>
        <v>0</v>
      </c>
      <c r="L212" t="str" cm="1">
        <f t="array" ref="L212" xml:space="preserve"> sentimentCategory(K212)</f>
        <v>Neutral</v>
      </c>
    </row>
    <row r="213" spans="1:12">
      <c r="A213" t="s">
        <v>1310</v>
      </c>
      <c r="B213" t="s">
        <v>4400</v>
      </c>
      <c r="C213" t="str" cm="1">
        <f t="array" ref="C213" xml:space="preserve"> CleanText(B213)</f>
        <v>herkes mutlaka izlemeli ok iyiii</v>
      </c>
      <c r="D213">
        <v>0</v>
      </c>
      <c r="E213">
        <v>0</v>
      </c>
      <c r="F213" t="s">
        <v>0</v>
      </c>
      <c r="G213" t="str" cm="1">
        <f t="array" ref="G213" xml:space="preserve"> FindCountryName(F213)</f>
        <v>None</v>
      </c>
      <c r="H213" s="1">
        <v>45337.375844907408</v>
      </c>
      <c r="I213" s="1">
        <v>45337.375844907408</v>
      </c>
      <c r="J213" s="1">
        <v>44985.754803240743</v>
      </c>
      <c r="K213" cm="1">
        <f t="array" ref="K213" xml:space="preserve"> sentimentCalc(C213)</f>
        <v>0</v>
      </c>
      <c r="L213" t="str" cm="1">
        <f t="array" ref="L213" xml:space="preserve"> sentimentCategory(K213)</f>
        <v>Neutral</v>
      </c>
    </row>
    <row r="214" spans="1:12">
      <c r="A214" t="s">
        <v>86</v>
      </c>
      <c r="B214" t="s">
        <v>4399</v>
      </c>
      <c r="C214" t="str" cm="1">
        <f t="array" ref="C214" xml:space="preserve"> CleanText(B214)</f>
        <v>avatar serisini ok begeniyorum devamn bekliyorum</v>
      </c>
      <c r="D214">
        <v>0</v>
      </c>
      <c r="E214">
        <v>0</v>
      </c>
      <c r="F214" t="s">
        <v>1523</v>
      </c>
      <c r="G214" t="str" cm="1">
        <f t="array" ref="G214" xml:space="preserve"> FindCountryName(F214)</f>
        <v>Turkey</v>
      </c>
      <c r="H214" s="1">
        <v>45337.375821759262</v>
      </c>
      <c r="I214" s="1">
        <v>45337.375821759262</v>
      </c>
      <c r="J214" s="1">
        <v>44645.305671296293</v>
      </c>
      <c r="K214" cm="1">
        <f t="array" ref="K214" xml:space="preserve"> sentimentCalc(C214)</f>
        <v>0</v>
      </c>
      <c r="L214" t="str" cm="1">
        <f t="array" ref="L214" xml:space="preserve"> sentimentCategory(K214)</f>
        <v>Neutral</v>
      </c>
    </row>
    <row r="215" spans="1:12">
      <c r="A215" t="s">
        <v>347</v>
      </c>
      <c r="B215" t="s">
        <v>4398</v>
      </c>
      <c r="C215" t="str" cm="1">
        <f t="array" ref="C215" xml:space="preserve"> CleanText(B215)</f>
        <v>ok sevdim sabrszlanyorum izlemek iin</v>
      </c>
      <c r="D215">
        <v>0</v>
      </c>
      <c r="E215">
        <v>0</v>
      </c>
      <c r="F215" t="s">
        <v>2796</v>
      </c>
      <c r="G215" t="str" cm="1">
        <f t="array" ref="G215" xml:space="preserve"> FindCountryName(F215)</f>
        <v>France</v>
      </c>
      <c r="H215" s="1">
        <v>45337.375798611109</v>
      </c>
      <c r="I215" s="1">
        <v>45337.375798611109</v>
      </c>
      <c r="J215" s="1">
        <v>43651.419930555552</v>
      </c>
      <c r="K215" cm="1">
        <f t="array" ref="K215" xml:space="preserve"> sentimentCalc(C215)</f>
        <v>0</v>
      </c>
      <c r="L215" t="str" cm="1">
        <f t="array" ref="L215" xml:space="preserve"> sentimentCategory(K215)</f>
        <v>Neutral</v>
      </c>
    </row>
    <row r="216" spans="1:12">
      <c r="A216" t="s">
        <v>3132</v>
      </c>
      <c r="B216" t="s">
        <v>4397</v>
      </c>
      <c r="C216" t="str" cm="1">
        <f t="array" ref="C216" xml:space="preserve"> CleanText(B216)</f>
        <v>bu filmin ckmasn drt gzle bekliyorum fragman bile harika grnyor netflix yine harika</v>
      </c>
      <c r="D216">
        <v>0</v>
      </c>
      <c r="E216">
        <v>0</v>
      </c>
      <c r="F216" t="s">
        <v>0</v>
      </c>
      <c r="G216" t="str" cm="1">
        <f t="array" ref="G216" xml:space="preserve"> FindCountryName(F216)</f>
        <v>None</v>
      </c>
      <c r="H216" s="1">
        <v>45337.375555555554</v>
      </c>
      <c r="I216" s="1">
        <v>45337.375555555554</v>
      </c>
      <c r="J216" s="1">
        <v>43308.622569444444</v>
      </c>
      <c r="K216" cm="1">
        <f t="array" ref="K216" xml:space="preserve"> sentimentCalc(C216)</f>
        <v>0</v>
      </c>
      <c r="L216" t="str" cm="1">
        <f t="array" ref="L216" xml:space="preserve"> sentimentCategory(K216)</f>
        <v>Neutral</v>
      </c>
    </row>
    <row r="217" spans="1:12">
      <c r="A217" t="s">
        <v>280</v>
      </c>
      <c r="B217" t="s">
        <v>4396</v>
      </c>
      <c r="C217" t="str" cm="1">
        <f t="array" ref="C217" xml:space="preserve"> CleanText(B217)</f>
        <v>efsane mthi bir aksiyonlu film izlemeye deer</v>
      </c>
      <c r="D217">
        <v>0</v>
      </c>
      <c r="E217">
        <v>0</v>
      </c>
      <c r="F217" t="s">
        <v>0</v>
      </c>
      <c r="G217" t="str" cm="1">
        <f t="array" ref="G217" xml:space="preserve"> FindCountryName(F217)</f>
        <v>None</v>
      </c>
      <c r="H217" s="1">
        <v>45337.375555555554</v>
      </c>
      <c r="I217" s="1">
        <v>45337.375555555554</v>
      </c>
      <c r="J217" s="1">
        <v>45337.251215277778</v>
      </c>
      <c r="K217" cm="1">
        <f t="array" ref="K217" xml:space="preserve"> sentimentCalc(C217)</f>
        <v>0</v>
      </c>
      <c r="L217" t="str" cm="1">
        <f t="array" ref="L217" xml:space="preserve"> sentimentCategory(K217)</f>
        <v>Neutral</v>
      </c>
    </row>
    <row r="218" spans="1:12">
      <c r="A218" t="s">
        <v>267</v>
      </c>
      <c r="B218" t="s">
        <v>4395</v>
      </c>
      <c r="C218" t="str" cm="1">
        <f t="array" ref="C218" xml:space="preserve"> CleanText(B218)</f>
        <v>film mkemmeldi herkese tavsiye ederim</v>
      </c>
      <c r="D218">
        <v>0</v>
      </c>
      <c r="E218">
        <v>0</v>
      </c>
      <c r="F218" t="s">
        <v>0</v>
      </c>
      <c r="G218" t="str" cm="1">
        <f t="array" ref="G218" xml:space="preserve"> FindCountryName(F218)</f>
        <v>None</v>
      </c>
      <c r="H218" s="1">
        <v>45337.375497685185</v>
      </c>
      <c r="I218" s="1">
        <v>45337.375497685185</v>
      </c>
      <c r="J218" s="1">
        <v>43983.713055555556</v>
      </c>
      <c r="K218" cm="1">
        <f t="array" ref="K218" xml:space="preserve"> sentimentCalc(C218)</f>
        <v>0</v>
      </c>
      <c r="L218" t="str" cm="1">
        <f t="array" ref="L218" xml:space="preserve"> sentimentCategory(K218)</f>
        <v>Neutral</v>
      </c>
    </row>
    <row r="219" spans="1:12">
      <c r="A219" t="s">
        <v>3267</v>
      </c>
      <c r="B219" t="s">
        <v>4394</v>
      </c>
      <c r="C219" t="str" cm="1">
        <f t="array" ref="C219" xml:space="preserve"> CleanText(B219)</f>
        <v>bu ok gzel grnyor yeni uyarlamadan umudum var</v>
      </c>
      <c r="D219">
        <v>0</v>
      </c>
      <c r="E219">
        <v>0</v>
      </c>
      <c r="F219" t="s">
        <v>0</v>
      </c>
      <c r="G219" t="str" cm="1">
        <f t="array" ref="G219" xml:space="preserve"> FindCountryName(F219)</f>
        <v>None</v>
      </c>
      <c r="H219" s="1">
        <v>45337.375428240739</v>
      </c>
      <c r="I219" s="1">
        <v>45337.375428240739</v>
      </c>
      <c r="J219" s="1">
        <v>43814.63559027778</v>
      </c>
      <c r="K219" cm="1">
        <f t="array" ref="K219" xml:space="preserve"> sentimentCalc(C219)</f>
        <v>0</v>
      </c>
      <c r="L219" t="str" cm="1">
        <f t="array" ref="L219" xml:space="preserve"> sentimentCategory(K219)</f>
        <v>Neutral</v>
      </c>
    </row>
    <row r="220" spans="1:12">
      <c r="A220" t="s">
        <v>4393</v>
      </c>
      <c r="B220" t="s">
        <v>4392</v>
      </c>
      <c r="C220" t="str" cm="1">
        <f t="array" ref="C220" xml:space="preserve"> CleanText(B220)</f>
        <v>byk hikaye byk iler gerektirir netflix hakkn vermi gibi duruyor</v>
      </c>
      <c r="D220">
        <v>0</v>
      </c>
      <c r="E220">
        <v>0</v>
      </c>
      <c r="F220" t="s">
        <v>0</v>
      </c>
      <c r="G220" t="str" cm="1">
        <f t="array" ref="G220" xml:space="preserve"> FindCountryName(F220)</f>
        <v>None</v>
      </c>
      <c r="H220" s="1">
        <v>45337.375428240739</v>
      </c>
      <c r="I220" s="1">
        <v>45337.375428240739</v>
      </c>
      <c r="J220" s="1">
        <v>42743.13784722222</v>
      </c>
      <c r="K220" cm="1">
        <f t="array" ref="K220" xml:space="preserve"> sentimentCalc(C220)</f>
        <v>0</v>
      </c>
      <c r="L220" t="str" cm="1">
        <f t="array" ref="L220" xml:space="preserve"> sentimentCategory(K220)</f>
        <v>Neutral</v>
      </c>
    </row>
    <row r="221" spans="1:12">
      <c r="A221" t="s">
        <v>76</v>
      </c>
      <c r="B221" t="s">
        <v>4391</v>
      </c>
      <c r="C221" t="str" cm="1">
        <f t="array" ref="C221" xml:space="preserve"> CleanText(B221)</f>
        <v>srkleyici bir film</v>
      </c>
      <c r="D221">
        <v>0</v>
      </c>
      <c r="E221">
        <v>0</v>
      </c>
      <c r="F221" t="s">
        <v>0</v>
      </c>
      <c r="G221" t="str" cm="1">
        <f t="array" ref="G221" xml:space="preserve"> FindCountryName(F221)</f>
        <v>None</v>
      </c>
      <c r="H221" s="1">
        <v>45337.37537037037</v>
      </c>
      <c r="I221" s="1">
        <v>45337.37537037037</v>
      </c>
      <c r="J221" s="1">
        <v>43927.17119212963</v>
      </c>
      <c r="K221" cm="1">
        <f t="array" ref="K221" xml:space="preserve"> sentimentCalc(C221)</f>
        <v>0</v>
      </c>
      <c r="L221" t="str" cm="1">
        <f t="array" ref="L221" xml:space="preserve"> sentimentCategory(K221)</f>
        <v>Neutral</v>
      </c>
    </row>
    <row r="222" spans="1:12">
      <c r="A222" t="s">
        <v>640</v>
      </c>
      <c r="B222" t="s">
        <v>4390</v>
      </c>
      <c r="C222" t="str" cm="1">
        <f t="array" ref="C222" xml:space="preserve"> CleanText(B222)</f>
        <v>muhteem bir film _xDE05__xDF89_</v>
      </c>
      <c r="D222">
        <v>0</v>
      </c>
      <c r="E222">
        <v>0</v>
      </c>
      <c r="F222" t="s">
        <v>0</v>
      </c>
      <c r="G222" t="str" cm="1">
        <f t="array" ref="G222" xml:space="preserve"> FindCountryName(F222)</f>
        <v>None</v>
      </c>
      <c r="H222" s="1">
        <v>45337.375300925924</v>
      </c>
      <c r="I222" s="1">
        <v>45337.375300925924</v>
      </c>
      <c r="J222" s="1">
        <v>43137.836122685185</v>
      </c>
      <c r="K222" cm="1">
        <f t="array" ref="K222" xml:space="preserve"> sentimentCalc(C222)</f>
        <v>0</v>
      </c>
      <c r="L222" t="str" cm="1">
        <f t="array" ref="L222" xml:space="preserve"> sentimentCategory(K222)</f>
        <v>Neutral</v>
      </c>
    </row>
    <row r="223" spans="1:12">
      <c r="A223" t="s">
        <v>661</v>
      </c>
      <c r="B223" t="s">
        <v>4389</v>
      </c>
      <c r="C223" t="str" cm="1">
        <f t="array" ref="C223" xml:space="preserve"> CleanText(B223)</f>
        <v>aangis smile is so _xDE0A_</v>
      </c>
      <c r="D223">
        <v>0</v>
      </c>
      <c r="E223">
        <v>0</v>
      </c>
      <c r="F223" t="s">
        <v>0</v>
      </c>
      <c r="G223" t="str" cm="1">
        <f t="array" ref="G223" xml:space="preserve"> FindCountryName(F223)</f>
        <v>None</v>
      </c>
      <c r="H223" s="1">
        <v>45337.375277777777</v>
      </c>
      <c r="I223" s="1">
        <v>45337.375277777777</v>
      </c>
      <c r="J223" s="1">
        <v>44972.241655092592</v>
      </c>
      <c r="K223" cm="1">
        <f t="array" ref="K223" xml:space="preserve"> sentimentCalc(C223)</f>
        <v>2</v>
      </c>
      <c r="L223" t="str" cm="1">
        <f t="array" ref="L223" xml:space="preserve"> sentimentCategory(K223)</f>
        <v>Positive</v>
      </c>
    </row>
    <row r="224" spans="1:12">
      <c r="A224" t="s">
        <v>1710</v>
      </c>
      <c r="B224" t="s">
        <v>4388</v>
      </c>
      <c r="C224" t="str" cm="1">
        <f t="array" ref="C224" xml:space="preserve"> CleanText(B224)</f>
        <v>n</v>
      </c>
      <c r="D224">
        <v>0</v>
      </c>
      <c r="E224">
        <v>0</v>
      </c>
      <c r="F224" t="s">
        <v>0</v>
      </c>
      <c r="G224" t="str" cm="1">
        <f t="array" ref="G224" xml:space="preserve"> FindCountryName(F224)</f>
        <v>None</v>
      </c>
      <c r="H224" s="1">
        <v>45337.375057870369</v>
      </c>
      <c r="I224" s="1">
        <v>45337.375057870369</v>
      </c>
      <c r="J224" s="1">
        <v>42000.101898148147</v>
      </c>
      <c r="K224" cm="1">
        <f t="array" ref="K224" xml:space="preserve"> sentimentCalc(C224)</f>
        <v>0</v>
      </c>
      <c r="L224" t="str" cm="1">
        <f t="array" ref="L224" xml:space="preserve"> sentimentCategory(K224)</f>
        <v>Neutral</v>
      </c>
    </row>
    <row r="225" spans="1:12">
      <c r="A225" t="s">
        <v>490</v>
      </c>
      <c r="B225" t="s">
        <v>4387</v>
      </c>
      <c r="C225" t="str" cm="1">
        <f t="array" ref="C225" xml:space="preserve"> CleanText(B225)</f>
        <v>zlediim en olaanst filimlerden di</v>
      </c>
      <c r="D225">
        <v>0</v>
      </c>
      <c r="E225">
        <v>0</v>
      </c>
      <c r="F225" t="s">
        <v>0</v>
      </c>
      <c r="G225" t="str" cm="1">
        <f t="array" ref="G225" xml:space="preserve"> FindCountryName(F225)</f>
        <v>None</v>
      </c>
      <c r="H225" s="1">
        <v>45337.374965277777</v>
      </c>
      <c r="I225" s="1">
        <v>45337.374965277777</v>
      </c>
      <c r="J225" s="1">
        <v>45239.561076388891</v>
      </c>
      <c r="K225" cm="1">
        <f t="array" ref="K225" xml:space="preserve"> sentimentCalc(C225)</f>
        <v>0</v>
      </c>
      <c r="L225" t="str" cm="1">
        <f t="array" ref="L225" xml:space="preserve"> sentimentCategory(K225)</f>
        <v>Neutral</v>
      </c>
    </row>
    <row r="226" spans="1:12">
      <c r="A226" t="s">
        <v>710</v>
      </c>
      <c r="B226" t="s">
        <v>4386</v>
      </c>
      <c r="C226" t="str" cm="1">
        <f t="array" ref="C226" xml:space="preserve"> CleanText(B226)</f>
        <v>macera heyecan hepsi br arada tavsye ederm</v>
      </c>
      <c r="D226">
        <v>0</v>
      </c>
      <c r="E226">
        <v>0</v>
      </c>
      <c r="F226" t="s">
        <v>0</v>
      </c>
      <c r="G226" t="str" cm="1">
        <f t="array" ref="G226" xml:space="preserve"> FindCountryName(F226)</f>
        <v>None</v>
      </c>
      <c r="H226" s="1">
        <v>45337.374918981484</v>
      </c>
      <c r="I226" s="1">
        <v>45337.374918981484</v>
      </c>
      <c r="J226" s="1">
        <v>44421.519421296296</v>
      </c>
      <c r="K226" cm="1">
        <f t="array" ref="K226" xml:space="preserve"> sentimentCalc(C226)</f>
        <v>0</v>
      </c>
      <c r="L226" t="str" cm="1">
        <f t="array" ref="L226" xml:space="preserve"> sentimentCategory(K226)</f>
        <v>Neutral</v>
      </c>
    </row>
    <row r="227" spans="1:12">
      <c r="A227" t="s">
        <v>255</v>
      </c>
      <c r="B227" t="s">
        <v>4385</v>
      </c>
      <c r="C227" t="str" cm="1">
        <f t="array" ref="C227" xml:space="preserve"> CleanText(B227)</f>
        <v>tam anlamyla harika</v>
      </c>
      <c r="D227">
        <v>0</v>
      </c>
      <c r="E227">
        <v>0</v>
      </c>
      <c r="F227" t="s">
        <v>1523</v>
      </c>
      <c r="G227" t="str" cm="1">
        <f t="array" ref="G227" xml:space="preserve"> FindCountryName(F227)</f>
        <v>Turkey</v>
      </c>
      <c r="H227" s="1">
        <v>45337.374849537038</v>
      </c>
      <c r="I227" s="1">
        <v>45337.374849537038</v>
      </c>
      <c r="J227" s="1">
        <v>42480.378310185188</v>
      </c>
      <c r="K227" cm="1">
        <f t="array" ref="K227" xml:space="preserve"> sentimentCalc(C227)</f>
        <v>0</v>
      </c>
      <c r="L227" t="str" cm="1">
        <f t="array" ref="L227" xml:space="preserve"> sentimentCategory(K227)</f>
        <v>Neutral</v>
      </c>
    </row>
    <row r="228" spans="1:12">
      <c r="A228" t="s">
        <v>1755</v>
      </c>
      <c r="B228" t="s">
        <v>4384</v>
      </c>
      <c r="C228" t="str" cm="1">
        <f t="array" ref="C228" xml:space="preserve"> CleanText(B228)</f>
        <v>zlemeye deer</v>
      </c>
      <c r="D228">
        <v>0</v>
      </c>
      <c r="E228">
        <v>0</v>
      </c>
      <c r="F228" t="s">
        <v>0</v>
      </c>
      <c r="G228" t="str" cm="1">
        <f t="array" ref="G228" xml:space="preserve"> FindCountryName(F228)</f>
        <v>None</v>
      </c>
      <c r="H228" s="1">
        <v>45337.3747337963</v>
      </c>
      <c r="I228" s="1">
        <v>45337.3747337963</v>
      </c>
      <c r="J228" s="1">
        <v>44163.30296296296</v>
      </c>
      <c r="K228" cm="1">
        <f t="array" ref="K228" xml:space="preserve"> sentimentCalc(C228)</f>
        <v>0</v>
      </c>
      <c r="L228" t="str" cm="1">
        <f t="array" ref="L228" xml:space="preserve"> sentimentCategory(K228)</f>
        <v>Neutral</v>
      </c>
    </row>
    <row r="229" spans="1:12">
      <c r="A229" t="s">
        <v>564</v>
      </c>
      <c r="B229" t="s">
        <v>4383</v>
      </c>
      <c r="C229" t="str" cm="1">
        <f t="array" ref="C229" xml:space="preserve"> CleanText(B229)</f>
        <v>mthi bir filim kesinlikle izlenmeli</v>
      </c>
      <c r="D229">
        <v>0</v>
      </c>
      <c r="E229">
        <v>0</v>
      </c>
      <c r="F229" t="s">
        <v>0</v>
      </c>
      <c r="G229" t="str" cm="1">
        <f t="array" ref="G229" xml:space="preserve"> FindCountryName(F229)</f>
        <v>None</v>
      </c>
      <c r="H229" s="1">
        <v>45337.374710648146</v>
      </c>
      <c r="I229" s="1">
        <v>45337.374710648146</v>
      </c>
      <c r="J229" s="1">
        <v>45226.733680555553</v>
      </c>
      <c r="K229" cm="1">
        <f t="array" ref="K229" xml:space="preserve"> sentimentCalc(C229)</f>
        <v>0</v>
      </c>
      <c r="L229" t="str" cm="1">
        <f t="array" ref="L229" xml:space="preserve"> sentimentCategory(K229)</f>
        <v>Neutral</v>
      </c>
    </row>
    <row r="230" spans="1:12">
      <c r="A230" t="s">
        <v>494</v>
      </c>
      <c r="B230" t="s">
        <v>4382</v>
      </c>
      <c r="C230" t="str" cm="1">
        <f t="array" ref="C230" xml:space="preserve"> CleanText(B230)</f>
        <v>woww</v>
      </c>
      <c r="D230">
        <v>0</v>
      </c>
      <c r="E230">
        <v>0</v>
      </c>
      <c r="F230" t="s">
        <v>0</v>
      </c>
      <c r="G230" t="str" cm="1">
        <f t="array" ref="G230" xml:space="preserve"> FindCountryName(F230)</f>
        <v>None</v>
      </c>
      <c r="H230" s="1">
        <v>45337.37462962963</v>
      </c>
      <c r="I230" s="1">
        <v>45337.37462962963</v>
      </c>
      <c r="J230" s="1">
        <v>42956.706400462965</v>
      </c>
      <c r="K230" cm="1">
        <f t="array" ref="K230" xml:space="preserve"> sentimentCalc(C230)</f>
        <v>0</v>
      </c>
      <c r="L230" t="str" cm="1">
        <f t="array" ref="L230" xml:space="preserve"> sentimentCategory(K230)</f>
        <v>Neutral</v>
      </c>
    </row>
    <row r="231" spans="1:12">
      <c r="A231" t="s">
        <v>255</v>
      </c>
      <c r="B231" t="s">
        <v>4381</v>
      </c>
      <c r="C231" t="str" cm="1">
        <f t="array" ref="C231" xml:space="preserve"> CleanText(B231)</f>
        <v>. aangin glmsemesi ok sevimli _xDE0A_</v>
      </c>
      <c r="D231">
        <v>1</v>
      </c>
      <c r="E231">
        <v>0</v>
      </c>
      <c r="F231" t="s">
        <v>0</v>
      </c>
      <c r="G231" t="str" cm="1">
        <f t="array" ref="G231" xml:space="preserve"> FindCountryName(F231)</f>
        <v>None</v>
      </c>
      <c r="H231" s="1">
        <v>45337.374340277776</v>
      </c>
      <c r="I231" s="1">
        <v>45337.374340277776</v>
      </c>
      <c r="J231" s="1">
        <v>44212.314976851849</v>
      </c>
      <c r="K231" cm="1">
        <f t="array" ref="K231" xml:space="preserve"> sentimentCalc(C231)</f>
        <v>0</v>
      </c>
      <c r="L231" t="str" cm="1">
        <f t="array" ref="L231" xml:space="preserve"> sentimentCategory(K231)</f>
        <v>Neutral</v>
      </c>
    </row>
    <row r="232" spans="1:12">
      <c r="A232" t="s">
        <v>282</v>
      </c>
      <c r="B232" t="s">
        <v>4380</v>
      </c>
      <c r="C232" t="str" cm="1">
        <f t="array" ref="C232" xml:space="preserve"> CleanText(B232)</f>
        <v>mkemmel tesi olmu kt anda izleyeceim</v>
      </c>
      <c r="D232">
        <v>0</v>
      </c>
      <c r="E232">
        <v>0</v>
      </c>
      <c r="F232" t="s">
        <v>0</v>
      </c>
      <c r="G232" t="str" cm="1">
        <f t="array" ref="G232" xml:space="preserve"> FindCountryName(F232)</f>
        <v>None</v>
      </c>
      <c r="H232" s="1">
        <v>45337.373287037037</v>
      </c>
      <c r="I232" s="1">
        <v>45337.373287037037</v>
      </c>
      <c r="J232" s="1">
        <v>42405.442731481482</v>
      </c>
      <c r="K232" cm="1">
        <f t="array" ref="K232" xml:space="preserve"> sentimentCalc(C232)</f>
        <v>0</v>
      </c>
      <c r="L232" t="str" cm="1">
        <f t="array" ref="L232" xml:space="preserve"> sentimentCategory(K232)</f>
        <v>Neutral</v>
      </c>
    </row>
    <row r="233" spans="1:12">
      <c r="A233" t="s">
        <v>4379</v>
      </c>
      <c r="B233" t="s">
        <v>4378</v>
      </c>
      <c r="C233" t="str" cm="1">
        <f t="array" ref="C233" xml:space="preserve"> CleanText(B233)</f>
        <v>_xDC9C_ n</v>
      </c>
      <c r="D233">
        <v>1</v>
      </c>
      <c r="E233">
        <v>0</v>
      </c>
      <c r="F233" t="s">
        <v>0</v>
      </c>
      <c r="G233" t="str" cm="1">
        <f t="array" ref="G233" xml:space="preserve"> FindCountryName(F233)</f>
        <v>None</v>
      </c>
      <c r="H233" s="1">
        <v>45337.241979166669</v>
      </c>
      <c r="I233" s="1">
        <v>45337.241979166669</v>
      </c>
      <c r="J233" s="1">
        <v>44069.332384259258</v>
      </c>
      <c r="K233" cm="1">
        <f t="array" ref="K233" xml:space="preserve"> sentimentCalc(C233)</f>
        <v>0</v>
      </c>
      <c r="L233" t="str" cm="1">
        <f t="array" ref="L233" xml:space="preserve"> sentimentCategory(K233)</f>
        <v>Neutral</v>
      </c>
    </row>
    <row r="234" spans="1:12">
      <c r="A234" t="s">
        <v>2310</v>
      </c>
      <c r="B234" t="s">
        <v>4377</v>
      </c>
      <c r="C234" t="str" cm="1">
        <f t="array" ref="C234" xml:space="preserve"> CleanText(B234)</f>
        <v>it cant be a bigger turd than the m niggt shamwow one</v>
      </c>
      <c r="D234">
        <v>0</v>
      </c>
      <c r="E234">
        <v>0</v>
      </c>
      <c r="F234" t="s">
        <v>0</v>
      </c>
      <c r="G234" t="str" cm="1">
        <f t="array" ref="G234" xml:space="preserve"> FindCountryName(F234)</f>
        <v>None</v>
      </c>
      <c r="H234" s="1">
        <v>45336.916226851848</v>
      </c>
      <c r="I234" s="1">
        <v>45336.916226851848</v>
      </c>
      <c r="J234" s="1">
        <v>39322.983807870369</v>
      </c>
      <c r="K234" cm="1">
        <f t="array" ref="K234" xml:space="preserve"> sentimentCalc(C234)</f>
        <v>0</v>
      </c>
      <c r="L234" t="str" cm="1">
        <f t="array" ref="L234" xml:space="preserve"> sentimentCategory(K234)</f>
        <v>Neutral</v>
      </c>
    </row>
    <row r="235" spans="1:12">
      <c r="A235" t="s">
        <v>68</v>
      </c>
      <c r="B235" t="s">
        <v>4376</v>
      </c>
      <c r="C235" t="str" cm="1">
        <f t="array" ref="C235" xml:space="preserve"> CleanText(B235)</f>
        <v>better than the airbender movie which was horrible</v>
      </c>
      <c r="D235">
        <v>0</v>
      </c>
      <c r="E235">
        <v>0</v>
      </c>
      <c r="F235" t="s">
        <v>0</v>
      </c>
      <c r="G235" t="str" cm="1">
        <f t="array" ref="G235" xml:space="preserve"> FindCountryName(F235)</f>
        <v>None</v>
      </c>
      <c r="H235" s="1">
        <v>45336.799085648148</v>
      </c>
      <c r="I235" s="1">
        <v>45336.799085648148</v>
      </c>
      <c r="J235" s="1">
        <v>44916.663599537038</v>
      </c>
      <c r="K235" cm="1">
        <f t="array" ref="K235" xml:space="preserve"> sentimentCalc(C235)</f>
        <v>-1</v>
      </c>
      <c r="L235" t="str" cm="1">
        <f t="array" ref="L235" xml:space="preserve"> sentimentCategory(K235)</f>
        <v>Negative</v>
      </c>
    </row>
    <row r="236" spans="1:12">
      <c r="A236" t="s">
        <v>2799</v>
      </c>
      <c r="B236" t="s">
        <v>4375</v>
      </c>
      <c r="C236" t="str" cm="1">
        <f t="array" ref="C236" xml:space="preserve"> CleanText(B236)</f>
        <v>the show is so so better</v>
      </c>
      <c r="D236">
        <v>0</v>
      </c>
      <c r="E236">
        <v>0</v>
      </c>
      <c r="F236" t="s">
        <v>0</v>
      </c>
      <c r="G236" t="str" cm="1">
        <f t="array" ref="G236" xml:space="preserve"> FindCountryName(F236)</f>
        <v>None</v>
      </c>
      <c r="H236" s="1">
        <v>45336.729583333334</v>
      </c>
      <c r="I236" s="1">
        <v>45336.729583333334</v>
      </c>
      <c r="J236" s="1">
        <v>45026.515694444446</v>
      </c>
      <c r="K236" cm="1">
        <f t="array" ref="K236" xml:space="preserve"> sentimentCalc(C236)</f>
        <v>2</v>
      </c>
      <c r="L236" t="str" cm="1">
        <f t="array" ref="L236" xml:space="preserve"> sentimentCategory(K236)</f>
        <v>Positive</v>
      </c>
    </row>
    <row r="237" spans="1:12">
      <c r="A237" t="s">
        <v>2799</v>
      </c>
      <c r="B237" t="s">
        <v>4374</v>
      </c>
      <c r="C237" t="str" cm="1">
        <f t="array" ref="C237" xml:space="preserve"> CleanText(B237)</f>
        <v>this kinda crap</v>
      </c>
      <c r="D237">
        <v>0</v>
      </c>
      <c r="E237">
        <v>0</v>
      </c>
      <c r="F237" t="s">
        <v>0</v>
      </c>
      <c r="G237" t="str" cm="1">
        <f t="array" ref="G237" xml:space="preserve"> FindCountryName(F237)</f>
        <v>None</v>
      </c>
      <c r="H237" s="1">
        <v>45336.729479166665</v>
      </c>
      <c r="I237" s="1">
        <v>45336.729479166665</v>
      </c>
      <c r="J237" s="1">
        <v>45026.515694444446</v>
      </c>
      <c r="K237" cm="1">
        <f t="array" ref="K237" xml:space="preserve"> sentimentCalc(C237)</f>
        <v>-3</v>
      </c>
      <c r="L237" t="str" cm="1">
        <f t="array" ref="L237" xml:space="preserve"> sentimentCategory(K237)</f>
        <v>Negative</v>
      </c>
    </row>
    <row r="238" spans="1:12">
      <c r="A238" t="s">
        <v>1565</v>
      </c>
      <c r="B238" t="s">
        <v>4373</v>
      </c>
      <c r="C238" t="str" cm="1">
        <f t="array" ref="C238" xml:space="preserve"> CleanText(B238)</f>
        <v>it  looks like 0 times better than the last adaptation but they dont get the eyes right blue eyes on water tribe green on earth  brown on fire and gray for air maybe lenses or smth at least the looks are on spot with the asian cast</v>
      </c>
      <c r="D238">
        <v>0</v>
      </c>
      <c r="E238">
        <v>1</v>
      </c>
      <c r="F238" t="s">
        <v>0</v>
      </c>
      <c r="G238" t="str" cm="1">
        <f t="array" ref="G238" xml:space="preserve"> FindCountryName(F238)</f>
        <v>None</v>
      </c>
      <c r="H238" s="1">
        <v>45336.649756944447</v>
      </c>
      <c r="I238" s="1">
        <v>45336.649756944447</v>
      </c>
      <c r="J238" s="1">
        <v>41508.47047453704</v>
      </c>
      <c r="K238" cm="1">
        <f t="array" ref="K238" xml:space="preserve"> sentimentCalc(C238)</f>
        <v>1</v>
      </c>
      <c r="L238" t="str" cm="1">
        <f t="array" ref="L238" xml:space="preserve"> sentimentCategory(K238)</f>
        <v>Positive</v>
      </c>
    </row>
    <row r="239" spans="1:12">
      <c r="A239" t="s">
        <v>6</v>
      </c>
      <c r="B239" t="s">
        <v>4372</v>
      </c>
      <c r="C239" t="str" cm="1">
        <f t="array" ref="C239" xml:space="preserve"> CleanText(B239)</f>
        <v>oh god nonothing nothing will beat the original 5 series</v>
      </c>
      <c r="D239">
        <v>0</v>
      </c>
      <c r="E239">
        <v>0</v>
      </c>
      <c r="F239" t="s">
        <v>3915</v>
      </c>
      <c r="G239" t="str" cm="1">
        <f t="array" ref="G239" xml:space="preserve"> FindCountryName(F239)</f>
        <v>Sweden</v>
      </c>
      <c r="H239" s="1">
        <v>45336.481608796297</v>
      </c>
      <c r="I239" s="1">
        <v>45336.481608796297</v>
      </c>
      <c r="J239" s="1">
        <v>45157.602789351855</v>
      </c>
      <c r="K239" cm="1">
        <f t="array" ref="K239" xml:space="preserve"> sentimentCalc(C239)</f>
        <v>1</v>
      </c>
      <c r="L239" t="str" cm="1">
        <f t="array" ref="L239" xml:space="preserve"> sentimentCategory(K239)</f>
        <v>Positive</v>
      </c>
    </row>
    <row r="240" spans="1:12">
      <c r="A240" t="s">
        <v>247</v>
      </c>
      <c r="B240" t="s">
        <v>4371</v>
      </c>
      <c r="C240" t="str" cm="1">
        <f t="array" ref="C240" xml:space="preserve"> CleanText(B240)</f>
        <v>is it a movie or a serie with several seasons like the animation</v>
      </c>
      <c r="D240">
        <v>0</v>
      </c>
      <c r="E240">
        <v>0</v>
      </c>
      <c r="F240" t="s">
        <v>0</v>
      </c>
      <c r="G240" t="str" cm="1">
        <f t="array" ref="G240" xml:space="preserve"> FindCountryName(F240)</f>
        <v>None</v>
      </c>
      <c r="H240" s="1">
        <v>45336.393587962964</v>
      </c>
      <c r="I240" s="1">
        <v>45336.393587962964</v>
      </c>
      <c r="J240" s="1">
        <v>42138.409560185188</v>
      </c>
      <c r="K240" cm="1">
        <f t="array" ref="K240" xml:space="preserve"> sentimentCalc(C240)</f>
        <v>2</v>
      </c>
      <c r="L240" t="str" cm="1">
        <f t="array" ref="L240" xml:space="preserve"> sentimentCategory(K240)</f>
        <v>Positive</v>
      </c>
    </row>
    <row r="241" spans="1:12">
      <c r="A241" t="s">
        <v>4370</v>
      </c>
      <c r="B241" t="s">
        <v>4369</v>
      </c>
      <c r="C241" t="str" cm="1">
        <f t="array" ref="C241" xml:space="preserve"> CleanText(B241)</f>
        <v>2  9  water earth fire air</v>
      </c>
      <c r="D241">
        <v>0</v>
      </c>
      <c r="E241">
        <v>0</v>
      </c>
      <c r="F241" t="s">
        <v>0</v>
      </c>
      <c r="G241" t="str" cm="1">
        <f t="array" ref="G241" xml:space="preserve"> FindCountryName(F241)</f>
        <v>None</v>
      </c>
      <c r="H241" s="1">
        <v>45335.878981481481</v>
      </c>
      <c r="I241" s="1">
        <v>45335.878981481481</v>
      </c>
      <c r="J241" s="1">
        <v>40486.032465277778</v>
      </c>
      <c r="K241" cm="1">
        <f t="array" ref="K241" xml:space="preserve"> sentimentCalc(C241)</f>
        <v>-2</v>
      </c>
      <c r="L241" t="str" cm="1">
        <f t="array" ref="L241" xml:space="preserve"> sentimentCategory(K241)</f>
        <v>Negative</v>
      </c>
    </row>
    <row r="242" spans="1:12">
      <c r="A242" t="s">
        <v>938</v>
      </c>
      <c r="B242" t="s">
        <v>4368</v>
      </c>
      <c r="C242" t="str" cm="1">
        <f t="array" ref="C242" xml:space="preserve"> CleanText(B242)</f>
        <v>putang inaaaaa my favorite series im about to cry</v>
      </c>
      <c r="D242">
        <v>0</v>
      </c>
      <c r="E242">
        <v>0</v>
      </c>
      <c r="F242" t="s">
        <v>0</v>
      </c>
      <c r="G242" t="str" cm="1">
        <f t="array" ref="G242" xml:space="preserve"> FindCountryName(F242)</f>
        <v>None</v>
      </c>
      <c r="H242" s="1">
        <v>45335.723032407404</v>
      </c>
      <c r="I242" s="1">
        <v>45335.723032407404</v>
      </c>
      <c r="J242" s="1">
        <v>42273.094988425924</v>
      </c>
      <c r="K242" cm="1">
        <f t="array" ref="K242" xml:space="preserve"> sentimentCalc(C242)</f>
        <v>1</v>
      </c>
      <c r="L242" t="str" cm="1">
        <f t="array" ref="L242" xml:space="preserve"> sentimentCategory(K242)</f>
        <v>Positive</v>
      </c>
    </row>
    <row r="243" spans="1:12">
      <c r="A243" t="s">
        <v>225</v>
      </c>
      <c r="B243" t="s">
        <v>2638</v>
      </c>
      <c r="C243" t="str" cm="1">
        <f t="array" ref="C243" xml:space="preserve"> CleanText(B243)</f>
        <v>excelente</v>
      </c>
      <c r="D243">
        <v>0</v>
      </c>
      <c r="E243">
        <v>0</v>
      </c>
      <c r="F243" t="s">
        <v>0</v>
      </c>
      <c r="G243" t="str" cm="1">
        <f t="array" ref="G243" xml:space="preserve"> FindCountryName(F243)</f>
        <v>None</v>
      </c>
      <c r="H243" s="1">
        <v>45335.629710648151</v>
      </c>
      <c r="I243" s="1">
        <v>45335.629710648151</v>
      </c>
      <c r="J243" s="1">
        <v>43919.65315972222</v>
      </c>
      <c r="K243" cm="1">
        <f t="array" ref="K243" xml:space="preserve"> sentimentCalc(C243)</f>
        <v>0</v>
      </c>
      <c r="L243" t="str" cm="1">
        <f t="array" ref="L243" xml:space="preserve"> sentimentCategory(K243)</f>
        <v>Neutral</v>
      </c>
    </row>
    <row r="244" spans="1:12">
      <c r="A244" t="s">
        <v>1446</v>
      </c>
      <c r="B244" t="s">
        <v>4367</v>
      </c>
      <c r="C244" t="str" cm="1">
        <f t="array" ref="C244" xml:space="preserve"> CleanText(B244)</f>
        <v>i cant fucken wait</v>
      </c>
      <c r="D244">
        <v>0</v>
      </c>
      <c r="E244">
        <v>0</v>
      </c>
      <c r="F244" t="s">
        <v>0</v>
      </c>
      <c r="G244" t="str" cm="1">
        <f t="array" ref="G244" xml:space="preserve"> FindCountryName(F244)</f>
        <v>None</v>
      </c>
      <c r="H244" s="1">
        <v>45335.515219907407</v>
      </c>
      <c r="I244" s="1">
        <v>45335.515219907407</v>
      </c>
      <c r="J244" s="1">
        <v>41623.102060185185</v>
      </c>
      <c r="K244" cm="1">
        <f t="array" ref="K244" xml:space="preserve"> sentimentCalc(C244)</f>
        <v>0</v>
      </c>
      <c r="L244" t="str" cm="1">
        <f t="array" ref="L244" xml:space="preserve"> sentimentCategory(K244)</f>
        <v>Neutral</v>
      </c>
    </row>
    <row r="245" spans="1:12">
      <c r="A245" t="s">
        <v>1565</v>
      </c>
      <c r="B245" t="s">
        <v>4366</v>
      </c>
      <c r="C245" t="str" cm="1">
        <f t="array" ref="C245" xml:space="preserve"> CleanText(B245)</f>
        <v>this looks way better the 00 version was like the episode where they watched themselves being played by the worst possible actors for their character im excited to watch this one</v>
      </c>
      <c r="D245">
        <v>0</v>
      </c>
      <c r="E245">
        <v>0</v>
      </c>
      <c r="F245" t="s">
        <v>0</v>
      </c>
      <c r="G245" t="str" cm="1">
        <f t="array" ref="G245" xml:space="preserve"> FindCountryName(F245)</f>
        <v>None</v>
      </c>
      <c r="H245" s="1">
        <v>45334.89135416667</v>
      </c>
      <c r="I245" s="1">
        <v>45334.89135416667</v>
      </c>
      <c r="J245" s="1">
        <v>44898.826967592591</v>
      </c>
      <c r="K245" cm="1">
        <f t="array" ref="K245" xml:space="preserve"> sentimentCalc(C245)</f>
        <v>4</v>
      </c>
      <c r="L245" t="str" cm="1">
        <f t="array" ref="L245" xml:space="preserve"> sentimentCategory(K245)</f>
        <v>Positive</v>
      </c>
    </row>
    <row r="246" spans="1:12">
      <c r="A246" t="s">
        <v>1681</v>
      </c>
      <c r="B246" t="s">
        <v>4365</v>
      </c>
      <c r="C246" t="str" cm="1">
        <f t="array" ref="C246" xml:space="preserve"> CleanText(B246)</f>
        <v>so will it be  season or   for each element  just curious</v>
      </c>
      <c r="D246">
        <v>0</v>
      </c>
      <c r="E246">
        <v>0</v>
      </c>
      <c r="F246" t="s">
        <v>19</v>
      </c>
      <c r="G246" t="str" cm="1">
        <f t="array" ref="G246" xml:space="preserve"> FindCountryName(F246)</f>
        <v>United States of America (the)</v>
      </c>
      <c r="H246" s="1">
        <v>45334.85738425926</v>
      </c>
      <c r="I246" s="1">
        <v>45334.85738425926</v>
      </c>
      <c r="J246" s="1">
        <v>41857.924826388888</v>
      </c>
      <c r="K246" cm="1">
        <f t="array" ref="K246" xml:space="preserve"> sentimentCalc(C246)</f>
        <v>1</v>
      </c>
      <c r="L246" t="str" cm="1">
        <f t="array" ref="L246" xml:space="preserve"> sentimentCategory(K246)</f>
        <v>Positive</v>
      </c>
    </row>
    <row r="247" spans="1:12">
      <c r="A247" t="s">
        <v>986</v>
      </c>
      <c r="B247" t="s">
        <v>4364</v>
      </c>
      <c r="C247" t="str" cm="1">
        <f t="array" ref="C247" xml:space="preserve"> CleanText(B247)</f>
        <v>my name is oong _xDE05_</v>
      </c>
      <c r="D247">
        <v>0</v>
      </c>
      <c r="E247">
        <v>0</v>
      </c>
      <c r="F247" t="s">
        <v>633</v>
      </c>
      <c r="G247" t="str" cm="1">
        <f t="array" ref="G247" xml:space="preserve"> FindCountryName(F247)</f>
        <v>Indonesia</v>
      </c>
      <c r="H247" s="1">
        <v>45334.328321759262</v>
      </c>
      <c r="I247" s="1">
        <v>45334.328321759262</v>
      </c>
      <c r="J247" s="1">
        <v>41579.530289351853</v>
      </c>
      <c r="K247" cm="1">
        <f t="array" ref="K247" xml:space="preserve"> sentimentCalc(C247)</f>
        <v>0</v>
      </c>
      <c r="L247" t="str" cm="1">
        <f t="array" ref="L247" xml:space="preserve"> sentimentCategory(K247)</f>
        <v>Neutral</v>
      </c>
    </row>
    <row r="248" spans="1:12">
      <c r="A248" t="s">
        <v>2425</v>
      </c>
      <c r="B248" t="s">
        <v>4363</v>
      </c>
      <c r="C248" t="str" cm="1">
        <f t="array" ref="C248" xml:space="preserve"> CleanText(B248)</f>
        <v>this one is way better they failed on the first one</v>
      </c>
      <c r="D248">
        <v>1</v>
      </c>
      <c r="E248">
        <v>0</v>
      </c>
      <c r="F248" t="s">
        <v>0</v>
      </c>
      <c r="G248" t="str" cm="1">
        <f t="array" ref="G248" xml:space="preserve"> FindCountryName(F248)</f>
        <v>None</v>
      </c>
      <c r="H248" s="1">
        <v>45334.190092592595</v>
      </c>
      <c r="I248" s="1">
        <v>45334.190092592595</v>
      </c>
      <c r="J248" s="1">
        <v>42858.599212962959</v>
      </c>
      <c r="K248" cm="1">
        <f t="array" ref="K248" xml:space="preserve"> sentimentCalc(C248)</f>
        <v>0</v>
      </c>
      <c r="L248" t="str" cm="1">
        <f t="array" ref="L248" xml:space="preserve"> sentimentCategory(K248)</f>
        <v>Neutral</v>
      </c>
    </row>
    <row r="249" spans="1:12">
      <c r="A249" t="s">
        <v>2425</v>
      </c>
      <c r="B249" t="s">
        <v>4362</v>
      </c>
      <c r="C249" t="str" cm="1">
        <f t="array" ref="C249" xml:space="preserve"> CleanText(B249)</f>
        <v>better then the other kid</v>
      </c>
      <c r="D249">
        <v>0</v>
      </c>
      <c r="E249">
        <v>0</v>
      </c>
      <c r="F249" t="s">
        <v>0</v>
      </c>
      <c r="G249" t="str" cm="1">
        <f t="array" ref="G249" xml:space="preserve"> FindCountryName(F249)</f>
        <v>None</v>
      </c>
      <c r="H249" s="1">
        <v>45334.189247685186</v>
      </c>
      <c r="I249" s="1">
        <v>45334.189247685186</v>
      </c>
      <c r="J249" s="1">
        <v>42858.599212962959</v>
      </c>
      <c r="K249" cm="1">
        <f t="array" ref="K249" xml:space="preserve"> sentimentCalc(C249)</f>
        <v>2</v>
      </c>
      <c r="L249" t="str" cm="1">
        <f t="array" ref="L249" xml:space="preserve"> sentimentCategory(K249)</f>
        <v>Positive</v>
      </c>
    </row>
    <row r="250" spans="1:12">
      <c r="A250" t="s">
        <v>1839</v>
      </c>
      <c r="B250" t="s">
        <v>4361</v>
      </c>
      <c r="C250" t="str" cm="1">
        <f t="array" ref="C250" xml:space="preserve"> CleanText(B250)</f>
        <v>ts looks ass</v>
      </c>
      <c r="D250">
        <v>0</v>
      </c>
      <c r="E250">
        <v>0</v>
      </c>
      <c r="F250" t="s">
        <v>0</v>
      </c>
      <c r="G250" t="str" cm="1">
        <f t="array" ref="G250" xml:space="preserve"> FindCountryName(F250)</f>
        <v>None</v>
      </c>
      <c r="H250" s="1">
        <v>45333.590833333335</v>
      </c>
      <c r="I250" s="1">
        <v>45333.590833333335</v>
      </c>
      <c r="J250" s="1">
        <v>44617.35392361111</v>
      </c>
      <c r="K250" cm="1">
        <f t="array" ref="K250" xml:space="preserve"> sentimentCalc(C250)</f>
        <v>-4</v>
      </c>
      <c r="L250" t="str" cm="1">
        <f t="array" ref="L250" xml:space="preserve"> sentimentCategory(K250)</f>
        <v>Negative</v>
      </c>
    </row>
    <row r="251" spans="1:12">
      <c r="A251" t="s">
        <v>212</v>
      </c>
      <c r="B251" t="s">
        <v>4360</v>
      </c>
      <c r="C251" t="str" cm="1">
        <f t="array" ref="C251" xml:space="preserve"> CleanText(B251)</f>
        <v>lets genuinely hope they wont screw it up</v>
      </c>
      <c r="D251">
        <v>0</v>
      </c>
      <c r="E251">
        <v>0</v>
      </c>
      <c r="F251" t="s">
        <v>0</v>
      </c>
      <c r="G251" t="str" cm="1">
        <f t="array" ref="G251" xml:space="preserve"> FindCountryName(F251)</f>
        <v>None</v>
      </c>
      <c r="H251" s="1">
        <v>45333.407766203702</v>
      </c>
      <c r="I251" s="1">
        <v>45333.407766203702</v>
      </c>
      <c r="J251" s="1">
        <v>40047.5155787037</v>
      </c>
      <c r="K251" cm="1">
        <f t="array" ref="K251" xml:space="preserve"> sentimentCalc(C251)</f>
        <v>2</v>
      </c>
      <c r="L251" t="str" cm="1">
        <f t="array" ref="L251" xml:space="preserve"> sentimentCategory(K251)</f>
        <v>Positive</v>
      </c>
    </row>
    <row r="252" spans="1:12">
      <c r="A252" t="s">
        <v>320</v>
      </c>
      <c r="B252" t="s">
        <v>4359</v>
      </c>
      <c r="C252" t="str" cm="1">
        <f t="array" ref="C252" xml:space="preserve"> CleanText(B252)</f>
        <v>ahhhh so excited</v>
      </c>
      <c r="D252">
        <v>0</v>
      </c>
      <c r="E252">
        <v>0</v>
      </c>
      <c r="F252" t="s">
        <v>0</v>
      </c>
      <c r="G252" t="str" cm="1">
        <f t="array" ref="G252" xml:space="preserve"> FindCountryName(F252)</f>
        <v>None</v>
      </c>
      <c r="H252" s="1">
        <v>45332.929502314815</v>
      </c>
      <c r="I252" s="1">
        <v>45332.929502314815</v>
      </c>
      <c r="J252" s="1">
        <v>43200.290092592593</v>
      </c>
      <c r="K252" cm="1">
        <f t="array" ref="K252" xml:space="preserve"> sentimentCalc(C252)</f>
        <v>3</v>
      </c>
      <c r="L252" t="str" cm="1">
        <f t="array" ref="L252" xml:space="preserve"> sentimentCategory(K252)</f>
        <v>Positive</v>
      </c>
    </row>
    <row r="253" spans="1:12">
      <c r="A253" t="s">
        <v>190</v>
      </c>
      <c r="B253" t="s">
        <v>4358</v>
      </c>
      <c r="C253" t="str" cm="1">
        <f t="array" ref="C253" xml:space="preserve"> CleanText(B253)</f>
        <v>not a bad job at all with one piecethis looks way better</v>
      </c>
      <c r="D253">
        <v>0</v>
      </c>
      <c r="E253">
        <v>0</v>
      </c>
      <c r="F253" t="s">
        <v>0</v>
      </c>
      <c r="G253" t="str" cm="1">
        <f t="array" ref="G253" xml:space="preserve"> FindCountryName(F253)</f>
        <v>None</v>
      </c>
      <c r="H253" s="1">
        <v>45332.911956018521</v>
      </c>
      <c r="I253" s="1">
        <v>45332.911956018521</v>
      </c>
      <c r="J253" s="1">
        <v>40546.783449074072</v>
      </c>
      <c r="K253" cm="1">
        <f t="array" ref="K253" xml:space="preserve"> sentimentCalc(C253)</f>
        <v>-1</v>
      </c>
      <c r="L253" t="str" cm="1">
        <f t="array" ref="L253" xml:space="preserve"> sentimentCategory(K253)</f>
        <v>Negative</v>
      </c>
    </row>
    <row r="254" spans="1:12">
      <c r="A254" t="s">
        <v>190</v>
      </c>
      <c r="B254" t="s">
        <v>4357</v>
      </c>
      <c r="C254" t="str" cm="1">
        <f t="array" ref="C254" xml:space="preserve"> CleanText(B254)</f>
        <v>yes yes  oh god yes</v>
      </c>
      <c r="D254">
        <v>0</v>
      </c>
      <c r="E254">
        <v>0</v>
      </c>
      <c r="F254" t="s">
        <v>0</v>
      </c>
      <c r="G254" t="str" cm="1">
        <f t="array" ref="G254" xml:space="preserve"> FindCountryName(F254)</f>
        <v>None</v>
      </c>
      <c r="H254" s="1">
        <v>45332.91065972222</v>
      </c>
      <c r="I254" s="1">
        <v>45332.91065972222</v>
      </c>
      <c r="J254" s="1">
        <v>40546.783449074072</v>
      </c>
      <c r="K254" cm="1">
        <f t="array" ref="K254" xml:space="preserve"> sentimentCalc(C254)</f>
        <v>4</v>
      </c>
      <c r="L254" t="str" cm="1">
        <f t="array" ref="L254" xml:space="preserve"> sentimentCategory(K254)</f>
        <v>Positive</v>
      </c>
    </row>
    <row r="255" spans="1:12">
      <c r="A255" t="s">
        <v>4356</v>
      </c>
      <c r="B255" t="s">
        <v>4355</v>
      </c>
      <c r="C255" t="str" cm="1">
        <f t="array" ref="C255" xml:space="preserve"> CleanText(B255)</f>
        <v>please take my eyes away</v>
      </c>
      <c r="D255">
        <v>0</v>
      </c>
      <c r="E255">
        <v>0</v>
      </c>
      <c r="F255" t="s">
        <v>1523</v>
      </c>
      <c r="G255" t="str" cm="1">
        <f t="array" ref="G255" xml:space="preserve"> FindCountryName(F255)</f>
        <v>Turkey</v>
      </c>
      <c r="H255" s="1">
        <v>45332.430833333332</v>
      </c>
      <c r="I255" s="1">
        <v>45332.430833333332</v>
      </c>
      <c r="J255" s="1">
        <v>44398.692025462966</v>
      </c>
      <c r="K255" cm="1">
        <f t="array" ref="K255" xml:space="preserve"> sentimentCalc(C255)</f>
        <v>1</v>
      </c>
      <c r="L255" t="str" cm="1">
        <f t="array" ref="L255" xml:space="preserve"> sentimentCategory(K255)</f>
        <v>Positive</v>
      </c>
    </row>
    <row r="256" spans="1:12">
      <c r="A256" t="s">
        <v>233</v>
      </c>
      <c r="B256" t="s">
        <v>4354</v>
      </c>
      <c r="C256" t="str" cm="1">
        <f t="array" ref="C256" xml:space="preserve"> CleanText(B256)</f>
        <v>the movie they made could have been good iif they hadnt gotten m knight shamalamadingdong to direct it</v>
      </c>
      <c r="D256">
        <v>1</v>
      </c>
      <c r="E256">
        <v>0</v>
      </c>
      <c r="F256" t="s">
        <v>0</v>
      </c>
      <c r="G256" t="str" cm="1">
        <f t="array" ref="G256" xml:space="preserve"> FindCountryName(F256)</f>
        <v>None</v>
      </c>
      <c r="H256" s="1">
        <v>45332.057696759257</v>
      </c>
      <c r="I256" s="1">
        <v>45332.057696759257</v>
      </c>
      <c r="J256" s="1">
        <v>39140.641226851854</v>
      </c>
      <c r="K256" cm="1">
        <f t="array" ref="K256" xml:space="preserve"> sentimentCalc(C256)</f>
        <v>3</v>
      </c>
      <c r="L256" t="str" cm="1">
        <f t="array" ref="L256" xml:space="preserve"> sentimentCategory(K256)</f>
        <v>Positive</v>
      </c>
    </row>
    <row r="257" spans="1:12">
      <c r="A257" t="s">
        <v>4353</v>
      </c>
      <c r="B257" t="s">
        <v>4352</v>
      </c>
      <c r="C257" t="str" cm="1">
        <f t="array" ref="C257" xml:space="preserve"> CleanText(B257)</f>
        <v>everything looks amazing i cant wait i hate to say katana is the only one out of place but im sure she would portray katana as the best as we all hoped and wished for first movie made was garbage</v>
      </c>
      <c r="D257">
        <v>0</v>
      </c>
      <c r="E257">
        <v>0</v>
      </c>
      <c r="F257" t="s">
        <v>0</v>
      </c>
      <c r="G257" t="str" cm="1">
        <f t="array" ref="G257" xml:space="preserve"> FindCountryName(F257)</f>
        <v>None</v>
      </c>
      <c r="H257" s="1">
        <v>45331.710243055553</v>
      </c>
      <c r="I257" s="1">
        <v>45331.710243055553</v>
      </c>
      <c r="J257" s="1">
        <v>45049.709687499999</v>
      </c>
      <c r="K257" cm="1">
        <f t="array" ref="K257" xml:space="preserve"> sentimentCalc(C257)</f>
        <v>4</v>
      </c>
      <c r="L257" t="str" cm="1">
        <f t="array" ref="L257" xml:space="preserve"> sentimentCategory(K257)</f>
        <v>Positive</v>
      </c>
    </row>
    <row r="258" spans="1:12">
      <c r="A258" t="s">
        <v>1301</v>
      </c>
      <c r="B258" t="s">
        <v>4351</v>
      </c>
      <c r="C258" t="str" cm="1">
        <f t="array" ref="C258" xml:space="preserve"> CleanText(B258)</f>
        <v>been waiting so long for this that movie that came out years ago disrespected the shows reputation redemption is here _xDE2D_</v>
      </c>
      <c r="D258">
        <v>0</v>
      </c>
      <c r="E258">
        <v>0</v>
      </c>
      <c r="F258" t="s">
        <v>0</v>
      </c>
      <c r="G258" t="str" cm="1">
        <f t="array" ref="G258" xml:space="preserve"> FindCountryName(F258)</f>
        <v>None</v>
      </c>
      <c r="H258" s="1">
        <v>45331.529699074075</v>
      </c>
      <c r="I258" s="1">
        <v>45331.529699074075</v>
      </c>
      <c r="J258" s="1">
        <v>42308.642627314817</v>
      </c>
      <c r="K258" cm="1">
        <f t="array" ref="K258" xml:space="preserve"> sentimentCalc(C258)</f>
        <v>-2</v>
      </c>
      <c r="L258" t="str" cm="1">
        <f t="array" ref="L258" xml:space="preserve"> sentimentCategory(K258)</f>
        <v>Negative</v>
      </c>
    </row>
    <row r="259" spans="1:12">
      <c r="A259" t="s">
        <v>72</v>
      </c>
      <c r="B259" t="s">
        <v>4350</v>
      </c>
      <c r="C259" t="str" cm="1">
        <f t="array" ref="C259" xml:space="preserve"> CleanText(B259)</f>
        <v>te estar esperando</v>
      </c>
      <c r="D259">
        <v>0</v>
      </c>
      <c r="E259">
        <v>0</v>
      </c>
      <c r="F259" t="s">
        <v>0</v>
      </c>
      <c r="G259" t="str" cm="1">
        <f t="array" ref="G259" xml:space="preserve"> FindCountryName(F259)</f>
        <v>None</v>
      </c>
      <c r="H259" s="1">
        <v>45331.479224537034</v>
      </c>
      <c r="I259" s="1">
        <v>45331.479224537034</v>
      </c>
      <c r="J259" s="1">
        <v>45331.479212962964</v>
      </c>
      <c r="K259" cm="1">
        <f t="array" ref="K259" xml:space="preserve"> sentimentCalc(C259)</f>
        <v>0</v>
      </c>
      <c r="L259" t="str" cm="1">
        <f t="array" ref="L259" xml:space="preserve"> sentimentCategory(K259)</f>
        <v>Neutral</v>
      </c>
    </row>
    <row r="260" spans="1:12">
      <c r="A260" t="s">
        <v>4349</v>
      </c>
      <c r="B260" t="s">
        <v>4348</v>
      </c>
      <c r="C260" t="str" cm="1">
        <f t="array" ref="C260" xml:space="preserve"> CleanText(B260)</f>
        <v>this better be actually good</v>
      </c>
      <c r="D260">
        <v>0</v>
      </c>
      <c r="E260">
        <v>0</v>
      </c>
      <c r="F260" t="s">
        <v>19</v>
      </c>
      <c r="G260" t="str" cm="1">
        <f t="array" ref="G260" xml:space="preserve"> FindCountryName(F260)</f>
        <v>United States of America (the)</v>
      </c>
      <c r="H260" s="1">
        <v>45331.439502314817</v>
      </c>
      <c r="I260" s="1">
        <v>45331.439502314817</v>
      </c>
      <c r="J260" s="1">
        <v>43920.866608796299</v>
      </c>
      <c r="K260" cm="1">
        <f t="array" ref="K260" xml:space="preserve"> sentimentCalc(C260)</f>
        <v>5</v>
      </c>
      <c r="L260" t="str" cm="1">
        <f t="array" ref="L260" xml:space="preserve"> sentimentCategory(K260)</f>
        <v>Positive</v>
      </c>
    </row>
    <row r="261" spans="1:12">
      <c r="A261" t="s">
        <v>3053</v>
      </c>
      <c r="B261" t="s">
        <v>4347</v>
      </c>
      <c r="C261" t="str" cm="1">
        <f t="array" ref="C261" xml:space="preserve"> CleanText(B261)</f>
        <v>this looks awful _xDE22_</v>
      </c>
      <c r="D261">
        <v>0</v>
      </c>
      <c r="E261">
        <v>2</v>
      </c>
      <c r="F261" t="s">
        <v>0</v>
      </c>
      <c r="G261" t="str" cm="1">
        <f t="array" ref="G261" xml:space="preserve"> FindCountryName(F261)</f>
        <v>None</v>
      </c>
      <c r="H261" s="1">
        <v>45331.350347222222</v>
      </c>
      <c r="I261" s="1">
        <v>45331.350347222222</v>
      </c>
      <c r="J261" s="1">
        <v>42465.133784722224</v>
      </c>
      <c r="K261" cm="1">
        <f t="array" ref="K261" xml:space="preserve"> sentimentCalc(C261)</f>
        <v>-3</v>
      </c>
      <c r="L261" t="str" cm="1">
        <f t="array" ref="L261" xml:space="preserve"> sentimentCategory(K261)</f>
        <v>Negative</v>
      </c>
    </row>
    <row r="262" spans="1:12">
      <c r="A262" t="s">
        <v>4346</v>
      </c>
      <c r="B262" t="s">
        <v>4345</v>
      </c>
      <c r="C262" t="str" cm="1">
        <f t="array" ref="C262" xml:space="preserve"> CleanText(B262)</f>
        <v>the production value seems pretty high but im nit sure how theyll make it work with a politically corrected sokka and a serious aang</v>
      </c>
      <c r="D262">
        <v>0</v>
      </c>
      <c r="E262">
        <v>1</v>
      </c>
      <c r="F262" t="s">
        <v>0</v>
      </c>
      <c r="G262" t="str" cm="1">
        <f t="array" ref="G262" xml:space="preserve"> FindCountryName(F262)</f>
        <v>None</v>
      </c>
      <c r="H262" s="1">
        <v>45330.997245370374</v>
      </c>
      <c r="I262" s="1">
        <v>45330.997245370374</v>
      </c>
      <c r="J262" s="1">
        <v>40696.901550925926</v>
      </c>
      <c r="K262" cm="1">
        <f t="array" ref="K262" xml:space="preserve"> sentimentCalc(C262)</f>
        <v>1</v>
      </c>
      <c r="L262" t="str" cm="1">
        <f t="array" ref="L262" xml:space="preserve"> sentimentCategory(K262)</f>
        <v>Positive</v>
      </c>
    </row>
    <row r="263" spans="1:12">
      <c r="A263" t="s">
        <v>255</v>
      </c>
      <c r="B263" t="s">
        <v>4344</v>
      </c>
      <c r="C263" t="str" cm="1">
        <f t="array" ref="C263" xml:space="preserve"> CleanText(B263)</f>
        <v>azula eye movement only is killing it damn she good</v>
      </c>
      <c r="D263">
        <v>0</v>
      </c>
      <c r="E263">
        <v>0</v>
      </c>
      <c r="F263" t="s">
        <v>0</v>
      </c>
      <c r="G263" t="str" cm="1">
        <f t="array" ref="G263" xml:space="preserve"> FindCountryName(F263)</f>
        <v>None</v>
      </c>
      <c r="H263" s="1">
        <v>45330.603761574072</v>
      </c>
      <c r="I263" s="1">
        <v>45330.603761574072</v>
      </c>
      <c r="J263" s="1">
        <v>43752.59516203704</v>
      </c>
      <c r="K263" cm="1">
        <f t="array" ref="K263" xml:space="preserve"> sentimentCalc(C263)</f>
        <v>-4</v>
      </c>
      <c r="L263" t="str" cm="1">
        <f t="array" ref="L263" xml:space="preserve"> sentimentCategory(K263)</f>
        <v>Negative</v>
      </c>
    </row>
    <row r="264" spans="1:12">
      <c r="A264" t="s">
        <v>26</v>
      </c>
      <c r="B264" t="s">
        <v>4343</v>
      </c>
      <c r="C264" t="str" cm="1">
        <f t="array" ref="C264" xml:space="preserve"> CleanText(B264)</f>
        <v>국 본 뽕놨뭐지쪽 본 간가 n</v>
      </c>
      <c r="D264">
        <v>0</v>
      </c>
      <c r="E264">
        <v>0</v>
      </c>
      <c r="F264" t="s">
        <v>0</v>
      </c>
      <c r="G264" t="str" cm="1">
        <f t="array" ref="G264" xml:space="preserve"> FindCountryName(F264)</f>
        <v>None</v>
      </c>
      <c r="H264" s="1">
        <v>45330.433657407404</v>
      </c>
      <c r="I264" s="1">
        <v>45330.433657407404</v>
      </c>
      <c r="J264" s="1">
        <v>41015.039652777778</v>
      </c>
      <c r="K264" cm="1">
        <f t="array" ref="K264" xml:space="preserve"> sentimentCalc(C264)</f>
        <v>0</v>
      </c>
      <c r="L264" t="str" cm="1">
        <f t="array" ref="L264" xml:space="preserve"> sentimentCategory(K264)</f>
        <v>Neutral</v>
      </c>
    </row>
    <row r="265" spans="1:12">
      <c r="A265" t="s">
        <v>28</v>
      </c>
      <c r="B265" t="s">
        <v>4342</v>
      </c>
      <c r="C265" t="str" cm="1">
        <f t="array" ref="C265" xml:space="preserve"> CleanText(B265)</f>
        <v>i hope they do kitara s last fight justice</v>
      </c>
      <c r="D265">
        <v>1</v>
      </c>
      <c r="E265">
        <v>0</v>
      </c>
      <c r="F265" t="s">
        <v>0</v>
      </c>
      <c r="G265" t="str" cm="1">
        <f t="array" ref="G265" xml:space="preserve"> FindCountryName(F265)</f>
        <v>None</v>
      </c>
      <c r="H265" s="1">
        <v>45330.299745370372</v>
      </c>
      <c r="I265" s="1">
        <v>45330.299745370372</v>
      </c>
      <c r="J265" s="1">
        <v>43875.562743055554</v>
      </c>
      <c r="K265" cm="1">
        <f t="array" ref="K265" xml:space="preserve"> sentimentCalc(C265)</f>
        <v>3</v>
      </c>
      <c r="L265" t="str" cm="1">
        <f t="array" ref="L265" xml:space="preserve"> sentimentCategory(K265)</f>
        <v>Positive</v>
      </c>
    </row>
    <row r="266" spans="1:12">
      <c r="A266" t="s">
        <v>960</v>
      </c>
      <c r="B266" t="s">
        <v>4341</v>
      </c>
      <c r="C266" t="str" cm="1">
        <f t="array" ref="C266" xml:space="preserve"> CleanText(B266)</f>
        <v>dislike  bring back sokka</v>
      </c>
      <c r="D266">
        <v>0</v>
      </c>
      <c r="E266">
        <v>0</v>
      </c>
      <c r="F266" t="s">
        <v>0</v>
      </c>
      <c r="G266" t="str" cm="1">
        <f t="array" ref="G266" xml:space="preserve"> FindCountryName(F266)</f>
        <v>None</v>
      </c>
      <c r="H266" s="1">
        <v>45330.145648148151</v>
      </c>
      <c r="I266" s="1">
        <v>45330.145648148151</v>
      </c>
      <c r="J266" s="1">
        <v>43339.490266203706</v>
      </c>
      <c r="K266" cm="1">
        <f t="array" ref="K266" xml:space="preserve"> sentimentCalc(C266)</f>
        <v>-2</v>
      </c>
      <c r="L266" t="str" cm="1">
        <f t="array" ref="L266" xml:space="preserve"> sentimentCategory(K266)</f>
        <v>Negative</v>
      </c>
    </row>
    <row r="267" spans="1:12">
      <c r="A267" t="s">
        <v>4340</v>
      </c>
      <c r="B267" t="s">
        <v>4339</v>
      </c>
      <c r="C267" t="str" cm="1">
        <f t="array" ref="C267" xml:space="preserve"> CleanText(B267)</f>
        <v>now that is bending hopefully thisll do the show some daang justice</v>
      </c>
      <c r="D267">
        <v>0</v>
      </c>
      <c r="E267">
        <v>0</v>
      </c>
      <c r="F267" t="s">
        <v>19</v>
      </c>
      <c r="G267" t="str" cm="1">
        <f t="array" ref="G267" xml:space="preserve"> FindCountryName(F267)</f>
        <v>United States of America (the)</v>
      </c>
      <c r="H267" s="1">
        <v>45329.895138888889</v>
      </c>
      <c r="I267" s="1">
        <v>45329.895138888889</v>
      </c>
      <c r="J267" s="1">
        <v>44285.823009259257</v>
      </c>
      <c r="K267" cm="1">
        <f t="array" ref="K267" xml:space="preserve"> sentimentCalc(C267)</f>
        <v>4</v>
      </c>
      <c r="L267" t="str" cm="1">
        <f t="array" ref="L267" xml:space="preserve"> sentimentCategory(K267)</f>
        <v>Positive</v>
      </c>
    </row>
    <row r="268" spans="1:12">
      <c r="A268" t="s">
        <v>2614</v>
      </c>
      <c r="B268" t="s">
        <v>4338</v>
      </c>
      <c r="C268" t="str" cm="1">
        <f t="array" ref="C268" xml:space="preserve"> CleanText(B268)</f>
        <v>yo no lo quiero yo lo necesito para vivir</v>
      </c>
      <c r="D268">
        <v>0</v>
      </c>
      <c r="E268">
        <v>0</v>
      </c>
      <c r="F268" t="s">
        <v>0</v>
      </c>
      <c r="G268" t="str" cm="1">
        <f t="array" ref="G268" xml:space="preserve"> FindCountryName(F268)</f>
        <v>None</v>
      </c>
      <c r="H268" s="1">
        <v>45329.627291666664</v>
      </c>
      <c r="I268" s="1">
        <v>45329.627291666664</v>
      </c>
      <c r="J268" s="1">
        <v>45301.693344907406</v>
      </c>
      <c r="K268" cm="1">
        <f t="array" ref="K268" xml:space="preserve"> sentimentCalc(C268)</f>
        <v>-1</v>
      </c>
      <c r="L268" t="str" cm="1">
        <f t="array" ref="L268" xml:space="preserve"> sentimentCategory(K268)</f>
        <v>Negative</v>
      </c>
    </row>
    <row r="269" spans="1:12">
      <c r="A269" t="s">
        <v>382</v>
      </c>
      <c r="B269" t="s">
        <v>4337</v>
      </c>
      <c r="C269" t="str" cm="1">
        <f t="array" ref="C269" xml:space="preserve"> CleanText(B269)</f>
        <v>man this is going to be the biggest thing netflixs done since squid game</v>
      </c>
      <c r="D269">
        <v>1</v>
      </c>
      <c r="E269">
        <v>0</v>
      </c>
      <c r="F269" t="s">
        <v>0</v>
      </c>
      <c r="G269" t="str" cm="1">
        <f t="array" ref="G269" xml:space="preserve"> FindCountryName(F269)</f>
        <v>None</v>
      </c>
      <c r="H269" s="1">
        <v>45329.60429398148</v>
      </c>
      <c r="I269" s="1">
        <v>45329.60429398148</v>
      </c>
      <c r="J269" s="1">
        <v>43652.288414351853</v>
      </c>
      <c r="K269" cm="1">
        <f t="array" ref="K269" xml:space="preserve"> sentimentCalc(C269)</f>
        <v>0</v>
      </c>
      <c r="L269" t="str" cm="1">
        <f t="array" ref="L269" xml:space="preserve"> sentimentCategory(K269)</f>
        <v>Neutral</v>
      </c>
    </row>
    <row r="270" spans="1:12">
      <c r="A270" t="s">
        <v>4336</v>
      </c>
      <c r="B270" t="s">
        <v>4335</v>
      </c>
      <c r="C270" t="str" cm="1">
        <f t="array" ref="C270" xml:space="preserve"> CleanText(B270)</f>
        <v>kinda look forward to it but kinda bit let down aang is supposed to be playful mischievous and a bit naughty this aang looks too nice and a bit quiet</v>
      </c>
      <c r="D270">
        <v>0</v>
      </c>
      <c r="E270">
        <v>0</v>
      </c>
      <c r="F270" t="s">
        <v>0</v>
      </c>
      <c r="G270" t="str" cm="1">
        <f t="array" ref="G270" xml:space="preserve"> FindCountryName(F270)</f>
        <v>None</v>
      </c>
      <c r="H270" s="1">
        <v>45329.523657407408</v>
      </c>
      <c r="I270" s="1">
        <v>45329.523657407408</v>
      </c>
      <c r="J270" s="1">
        <v>39830.178738425922</v>
      </c>
      <c r="K270" cm="1">
        <f t="array" ref="K270" xml:space="preserve"> sentimentCalc(C270)</f>
        <v>5</v>
      </c>
      <c r="L270" t="str" cm="1">
        <f t="array" ref="L270" xml:space="preserve"> sentimentCategory(K270)</f>
        <v>Positive</v>
      </c>
    </row>
    <row r="271" spans="1:12">
      <c r="A271" t="s">
        <v>367</v>
      </c>
      <c r="B271" t="s">
        <v>307</v>
      </c>
      <c r="C271" t="str" cm="1">
        <f t="array" ref="C271" xml:space="preserve"> CleanText(B271)</f>
        <v>where is toph</v>
      </c>
      <c r="D271">
        <v>1</v>
      </c>
      <c r="E271">
        <v>0</v>
      </c>
      <c r="F271" t="s">
        <v>0</v>
      </c>
      <c r="G271" t="str" cm="1">
        <f t="array" ref="G271" xml:space="preserve"> FindCountryName(F271)</f>
        <v>None</v>
      </c>
      <c r="H271" s="1">
        <v>45329.521550925929</v>
      </c>
      <c r="I271" s="1">
        <v>45329.521550925929</v>
      </c>
      <c r="J271" s="1">
        <v>42564.541944444441</v>
      </c>
      <c r="K271" cm="1">
        <f t="array" ref="K271" xml:space="preserve"> sentimentCalc(C271)</f>
        <v>0</v>
      </c>
      <c r="L271" t="str" cm="1">
        <f t="array" ref="L271" xml:space="preserve"> sentimentCategory(K271)</f>
        <v>Neutral</v>
      </c>
    </row>
    <row r="272" spans="1:12">
      <c r="A272" t="s">
        <v>1327</v>
      </c>
      <c r="B272" t="s">
        <v>4334</v>
      </c>
      <c r="C272" t="str" cm="1">
        <f t="array" ref="C272" xml:space="preserve"> CleanText(B272)</f>
        <v>i swear ther continuing an abandoned version that footage of soka is so familiar its like i know him and that footage of katara i have too but only from the back and the front looks new could be tripping due to just realising while writing this that he looks similar to the film version still its annoying me lol anyone else think they might know what im talking about lol ️_xDD1E__xDC4D_</v>
      </c>
      <c r="D272">
        <v>0</v>
      </c>
      <c r="E272">
        <v>0</v>
      </c>
      <c r="F272" t="s">
        <v>0</v>
      </c>
      <c r="G272" t="str" cm="1">
        <f t="array" ref="G272" xml:space="preserve"> FindCountryName(F272)</f>
        <v>None</v>
      </c>
      <c r="H272" s="1">
        <v>45328.683298611111</v>
      </c>
      <c r="I272" s="1">
        <v>45328.683298611111</v>
      </c>
      <c r="J272" s="1">
        <v>41848.680879629632</v>
      </c>
      <c r="K272" cm="1">
        <f t="array" ref="K272" xml:space="preserve"> sentimentCalc(C272)</f>
        <v>-4</v>
      </c>
      <c r="L272" t="str" cm="1">
        <f t="array" ref="L272" xml:space="preserve"> sentimentCategory(K272)</f>
        <v>Negative</v>
      </c>
    </row>
    <row r="273" spans="1:12">
      <c r="A273" t="s">
        <v>158</v>
      </c>
      <c r="B273" t="s">
        <v>4333</v>
      </c>
      <c r="C273" t="str" cm="1">
        <f t="array" ref="C273" xml:space="preserve"> CleanText(B273)</f>
        <v>thanks god they didnt aang african</v>
      </c>
      <c r="D273">
        <v>1</v>
      </c>
      <c r="E273">
        <v>0</v>
      </c>
      <c r="F273" t="s">
        <v>0</v>
      </c>
      <c r="G273" t="str" cm="1">
        <f t="array" ref="G273" xml:space="preserve"> FindCountryName(F273)</f>
        <v>None</v>
      </c>
      <c r="H273" s="1">
        <v>45328.55263888889</v>
      </c>
      <c r="I273" s="1">
        <v>45328.55263888889</v>
      </c>
      <c r="J273" s="1">
        <v>44463.848229166666</v>
      </c>
      <c r="K273" cm="1">
        <f t="array" ref="K273" xml:space="preserve"> sentimentCalc(C273)</f>
        <v>3</v>
      </c>
      <c r="L273" t="str" cm="1">
        <f t="array" ref="L273" xml:space="preserve"> sentimentCategory(K273)</f>
        <v>Positive</v>
      </c>
    </row>
    <row r="274" spans="1:12">
      <c r="A274" t="s">
        <v>483</v>
      </c>
      <c r="B274" t="s">
        <v>4332</v>
      </c>
      <c r="C274" t="str" cm="1">
        <f t="array" ref="C274" xml:space="preserve"> CleanText(B274)</f>
        <v>daha nce grlmemi derecede fantastik bir film olacak gibi duruyor cidden bunu netflix hesabmda izlemek iin listeme ekledim</v>
      </c>
      <c r="D274">
        <v>0</v>
      </c>
      <c r="E274">
        <v>0</v>
      </c>
      <c r="F274" t="s">
        <v>0</v>
      </c>
      <c r="G274" t="str" cm="1">
        <f t="array" ref="G274" xml:space="preserve"> FindCountryName(F274)</f>
        <v>None</v>
      </c>
      <c r="H274" s="1">
        <v>45328.524988425925</v>
      </c>
      <c r="I274" s="1">
        <v>45328.524988425925</v>
      </c>
      <c r="J274" s="1">
        <v>42138.384594907409</v>
      </c>
      <c r="K274" cm="1">
        <f t="array" ref="K274" xml:space="preserve"> sentimentCalc(C274)</f>
        <v>0</v>
      </c>
      <c r="L274" t="str" cm="1">
        <f t="array" ref="L274" xml:space="preserve"> sentimentCategory(K274)</f>
        <v>Neutral</v>
      </c>
    </row>
    <row r="275" spans="1:12">
      <c r="A275" t="s">
        <v>865</v>
      </c>
      <c r="B275" t="s">
        <v>4331</v>
      </c>
      <c r="C275" t="str" cm="1">
        <f t="array" ref="C275" xml:space="preserve"> CleanText(B275)</f>
        <v>but who will make a film about me the last penisbender</v>
      </c>
      <c r="D275">
        <v>0</v>
      </c>
      <c r="E275">
        <v>0</v>
      </c>
      <c r="F275" t="s">
        <v>0</v>
      </c>
      <c r="G275" t="str" cm="1">
        <f t="array" ref="G275" xml:space="preserve"> FindCountryName(F275)</f>
        <v>None</v>
      </c>
      <c r="H275" s="1">
        <v>45328.323946759258</v>
      </c>
      <c r="I275" s="1">
        <v>45328.323946759258</v>
      </c>
      <c r="J275" s="1">
        <v>44829.46230324074</v>
      </c>
      <c r="K275" cm="1">
        <f t="array" ref="K275" xml:space="preserve"> sentimentCalc(C275)</f>
        <v>0</v>
      </c>
      <c r="L275" t="str" cm="1">
        <f t="array" ref="L275" xml:space="preserve"> sentimentCategory(K275)</f>
        <v>Neutral</v>
      </c>
    </row>
    <row r="276" spans="1:12">
      <c r="A276" t="s">
        <v>413</v>
      </c>
      <c r="B276" t="s">
        <v>4330</v>
      </c>
      <c r="C276" t="str" cm="1">
        <f t="array" ref="C276" xml:space="preserve"> CleanText(B276)</f>
        <v>eagerly waiting</v>
      </c>
      <c r="D276">
        <v>1</v>
      </c>
      <c r="E276">
        <v>0</v>
      </c>
      <c r="F276" t="s">
        <v>0</v>
      </c>
      <c r="G276" t="str" cm="1">
        <f t="array" ref="G276" xml:space="preserve"> FindCountryName(F276)</f>
        <v>None</v>
      </c>
      <c r="H276" s="1">
        <v>45328.108657407407</v>
      </c>
      <c r="I276" s="1">
        <v>45328.108657407407</v>
      </c>
      <c r="J276" s="1">
        <v>45221.896087962959</v>
      </c>
      <c r="K276" cm="1">
        <f t="array" ref="K276" xml:space="preserve"> sentimentCalc(C276)</f>
        <v>0</v>
      </c>
      <c r="L276" t="str" cm="1">
        <f t="array" ref="L276" xml:space="preserve"> sentimentCategory(K276)</f>
        <v>Neutral</v>
      </c>
    </row>
    <row r="277" spans="1:12">
      <c r="A277" t="s">
        <v>1261</v>
      </c>
      <c r="B277" t="s">
        <v>4329</v>
      </c>
      <c r="C277" t="str" cm="1">
        <f t="array" ref="C277" xml:space="preserve"> CleanText(B277)</f>
        <v>beklenenin stnde bir teaser olmu harika</v>
      </c>
      <c r="D277">
        <v>0</v>
      </c>
      <c r="E277">
        <v>0</v>
      </c>
      <c r="F277" t="s">
        <v>1523</v>
      </c>
      <c r="G277" t="str" cm="1">
        <f t="array" ref="G277" xml:space="preserve"> FindCountryName(F277)</f>
        <v>Turkey</v>
      </c>
      <c r="H277" s="1">
        <v>45328.094189814816</v>
      </c>
      <c r="I277" s="1">
        <v>45328.094189814816</v>
      </c>
      <c r="J277" s="1">
        <v>42061.359293981484</v>
      </c>
      <c r="K277" cm="1">
        <f t="array" ref="K277" xml:space="preserve"> sentimentCalc(C277)</f>
        <v>0</v>
      </c>
      <c r="L277" t="str" cm="1">
        <f t="array" ref="L277" xml:space="preserve"> sentimentCategory(K277)</f>
        <v>Neutral</v>
      </c>
    </row>
    <row r="278" spans="1:12">
      <c r="A278" t="s">
        <v>367</v>
      </c>
      <c r="B278" t="s">
        <v>4067</v>
      </c>
      <c r="C278" t="str" cm="1">
        <f t="array" ref="C278" xml:space="preserve"> CleanText(B278)</f>
        <v>ok gzel</v>
      </c>
      <c r="D278">
        <v>0</v>
      </c>
      <c r="E278">
        <v>0</v>
      </c>
      <c r="F278" t="s">
        <v>0</v>
      </c>
      <c r="G278" t="str" cm="1">
        <f t="array" ref="G278" xml:space="preserve"> FindCountryName(F278)</f>
        <v>None</v>
      </c>
      <c r="H278" s="1">
        <v>45328.092962962961</v>
      </c>
      <c r="I278" s="1">
        <v>45328.092962962961</v>
      </c>
      <c r="J278" s="1">
        <v>41776.575532407405</v>
      </c>
      <c r="K278" cm="1">
        <f t="array" ref="K278" xml:space="preserve"> sentimentCalc(C278)</f>
        <v>0</v>
      </c>
      <c r="L278" t="str" cm="1">
        <f t="array" ref="L278" xml:space="preserve"> sentimentCategory(K278)</f>
        <v>Neutral</v>
      </c>
    </row>
    <row r="279" spans="1:12">
      <c r="A279" t="s">
        <v>290</v>
      </c>
      <c r="B279" t="s">
        <v>4328</v>
      </c>
      <c r="C279" t="str" cm="1">
        <f t="array" ref="C279" xml:space="preserve"> CleanText(B279)</f>
        <v>is it gonna be a series or a movie</v>
      </c>
      <c r="D279">
        <v>0</v>
      </c>
      <c r="E279">
        <v>0</v>
      </c>
      <c r="F279" t="s">
        <v>0</v>
      </c>
      <c r="G279" t="str" cm="1">
        <f t="array" ref="G279" xml:space="preserve"> FindCountryName(F279)</f>
        <v>None</v>
      </c>
      <c r="H279" s="1">
        <v>45327.954930555556</v>
      </c>
      <c r="I279" s="1">
        <v>45327.954930555556</v>
      </c>
      <c r="J279" s="1">
        <v>41634.121493055558</v>
      </c>
      <c r="K279" cm="1">
        <f t="array" ref="K279" xml:space="preserve"> sentimentCalc(C279)</f>
        <v>0</v>
      </c>
      <c r="L279" t="str" cm="1">
        <f t="array" ref="L279" xml:space="preserve"> sentimentCategory(K279)</f>
        <v>Neutral</v>
      </c>
    </row>
    <row r="280" spans="1:12">
      <c r="A280" t="s">
        <v>4327</v>
      </c>
      <c r="B280" t="s">
        <v>4326</v>
      </c>
      <c r="C280" t="str" cm="1">
        <f t="array" ref="C280" xml:space="preserve"> CleanText(B280)</f>
        <v>why is soaka do light skin and cute</v>
      </c>
      <c r="D280">
        <v>0</v>
      </c>
      <c r="E280">
        <v>0</v>
      </c>
      <c r="F280" t="s">
        <v>19</v>
      </c>
      <c r="G280" t="str" cm="1">
        <f t="array" ref="G280" xml:space="preserve"> FindCountryName(F280)</f>
        <v>United States of America (the)</v>
      </c>
      <c r="H280" s="1">
        <v>45327.944652777776</v>
      </c>
      <c r="I280" s="1">
        <v>45327.944652777776</v>
      </c>
      <c r="J280" s="1">
        <v>40543.894212962965</v>
      </c>
      <c r="K280" cm="1">
        <f t="array" ref="K280" xml:space="preserve"> sentimentCalc(C280)</f>
        <v>2</v>
      </c>
      <c r="L280" t="str" cm="1">
        <f t="array" ref="L280" xml:space="preserve"> sentimentCategory(K280)</f>
        <v>Positive</v>
      </c>
    </row>
    <row r="281" spans="1:12">
      <c r="A281" t="s">
        <v>16</v>
      </c>
      <c r="B281" t="s">
        <v>4325</v>
      </c>
      <c r="C281" t="str" cm="1">
        <f t="array" ref="C281" xml:space="preserve"> CleanText(B281)</f>
        <v>i am a surgeon i am a surgeon fire lord ozai</v>
      </c>
      <c r="D281">
        <v>0</v>
      </c>
      <c r="E281">
        <v>0</v>
      </c>
      <c r="F281" t="s">
        <v>0</v>
      </c>
      <c r="G281" t="str" cm="1">
        <f t="array" ref="G281" xml:space="preserve"> FindCountryName(F281)</f>
        <v>None</v>
      </c>
      <c r="H281" s="1">
        <v>45327.888981481483</v>
      </c>
      <c r="I281" s="1">
        <v>45327.888981481483</v>
      </c>
      <c r="J281" s="1">
        <v>42716.405821759261</v>
      </c>
      <c r="K281" cm="1">
        <f t="array" ref="K281" xml:space="preserve"> sentimentCalc(C281)</f>
        <v>-2</v>
      </c>
      <c r="L281" t="str" cm="1">
        <f t="array" ref="L281" xml:space="preserve"> sentimentCategory(K281)</f>
        <v>Negative</v>
      </c>
    </row>
    <row r="282" spans="1:12">
      <c r="A282" t="s">
        <v>591</v>
      </c>
      <c r="B282" t="s">
        <v>4324</v>
      </c>
      <c r="C282" t="str" cm="1">
        <f t="array" ref="C282" xml:space="preserve"> CleanText(B282)</f>
        <v>nice film</v>
      </c>
      <c r="D282">
        <v>0</v>
      </c>
      <c r="E282">
        <v>1</v>
      </c>
      <c r="F282" t="s">
        <v>0</v>
      </c>
      <c r="G282" t="str" cm="1">
        <f t="array" ref="G282" xml:space="preserve"> FindCountryName(F282)</f>
        <v>None</v>
      </c>
      <c r="H282" s="1">
        <v>45327.434224537035</v>
      </c>
      <c r="I282" s="1">
        <v>45327.434224537035</v>
      </c>
      <c r="J282" s="1">
        <v>42211.226111111115</v>
      </c>
      <c r="K282" cm="1">
        <f t="array" ref="K282" xml:space="preserve"> sentimentCalc(C282)</f>
        <v>3</v>
      </c>
      <c r="L282" t="str" cm="1">
        <f t="array" ref="L282" xml:space="preserve"> sentimentCategory(K282)</f>
        <v>Positive</v>
      </c>
    </row>
    <row r="283" spans="1:12">
      <c r="A283" t="s">
        <v>290</v>
      </c>
      <c r="B283" t="s">
        <v>4323</v>
      </c>
      <c r="C283" t="str" cm="1">
        <f t="array" ref="C283" xml:space="preserve"> CleanText(B283)</f>
        <v>grdm en salkl ve en akc animasyon</v>
      </c>
      <c r="D283">
        <v>0</v>
      </c>
      <c r="E283">
        <v>0</v>
      </c>
      <c r="F283" t="s">
        <v>1523</v>
      </c>
      <c r="G283" t="str" cm="1">
        <f t="array" ref="G283" xml:space="preserve"> FindCountryName(F283)</f>
        <v>Turkey</v>
      </c>
      <c r="H283" s="1">
        <v>45327.419062499997</v>
      </c>
      <c r="I283" s="1">
        <v>45327.419062499997</v>
      </c>
      <c r="J283" s="1">
        <v>43237.694849537038</v>
      </c>
      <c r="K283" cm="1">
        <f t="array" ref="K283" xml:space="preserve"> sentimentCalc(C283)</f>
        <v>0</v>
      </c>
      <c r="L283" t="str" cm="1">
        <f t="array" ref="L283" xml:space="preserve"> sentimentCategory(K283)</f>
        <v>Neutral</v>
      </c>
    </row>
    <row r="284" spans="1:12">
      <c r="A284" t="s">
        <v>401</v>
      </c>
      <c r="B284" t="s">
        <v>4322</v>
      </c>
      <c r="C284" t="str" cm="1">
        <f t="array" ref="C284" xml:space="preserve"> CleanText(B284)</f>
        <v>i felt that excitement in the movie to my peak</v>
      </c>
      <c r="D284">
        <v>0</v>
      </c>
      <c r="E284">
        <v>0</v>
      </c>
      <c r="F284" t="s">
        <v>0</v>
      </c>
      <c r="G284" t="str" cm="1">
        <f t="array" ref="G284" xml:space="preserve"> FindCountryName(F284)</f>
        <v>None</v>
      </c>
      <c r="H284" s="1">
        <v>45327.417129629626</v>
      </c>
      <c r="I284" s="1">
        <v>45327.417129629626</v>
      </c>
      <c r="J284" s="1">
        <v>43887.335127314815</v>
      </c>
      <c r="K284" cm="1">
        <f t="array" ref="K284" xml:space="preserve"> sentimentCalc(C284)</f>
        <v>3</v>
      </c>
      <c r="L284" t="str" cm="1">
        <f t="array" ref="L284" xml:space="preserve"> sentimentCategory(K284)</f>
        <v>Positive</v>
      </c>
    </row>
    <row r="285" spans="1:12">
      <c r="A285" t="s">
        <v>190</v>
      </c>
      <c r="B285" t="s">
        <v>4321</v>
      </c>
      <c r="C285" t="str" cm="1">
        <f t="array" ref="C285" xml:space="preserve"> CleanText(B285)</f>
        <v>of be filmin gzelliine bak</v>
      </c>
      <c r="D285">
        <v>0</v>
      </c>
      <c r="E285">
        <v>0</v>
      </c>
      <c r="F285" t="s">
        <v>0</v>
      </c>
      <c r="G285" t="str" cm="1">
        <f t="array" ref="G285" xml:space="preserve"> FindCountryName(F285)</f>
        <v>None</v>
      </c>
      <c r="H285" s="1">
        <v>45327.410555555558</v>
      </c>
      <c r="I285" s="1">
        <v>45327.410555555558</v>
      </c>
      <c r="J285" s="1">
        <v>42277.504618055558</v>
      </c>
      <c r="K285" cm="1">
        <f t="array" ref="K285" xml:space="preserve"> sentimentCalc(C285)</f>
        <v>0</v>
      </c>
      <c r="L285" t="str" cm="1">
        <f t="array" ref="L285" xml:space="preserve"> sentimentCategory(K285)</f>
        <v>Neutral</v>
      </c>
    </row>
    <row r="286" spans="1:12">
      <c r="A286" t="s">
        <v>1710</v>
      </c>
      <c r="B286" t="s">
        <v>4320</v>
      </c>
      <c r="C286" t="str" cm="1">
        <f t="array" ref="C286" xml:space="preserve"> CleanText(B286)</f>
        <v>film ok gzel ben ok beendim harika</v>
      </c>
      <c r="D286">
        <v>0</v>
      </c>
      <c r="E286">
        <v>0</v>
      </c>
      <c r="F286" t="s">
        <v>0</v>
      </c>
      <c r="G286" t="str" cm="1">
        <f t="array" ref="G286" xml:space="preserve"> FindCountryName(F286)</f>
        <v>None</v>
      </c>
      <c r="H286" s="1">
        <v>45327.410358796296</v>
      </c>
      <c r="I286" s="1">
        <v>45327.410358796296</v>
      </c>
      <c r="J286" s="1">
        <v>45327.403333333335</v>
      </c>
      <c r="K286" cm="1">
        <f t="array" ref="K286" xml:space="preserve"> sentimentCalc(C286)</f>
        <v>0</v>
      </c>
      <c r="L286" t="str" cm="1">
        <f t="array" ref="L286" xml:space="preserve"> sentimentCategory(K286)</f>
        <v>Neutral</v>
      </c>
    </row>
    <row r="287" spans="1:12">
      <c r="A287" t="s">
        <v>4319</v>
      </c>
      <c r="B287" t="s">
        <v>4318</v>
      </c>
      <c r="C287" t="str" cm="1">
        <f t="array" ref="C287" xml:space="preserve"> CleanText(B287)</f>
        <v>filim iyi izlemenizi tavsiye ederim</v>
      </c>
      <c r="D287">
        <v>0</v>
      </c>
      <c r="E287">
        <v>0</v>
      </c>
      <c r="F287" t="s">
        <v>0</v>
      </c>
      <c r="G287" t="str" cm="1">
        <f t="array" ref="G287" xml:space="preserve"> FindCountryName(F287)</f>
        <v>None</v>
      </c>
      <c r="H287" s="1">
        <v>45327.403217592589</v>
      </c>
      <c r="I287" s="1">
        <v>45327.403217592589</v>
      </c>
      <c r="J287" s="1">
        <v>44589.990555555552</v>
      </c>
      <c r="K287" cm="1">
        <f t="array" ref="K287" xml:space="preserve"> sentimentCalc(C287)</f>
        <v>0</v>
      </c>
      <c r="L287" t="str" cm="1">
        <f t="array" ref="L287" xml:space="preserve"> sentimentCategory(K287)</f>
        <v>Neutral</v>
      </c>
    </row>
    <row r="288" spans="1:12">
      <c r="A288" t="s">
        <v>730</v>
      </c>
      <c r="B288" t="s">
        <v>4317</v>
      </c>
      <c r="C288" t="str" cm="1">
        <f t="array" ref="C288" xml:space="preserve"> CleanText(B288)</f>
        <v>the first avatar movie was definitely better this is no good</v>
      </c>
      <c r="D288">
        <v>1</v>
      </c>
      <c r="E288">
        <v>1</v>
      </c>
      <c r="F288" t="s">
        <v>0</v>
      </c>
      <c r="G288" t="str" cm="1">
        <f t="array" ref="G288" xml:space="preserve"> FindCountryName(F288)</f>
        <v>None</v>
      </c>
      <c r="H288" s="1">
        <v>45327.398935185185</v>
      </c>
      <c r="I288" s="1">
        <v>45327.398935185185</v>
      </c>
      <c r="J288" s="1">
        <v>44123.208981481483</v>
      </c>
      <c r="K288" cm="1">
        <f t="array" ref="K288" xml:space="preserve"> sentimentCalc(C288)</f>
        <v>4</v>
      </c>
      <c r="L288" t="str" cm="1">
        <f t="array" ref="L288" xml:space="preserve"> sentimentCategory(K288)</f>
        <v>Positive</v>
      </c>
    </row>
    <row r="289" spans="1:12">
      <c r="A289" t="s">
        <v>3995</v>
      </c>
      <c r="B289" t="s">
        <v>4316</v>
      </c>
      <c r="C289" t="str" cm="1">
        <f t="array" ref="C289" xml:space="preserve"> CleanText(B289)</f>
        <v>ok gzel bir ey olmu tebrikler</v>
      </c>
      <c r="D289">
        <v>0</v>
      </c>
      <c r="E289">
        <v>0</v>
      </c>
      <c r="F289" t="s">
        <v>0</v>
      </c>
      <c r="G289" t="str" cm="1">
        <f t="array" ref="G289" xml:space="preserve"> FindCountryName(F289)</f>
        <v>None</v>
      </c>
      <c r="H289" s="1">
        <v>45327.354120370372</v>
      </c>
      <c r="I289" s="1">
        <v>45327.354120370372</v>
      </c>
      <c r="J289" s="1">
        <v>41651.985451388886</v>
      </c>
      <c r="K289" cm="1">
        <f t="array" ref="K289" xml:space="preserve"> sentimentCalc(C289)</f>
        <v>0</v>
      </c>
      <c r="L289" t="str" cm="1">
        <f t="array" ref="L289" xml:space="preserve"> sentimentCategory(K289)</f>
        <v>Neutral</v>
      </c>
    </row>
    <row r="290" spans="1:12">
      <c r="A290" t="s">
        <v>2634</v>
      </c>
      <c r="B290" t="s">
        <v>4315</v>
      </c>
      <c r="C290" t="str" cm="1">
        <f t="array" ref="C290" xml:space="preserve"> CleanText(B290)</f>
        <v>tam anlamiyla mkemmmeell</v>
      </c>
      <c r="D290">
        <v>0</v>
      </c>
      <c r="E290">
        <v>0</v>
      </c>
      <c r="F290" t="s">
        <v>0</v>
      </c>
      <c r="G290" t="str" cm="1">
        <f t="array" ref="G290" xml:space="preserve"> FindCountryName(F290)</f>
        <v>None</v>
      </c>
      <c r="H290" s="1">
        <v>45327.348460648151</v>
      </c>
      <c r="I290" s="1">
        <v>45327.348460648151</v>
      </c>
      <c r="J290" s="1">
        <v>42735.340416666666</v>
      </c>
      <c r="K290" cm="1">
        <f t="array" ref="K290" xml:space="preserve"> sentimentCalc(C290)</f>
        <v>0</v>
      </c>
      <c r="L290" t="str" cm="1">
        <f t="array" ref="L290" xml:space="preserve"> sentimentCategory(K290)</f>
        <v>Neutral</v>
      </c>
    </row>
    <row r="291" spans="1:12">
      <c r="A291" t="s">
        <v>23</v>
      </c>
      <c r="B291" t="s">
        <v>4314</v>
      </c>
      <c r="C291" t="str" cm="1">
        <f t="array" ref="C291" xml:space="preserve"> CleanText(B291)</f>
        <v>ne zamandan beri ble gzel bir film bekliyordum</v>
      </c>
      <c r="D291">
        <v>0</v>
      </c>
      <c r="E291">
        <v>0</v>
      </c>
      <c r="F291" t="s">
        <v>0</v>
      </c>
      <c r="G291" t="str" cm="1">
        <f t="array" ref="G291" xml:space="preserve"> FindCountryName(F291)</f>
        <v>None</v>
      </c>
      <c r="H291" s="1">
        <v>45327.347650462965</v>
      </c>
      <c r="I291" s="1">
        <v>45327.347650462965</v>
      </c>
      <c r="J291" s="1">
        <v>45136.545277777775</v>
      </c>
      <c r="K291" cm="1">
        <f t="array" ref="K291" xml:space="preserve"> sentimentCalc(C291)</f>
        <v>0</v>
      </c>
      <c r="L291" t="str" cm="1">
        <f t="array" ref="L291" xml:space="preserve"> sentimentCategory(K291)</f>
        <v>Neutral</v>
      </c>
    </row>
    <row r="292" spans="1:12">
      <c r="A292" t="s">
        <v>814</v>
      </c>
      <c r="B292" t="s">
        <v>4313</v>
      </c>
      <c r="C292" t="str" cm="1">
        <f t="array" ref="C292" xml:space="preserve"> CleanText(B292)</f>
        <v>harika olmu</v>
      </c>
      <c r="D292">
        <v>0</v>
      </c>
      <c r="E292">
        <v>0</v>
      </c>
      <c r="F292" t="s">
        <v>0</v>
      </c>
      <c r="G292" t="str" cm="1">
        <f t="array" ref="G292" xml:space="preserve"> FindCountryName(F292)</f>
        <v>None</v>
      </c>
      <c r="H292" s="1">
        <v>45327.332858796297</v>
      </c>
      <c r="I292" s="1">
        <v>45327.332858796297</v>
      </c>
      <c r="J292" s="1">
        <v>42921.704305555555</v>
      </c>
      <c r="K292" cm="1">
        <f t="array" ref="K292" xml:space="preserve"> sentimentCalc(C292)</f>
        <v>0</v>
      </c>
      <c r="L292" t="str" cm="1">
        <f t="array" ref="L292" xml:space="preserve"> sentimentCategory(K292)</f>
        <v>Neutral</v>
      </c>
    </row>
    <row r="293" spans="1:12">
      <c r="A293" t="s">
        <v>415</v>
      </c>
      <c r="B293" t="s">
        <v>4312</v>
      </c>
      <c r="C293" t="str" cm="1">
        <f t="array" ref="C293" xml:space="preserve"> CleanText(B293)</f>
        <v>hereyin ba ve sonu</v>
      </c>
      <c r="D293">
        <v>0</v>
      </c>
      <c r="E293">
        <v>0</v>
      </c>
      <c r="F293" t="s">
        <v>0</v>
      </c>
      <c r="G293" t="str" cm="1">
        <f t="array" ref="G293" xml:space="preserve"> FindCountryName(F293)</f>
        <v>None</v>
      </c>
      <c r="H293" s="1">
        <v>45327.323009259257</v>
      </c>
      <c r="I293" s="1">
        <v>45327.323009259257</v>
      </c>
      <c r="J293" s="1">
        <v>44253.374606481484</v>
      </c>
      <c r="K293" cm="1">
        <f t="array" ref="K293" xml:space="preserve"> sentimentCalc(C293)</f>
        <v>0</v>
      </c>
      <c r="L293" t="str" cm="1">
        <f t="array" ref="L293" xml:space="preserve"> sentimentCategory(K293)</f>
        <v>Neutral</v>
      </c>
    </row>
    <row r="294" spans="1:12">
      <c r="A294" t="s">
        <v>1520</v>
      </c>
      <c r="B294" t="s">
        <v>4311</v>
      </c>
      <c r="C294" t="str" cm="1">
        <f t="array" ref="C294" xml:space="preserve"> CleanText(B294)</f>
        <v>beenerek izledim teekkrler _xDE0A_</v>
      </c>
      <c r="D294">
        <v>0</v>
      </c>
      <c r="E294">
        <v>0</v>
      </c>
      <c r="F294" t="s">
        <v>0</v>
      </c>
      <c r="G294" t="str" cm="1">
        <f t="array" ref="G294" xml:space="preserve"> FindCountryName(F294)</f>
        <v>None</v>
      </c>
      <c r="H294" s="1">
        <v>45327.312384259261</v>
      </c>
      <c r="I294" s="1">
        <v>45327.312384259261</v>
      </c>
      <c r="J294" s="1">
        <v>44797.221712962964</v>
      </c>
      <c r="K294" cm="1">
        <f t="array" ref="K294" xml:space="preserve"> sentimentCalc(C294)</f>
        <v>0</v>
      </c>
      <c r="L294" t="str" cm="1">
        <f t="array" ref="L294" xml:space="preserve"> sentimentCategory(K294)</f>
        <v>Neutral</v>
      </c>
    </row>
    <row r="295" spans="1:12">
      <c r="A295" t="s">
        <v>640</v>
      </c>
      <c r="B295" t="s">
        <v>4281</v>
      </c>
      <c r="C295" t="str" cm="1">
        <f t="array" ref="C295" xml:space="preserve"> CleanText(B295)</f>
        <v>muhteem</v>
      </c>
      <c r="D295">
        <v>0</v>
      </c>
      <c r="E295">
        <v>0</v>
      </c>
      <c r="F295" t="s">
        <v>0</v>
      </c>
      <c r="G295" t="str" cm="1">
        <f t="array" ref="G295" xml:space="preserve"> FindCountryName(F295)</f>
        <v>None</v>
      </c>
      <c r="H295" s="1">
        <v>45327.305335648147</v>
      </c>
      <c r="I295" s="1">
        <v>45327.305335648147</v>
      </c>
      <c r="J295" s="1">
        <v>42319.438726851855</v>
      </c>
      <c r="K295" cm="1">
        <f t="array" ref="K295" xml:space="preserve"> sentimentCalc(C295)</f>
        <v>0</v>
      </c>
      <c r="L295" t="str" cm="1">
        <f t="array" ref="L295" xml:space="preserve"> sentimentCategory(K295)</f>
        <v>Neutral</v>
      </c>
    </row>
    <row r="296" spans="1:12">
      <c r="A296" t="s">
        <v>4309</v>
      </c>
      <c r="B296" t="s">
        <v>4310</v>
      </c>
      <c r="C296" t="str" cm="1">
        <f t="array" ref="C296" xml:space="preserve"> CleanText(B296)</f>
        <v>serinin devamini bekliyorum cok guzel harika</v>
      </c>
      <c r="D296">
        <v>0</v>
      </c>
      <c r="E296">
        <v>0</v>
      </c>
      <c r="F296" t="s">
        <v>0</v>
      </c>
      <c r="G296" t="str" cm="1">
        <f t="array" ref="G296" xml:space="preserve"> FindCountryName(F296)</f>
        <v>None</v>
      </c>
      <c r="H296" s="1">
        <v>45327.30091435185</v>
      </c>
      <c r="I296" s="1">
        <v>45327.30091435185</v>
      </c>
      <c r="J296" s="1">
        <v>45253.655706018515</v>
      </c>
      <c r="K296" cm="1">
        <f t="array" ref="K296" xml:space="preserve"> sentimentCalc(C296)</f>
        <v>0</v>
      </c>
      <c r="L296" t="str" cm="1">
        <f t="array" ref="L296" xml:space="preserve"> sentimentCategory(K296)</f>
        <v>Neutral</v>
      </c>
    </row>
    <row r="297" spans="1:12">
      <c r="A297" t="s">
        <v>4309</v>
      </c>
      <c r="B297" t="s">
        <v>4308</v>
      </c>
      <c r="C297" t="str" cm="1">
        <f t="array" ref="C297" xml:space="preserve"> CleanText(B297)</f>
        <v>sper film ok heyecanl bol aksiyon</v>
      </c>
      <c r="D297">
        <v>0</v>
      </c>
      <c r="E297">
        <v>0</v>
      </c>
      <c r="F297" t="s">
        <v>0</v>
      </c>
      <c r="G297" t="str" cm="1">
        <f t="array" ref="G297" xml:space="preserve"> FindCountryName(F297)</f>
        <v>None</v>
      </c>
      <c r="H297" s="1">
        <v>45327.297569444447</v>
      </c>
      <c r="I297" s="1">
        <v>45327.297569444447</v>
      </c>
      <c r="J297" s="1">
        <v>45253.655706018515</v>
      </c>
      <c r="K297" cm="1">
        <f t="array" ref="K297" xml:space="preserve"> sentimentCalc(C297)</f>
        <v>0</v>
      </c>
      <c r="L297" t="str" cm="1">
        <f t="array" ref="L297" xml:space="preserve"> sentimentCategory(K297)</f>
        <v>Neutral</v>
      </c>
    </row>
    <row r="298" spans="1:12">
      <c r="A298" t="s">
        <v>494</v>
      </c>
      <c r="B298" t="s">
        <v>4307</v>
      </c>
      <c r="C298" t="str" cm="1">
        <f t="array" ref="C298" xml:space="preserve"> CleanText(B298)</f>
        <v>bu seri en sevdiim seri harikalar tesi izlenir heycanla</v>
      </c>
      <c r="D298">
        <v>0</v>
      </c>
      <c r="E298">
        <v>0</v>
      </c>
      <c r="F298" t="s">
        <v>0</v>
      </c>
      <c r="G298" t="str" cm="1">
        <f t="array" ref="G298" xml:space="preserve"> FindCountryName(F298)</f>
        <v>None</v>
      </c>
      <c r="H298" s="1">
        <v>45327.283159722225</v>
      </c>
      <c r="I298" s="1">
        <v>45327.283159722225</v>
      </c>
      <c r="J298" s="1">
        <v>42610.508657407408</v>
      </c>
      <c r="K298" cm="1">
        <f t="array" ref="K298" xml:space="preserve"> sentimentCalc(C298)</f>
        <v>0</v>
      </c>
      <c r="L298" t="str" cm="1">
        <f t="array" ref="L298" xml:space="preserve"> sentimentCategory(K298)</f>
        <v>Neutral</v>
      </c>
    </row>
    <row r="299" spans="1:12">
      <c r="A299" t="s">
        <v>1087</v>
      </c>
      <c r="B299" t="s">
        <v>4306</v>
      </c>
      <c r="C299" t="str" cm="1">
        <f t="array" ref="C299" xml:space="preserve"> CleanText(B299)</f>
        <v>harika bir film</v>
      </c>
      <c r="D299">
        <v>0</v>
      </c>
      <c r="E299">
        <v>0</v>
      </c>
      <c r="F299" t="s">
        <v>19</v>
      </c>
      <c r="G299" t="str" cm="1">
        <f t="array" ref="G299" xml:space="preserve"> FindCountryName(F299)</f>
        <v>United States of America (the)</v>
      </c>
      <c r="H299" s="1">
        <v>45327.281921296293</v>
      </c>
      <c r="I299" s="1">
        <v>45327.281921296293</v>
      </c>
      <c r="J299" s="1">
        <v>42812.474224537036</v>
      </c>
      <c r="K299" cm="1">
        <f t="array" ref="K299" xml:space="preserve"> sentimentCalc(C299)</f>
        <v>0</v>
      </c>
      <c r="L299" t="str" cm="1">
        <f t="array" ref="L299" xml:space="preserve"> sentimentCategory(K299)</f>
        <v>Neutral</v>
      </c>
    </row>
    <row r="300" spans="1:12">
      <c r="A300" t="s">
        <v>23</v>
      </c>
      <c r="B300" t="s">
        <v>4305</v>
      </c>
      <c r="C300" t="str" cm="1">
        <f t="array" ref="C300" xml:space="preserve"> CleanText(B300)</f>
        <v>uzun zamandr bekliyoduk sonundaa</v>
      </c>
      <c r="D300">
        <v>0</v>
      </c>
      <c r="E300">
        <v>0</v>
      </c>
      <c r="F300" t="s">
        <v>0</v>
      </c>
      <c r="G300" t="str" cm="1">
        <f t="array" ref="G300" xml:space="preserve"> FindCountryName(F300)</f>
        <v>None</v>
      </c>
      <c r="H300" s="1">
        <v>45327.281099537038</v>
      </c>
      <c r="I300" s="1">
        <v>45327.281099537038</v>
      </c>
      <c r="J300" s="1">
        <v>45327.279097222221</v>
      </c>
      <c r="K300" cm="1">
        <f t="array" ref="K300" xml:space="preserve"> sentimentCalc(C300)</f>
        <v>0</v>
      </c>
      <c r="L300" t="str" cm="1">
        <f t="array" ref="L300" xml:space="preserve"> sentimentCategory(K300)</f>
        <v>Neutral</v>
      </c>
    </row>
    <row r="301" spans="1:12">
      <c r="A301" t="s">
        <v>1565</v>
      </c>
      <c r="B301" t="s">
        <v>4304</v>
      </c>
      <c r="C301" t="str" cm="1">
        <f t="array" ref="C301" xml:space="preserve"> CleanText(B301)</f>
        <v>ok iyi aksiyon filmi aksiyon sevenler bunu kesinlikle izlesin</v>
      </c>
      <c r="D301">
        <v>0</v>
      </c>
      <c r="E301">
        <v>0</v>
      </c>
      <c r="F301" t="s">
        <v>0</v>
      </c>
      <c r="G301" t="str" cm="1">
        <f t="array" ref="G301" xml:space="preserve"> FindCountryName(F301)</f>
        <v>None</v>
      </c>
      <c r="H301" s="1">
        <v>45327.279907407406</v>
      </c>
      <c r="I301" s="1">
        <v>45327.279907407406</v>
      </c>
      <c r="J301" s="1">
        <v>43961.18990740741</v>
      </c>
      <c r="K301" cm="1">
        <f t="array" ref="K301" xml:space="preserve"> sentimentCalc(C301)</f>
        <v>0</v>
      </c>
      <c r="L301" t="str" cm="1">
        <f t="array" ref="L301" xml:space="preserve"> sentimentCategory(K301)</f>
        <v>Neutral</v>
      </c>
    </row>
    <row r="302" spans="1:12">
      <c r="A302" t="s">
        <v>30</v>
      </c>
      <c r="B302" t="s">
        <v>4303</v>
      </c>
      <c r="C302" t="str" cm="1">
        <f t="array" ref="C302" xml:space="preserve"> CleanText(B302)</f>
        <v>bu filimi btn ocuklar begeneceyini eminim mutlaka her ocuk izlemeli</v>
      </c>
      <c r="D302">
        <v>0</v>
      </c>
      <c r="E302">
        <v>0</v>
      </c>
      <c r="F302" t="s">
        <v>0</v>
      </c>
      <c r="G302" t="str" cm="1">
        <f t="array" ref="G302" xml:space="preserve"> FindCountryName(F302)</f>
        <v>None</v>
      </c>
      <c r="H302" s="1">
        <v>45327.279583333337</v>
      </c>
      <c r="I302" s="1">
        <v>45327.279583333337</v>
      </c>
      <c r="J302" s="1">
        <v>43387.608217592591</v>
      </c>
      <c r="K302" cm="1">
        <f t="array" ref="K302" xml:space="preserve"> sentimentCalc(C302)</f>
        <v>0</v>
      </c>
      <c r="L302" t="str" cm="1">
        <f t="array" ref="L302" xml:space="preserve"> sentimentCategory(K302)</f>
        <v>Neutral</v>
      </c>
    </row>
    <row r="303" spans="1:12">
      <c r="A303" t="s">
        <v>4302</v>
      </c>
      <c r="B303" t="s">
        <v>4301</v>
      </c>
      <c r="C303" t="str" cm="1">
        <f t="array" ref="C303" xml:space="preserve"> CleanText(B303)</f>
        <v>manzaras ok gzel ve komik olacan umuyorum _xDF89_</v>
      </c>
      <c r="D303">
        <v>0</v>
      </c>
      <c r="E303">
        <v>0</v>
      </c>
      <c r="F303" t="s">
        <v>0</v>
      </c>
      <c r="G303" t="str" cm="1">
        <f t="array" ref="G303" xml:space="preserve"> FindCountryName(F303)</f>
        <v>None</v>
      </c>
      <c r="H303" s="1">
        <v>45327.278773148151</v>
      </c>
      <c r="I303" s="1">
        <v>45327.278773148151</v>
      </c>
      <c r="J303" s="1">
        <v>44222.266875000001</v>
      </c>
      <c r="K303" cm="1">
        <f t="array" ref="K303" xml:space="preserve"> sentimentCalc(C303)</f>
        <v>0</v>
      </c>
      <c r="L303" t="str" cm="1">
        <f t="array" ref="L303" xml:space="preserve"> sentimentCategory(K303)</f>
        <v>Neutral</v>
      </c>
    </row>
    <row r="304" spans="1:12">
      <c r="A304" t="s">
        <v>1847</v>
      </c>
      <c r="B304" t="s">
        <v>4300</v>
      </c>
      <c r="C304" t="str" cm="1">
        <f t="array" ref="C304" xml:space="preserve"> CleanText(B304)</f>
        <v>ok gzel ok houma gitti</v>
      </c>
      <c r="D304">
        <v>0</v>
      </c>
      <c r="E304">
        <v>0</v>
      </c>
      <c r="F304" t="s">
        <v>1523</v>
      </c>
      <c r="G304" t="str" cm="1">
        <f t="array" ref="G304" xml:space="preserve"> FindCountryName(F304)</f>
        <v>Turkey</v>
      </c>
      <c r="H304" s="1">
        <v>45327.278229166666</v>
      </c>
      <c r="I304" s="1">
        <v>45327.278229166666</v>
      </c>
      <c r="J304" s="1">
        <v>44686.495694444442</v>
      </c>
      <c r="K304" cm="1">
        <f t="array" ref="K304" xml:space="preserve"> sentimentCalc(C304)</f>
        <v>0</v>
      </c>
      <c r="L304" t="str" cm="1">
        <f t="array" ref="L304" xml:space="preserve"> sentimentCategory(K304)</f>
        <v>Neutral</v>
      </c>
    </row>
    <row r="305" spans="1:12">
      <c r="A305" t="s">
        <v>763</v>
      </c>
      <c r="B305" t="s">
        <v>4299</v>
      </c>
      <c r="C305" t="str" cm="1">
        <f t="array" ref="C305" xml:space="preserve"> CleanText(B305)</f>
        <v>harika filim</v>
      </c>
      <c r="D305">
        <v>0</v>
      </c>
      <c r="E305">
        <v>0</v>
      </c>
      <c r="F305" t="s">
        <v>0</v>
      </c>
      <c r="G305" t="str" cm="1">
        <f t="array" ref="G305" xml:space="preserve"> FindCountryName(F305)</f>
        <v>None</v>
      </c>
      <c r="H305" s="1">
        <v>45327.276412037034</v>
      </c>
      <c r="I305" s="1">
        <v>45327.276412037034</v>
      </c>
      <c r="J305" s="1">
        <v>45327.276388888888</v>
      </c>
      <c r="K305" cm="1">
        <f t="array" ref="K305" xml:space="preserve"> sentimentCalc(C305)</f>
        <v>0</v>
      </c>
      <c r="L305" t="str" cm="1">
        <f t="array" ref="L305" xml:space="preserve"> sentimentCategory(K305)</f>
        <v>Neutral</v>
      </c>
    </row>
    <row r="306" spans="1:12">
      <c r="A306" t="s">
        <v>269</v>
      </c>
      <c r="B306" t="s">
        <v>4298</v>
      </c>
      <c r="C306" t="str" cm="1">
        <f t="array" ref="C306" xml:space="preserve"> CleanText(B306)</f>
        <v>umarm ilk filmi kadar srkleyici olur</v>
      </c>
      <c r="D306">
        <v>0</v>
      </c>
      <c r="E306">
        <v>0</v>
      </c>
      <c r="F306" t="s">
        <v>0</v>
      </c>
      <c r="G306" t="str" cm="1">
        <f t="array" ref="G306" xml:space="preserve"> FindCountryName(F306)</f>
        <v>None</v>
      </c>
      <c r="H306" s="1">
        <v>45327.275127314817</v>
      </c>
      <c r="I306" s="1">
        <v>45327.275127314817</v>
      </c>
      <c r="J306" s="1">
        <v>39704.917870370373</v>
      </c>
      <c r="K306" cm="1">
        <f t="array" ref="K306" xml:space="preserve"> sentimentCalc(C306)</f>
        <v>0</v>
      </c>
      <c r="L306" t="str" cm="1">
        <f t="array" ref="L306" xml:space="preserve"> sentimentCategory(K306)</f>
        <v>Neutral</v>
      </c>
    </row>
    <row r="307" spans="1:12">
      <c r="A307" t="s">
        <v>437</v>
      </c>
      <c r="B307" t="s">
        <v>4297</v>
      </c>
      <c r="C307" t="str" cm="1">
        <f t="array" ref="C307" xml:space="preserve"> CleanText(B307)</f>
        <v>mkemmel bir film izlemek iin sabrszlanyorum</v>
      </c>
      <c r="D307">
        <v>0</v>
      </c>
      <c r="E307">
        <v>0</v>
      </c>
      <c r="F307" t="s">
        <v>0</v>
      </c>
      <c r="G307" t="str" cm="1">
        <f t="array" ref="G307" xml:space="preserve"> FindCountryName(F307)</f>
        <v>None</v>
      </c>
      <c r="H307" s="1">
        <v>45327.275081018517</v>
      </c>
      <c r="I307" s="1">
        <v>45327.275081018517</v>
      </c>
      <c r="J307" s="1">
        <v>44650.359074074076</v>
      </c>
      <c r="K307" cm="1">
        <f t="array" ref="K307" xml:space="preserve"> sentimentCalc(C307)</f>
        <v>0</v>
      </c>
      <c r="L307" t="str" cm="1">
        <f t="array" ref="L307" xml:space="preserve"> sentimentCategory(K307)</f>
        <v>Neutral</v>
      </c>
    </row>
    <row r="308" spans="1:12">
      <c r="A308" t="s">
        <v>4296</v>
      </c>
      <c r="B308" t="s">
        <v>4295</v>
      </c>
      <c r="C308" t="str" cm="1">
        <f t="array" ref="C308" xml:space="preserve"> CleanText(B308)</f>
        <v>severek izlediim bir yapt herkesin eline salk</v>
      </c>
      <c r="D308">
        <v>0</v>
      </c>
      <c r="E308">
        <v>0</v>
      </c>
      <c r="F308" t="s">
        <v>0</v>
      </c>
      <c r="G308" t="str" cm="1">
        <f t="array" ref="G308" xml:space="preserve"> FindCountryName(F308)</f>
        <v>None</v>
      </c>
      <c r="H308" s="1">
        <v>45327.273842592593</v>
      </c>
      <c r="I308" s="1">
        <v>45327.273842592593</v>
      </c>
      <c r="J308" s="1">
        <v>45327.263298611113</v>
      </c>
      <c r="K308" cm="1">
        <f t="array" ref="K308" xml:space="preserve"> sentimentCalc(C308)</f>
        <v>0</v>
      </c>
      <c r="L308" t="str" cm="1">
        <f t="array" ref="L308" xml:space="preserve"> sentimentCategory(K308)</f>
        <v>Neutral</v>
      </c>
    </row>
    <row r="309" spans="1:12">
      <c r="A309" t="s">
        <v>249</v>
      </c>
      <c r="B309" t="s">
        <v>4294</v>
      </c>
      <c r="C309" t="str" cm="1">
        <f t="array" ref="C309" xml:space="preserve"> CleanText(B309)</f>
        <v>on numara film</v>
      </c>
      <c r="D309">
        <v>0</v>
      </c>
      <c r="E309">
        <v>0</v>
      </c>
      <c r="F309" t="s">
        <v>0</v>
      </c>
      <c r="G309" t="str" cm="1">
        <f t="array" ref="G309" xml:space="preserve"> FindCountryName(F309)</f>
        <v>None</v>
      </c>
      <c r="H309" s="1">
        <v>45327.273715277777</v>
      </c>
      <c r="I309" s="1">
        <v>45327.273715277777</v>
      </c>
      <c r="J309" s="1">
        <v>43799.649976851855</v>
      </c>
      <c r="K309" cm="1">
        <f t="array" ref="K309" xml:space="preserve"> sentimentCalc(C309)</f>
        <v>0</v>
      </c>
      <c r="L309" t="str" cm="1">
        <f t="array" ref="L309" xml:space="preserve"> sentimentCategory(K309)</f>
        <v>Neutral</v>
      </c>
    </row>
    <row r="310" spans="1:12">
      <c r="A310" t="s">
        <v>36</v>
      </c>
      <c r="B310" t="s">
        <v>4293</v>
      </c>
      <c r="C310" t="str" cm="1">
        <f t="array" ref="C310" xml:space="preserve"> CleanText(B310)</f>
        <v>i like it</v>
      </c>
      <c r="D310">
        <v>1</v>
      </c>
      <c r="E310">
        <v>0</v>
      </c>
      <c r="F310" t="s">
        <v>0</v>
      </c>
      <c r="G310" t="str" cm="1">
        <f t="array" ref="G310" xml:space="preserve"> FindCountryName(F310)</f>
        <v>None</v>
      </c>
      <c r="H310" s="1">
        <v>45327.273414351854</v>
      </c>
      <c r="I310" s="1">
        <v>45327.273414351854</v>
      </c>
      <c r="J310" s="1">
        <v>45163.474282407406</v>
      </c>
      <c r="K310" cm="1">
        <f t="array" ref="K310" xml:space="preserve"> sentimentCalc(C310)</f>
        <v>2</v>
      </c>
      <c r="L310" t="str" cm="1">
        <f t="array" ref="L310" xml:space="preserve"> sentimentCategory(K310)</f>
        <v>Positive</v>
      </c>
    </row>
    <row r="311" spans="1:12">
      <c r="A311" t="s">
        <v>4292</v>
      </c>
      <c r="B311" t="s">
        <v>4291</v>
      </c>
      <c r="C311" t="str" cm="1">
        <f t="array" ref="C311" xml:space="preserve"> CleanText(B311)</f>
        <v>ok heyecanl bir filmdi ok beendim</v>
      </c>
      <c r="D311">
        <v>0</v>
      </c>
      <c r="E311">
        <v>0</v>
      </c>
      <c r="F311" t="s">
        <v>0</v>
      </c>
      <c r="G311" t="str" cm="1">
        <f t="array" ref="G311" xml:space="preserve"> FindCountryName(F311)</f>
        <v>None</v>
      </c>
      <c r="H311" s="1">
        <v>45327.273182870369</v>
      </c>
      <c r="I311" s="1">
        <v>45327.273182870369</v>
      </c>
      <c r="J311" s="1">
        <v>45126.698449074072</v>
      </c>
      <c r="K311" cm="1">
        <f t="array" ref="K311" xml:space="preserve"> sentimentCalc(C311)</f>
        <v>0</v>
      </c>
      <c r="L311" t="str" cm="1">
        <f t="array" ref="L311" xml:space="preserve"> sentimentCategory(K311)</f>
        <v>Neutral</v>
      </c>
    </row>
    <row r="312" spans="1:12">
      <c r="A312" t="s">
        <v>1473</v>
      </c>
      <c r="B312" t="s">
        <v>4290</v>
      </c>
      <c r="C312" t="str" cm="1">
        <f t="array" ref="C312" xml:space="preserve"> CleanText(B312)</f>
        <v>bu kadar iyi olacan sanmyordum ok beendim _xDD70_</v>
      </c>
      <c r="D312">
        <v>0</v>
      </c>
      <c r="E312">
        <v>0</v>
      </c>
      <c r="F312" t="s">
        <v>0</v>
      </c>
      <c r="G312" t="str" cm="1">
        <f t="array" ref="G312" xml:space="preserve"> FindCountryName(F312)</f>
        <v>None</v>
      </c>
      <c r="H312" s="1">
        <v>45327.273125</v>
      </c>
      <c r="I312" s="1">
        <v>45327.273125</v>
      </c>
      <c r="J312" s="1">
        <v>40977.394629629627</v>
      </c>
      <c r="K312" cm="1">
        <f t="array" ref="K312" xml:space="preserve"> sentimentCalc(C312)</f>
        <v>0</v>
      </c>
      <c r="L312" t="str" cm="1">
        <f t="array" ref="L312" xml:space="preserve"> sentimentCategory(K312)</f>
        <v>Neutral</v>
      </c>
    </row>
    <row r="313" spans="1:12">
      <c r="A313" t="s">
        <v>82</v>
      </c>
      <c r="B313" t="s">
        <v>3541</v>
      </c>
      <c r="C313" t="str" cm="1">
        <f t="array" ref="C313" xml:space="preserve"> CleanText(B313)</f>
        <v>the firey eyes of azula looks very beautiful</v>
      </c>
      <c r="D313">
        <v>0</v>
      </c>
      <c r="E313">
        <v>0</v>
      </c>
      <c r="F313" t="s">
        <v>0</v>
      </c>
      <c r="G313" t="str" cm="1">
        <f t="array" ref="G313" xml:space="preserve"> FindCountryName(F313)</f>
        <v>None</v>
      </c>
      <c r="H313" s="1">
        <v>45327.272962962961</v>
      </c>
      <c r="I313" s="1">
        <v>45327.272962962961</v>
      </c>
      <c r="J313" s="1">
        <v>42407.523912037039</v>
      </c>
      <c r="K313" cm="1">
        <f t="array" ref="K313" xml:space="preserve"> sentimentCalc(C313)</f>
        <v>3</v>
      </c>
      <c r="L313" t="str" cm="1">
        <f t="array" ref="L313" xml:space="preserve"> sentimentCategory(K313)</f>
        <v>Positive</v>
      </c>
    </row>
    <row r="314" spans="1:12">
      <c r="A314" t="s">
        <v>1769</v>
      </c>
      <c r="B314" t="s">
        <v>4289</v>
      </c>
      <c r="C314" t="str" cm="1">
        <f t="array" ref="C314" xml:space="preserve"> CleanText(B314)</f>
        <v>netflixin yaynlad nadir kaliteli ieriklerden biri dnmeden izlemeye balayabilirsiniz ok gzel</v>
      </c>
      <c r="D314">
        <v>0</v>
      </c>
      <c r="E314">
        <v>0</v>
      </c>
      <c r="F314" t="s">
        <v>0</v>
      </c>
      <c r="G314" t="str" cm="1">
        <f t="array" ref="G314" xml:space="preserve"> FindCountryName(F314)</f>
        <v>None</v>
      </c>
      <c r="H314" s="1">
        <v>45327.272766203707</v>
      </c>
      <c r="I314" s="1">
        <v>45327.272766203707</v>
      </c>
      <c r="J314" s="1">
        <v>42563.305347222224</v>
      </c>
      <c r="K314" cm="1">
        <f t="array" ref="K314" xml:space="preserve"> sentimentCalc(C314)</f>
        <v>0</v>
      </c>
      <c r="L314" t="str" cm="1">
        <f t="array" ref="L314" xml:space="preserve"> sentimentCategory(K314)</f>
        <v>Neutral</v>
      </c>
    </row>
    <row r="315" spans="1:12">
      <c r="A315" t="s">
        <v>1126</v>
      </c>
      <c r="B315" t="s">
        <v>3365</v>
      </c>
      <c r="C315" t="str" cm="1">
        <f t="array" ref="C315" xml:space="preserve"> CleanText(B315)</f>
        <v>n</v>
      </c>
      <c r="D315">
        <v>0</v>
      </c>
      <c r="E315">
        <v>0</v>
      </c>
      <c r="F315" t="s">
        <v>0</v>
      </c>
      <c r="G315" t="str" cm="1">
        <f t="array" ref="G315" xml:space="preserve"> FindCountryName(F315)</f>
        <v>None</v>
      </c>
      <c r="H315" s="1">
        <v>45327.272592592592</v>
      </c>
      <c r="I315" s="1">
        <v>45327.272592592592</v>
      </c>
      <c r="J315" s="1">
        <v>44322.7266087963</v>
      </c>
      <c r="K315" cm="1">
        <f t="array" ref="K315" xml:space="preserve"> sentimentCalc(C315)</f>
        <v>0</v>
      </c>
      <c r="L315" t="str" cm="1">
        <f t="array" ref="L315" xml:space="preserve"> sentimentCategory(K315)</f>
        <v>Neutral</v>
      </c>
    </row>
    <row r="316" spans="1:12">
      <c r="A316" t="s">
        <v>547</v>
      </c>
      <c r="B316" t="s">
        <v>4288</v>
      </c>
      <c r="C316" t="str" cm="1">
        <f t="array" ref="C316" xml:space="preserve"> CleanText(B316)</f>
        <v>mutlaka izlemelisinoz</v>
      </c>
      <c r="D316">
        <v>0</v>
      </c>
      <c r="E316">
        <v>0</v>
      </c>
      <c r="F316" t="s">
        <v>0</v>
      </c>
      <c r="G316" t="str" cm="1">
        <f t="array" ref="G316" xml:space="preserve"> FindCountryName(F316)</f>
        <v>None</v>
      </c>
      <c r="H316" s="1">
        <v>45327.272523148145</v>
      </c>
      <c r="I316" s="1">
        <v>45327.272523148145</v>
      </c>
      <c r="J316" s="1">
        <v>45325.25104166667</v>
      </c>
      <c r="K316" cm="1">
        <f t="array" ref="K316" xml:space="preserve"> sentimentCalc(C316)</f>
        <v>0</v>
      </c>
      <c r="L316" t="str" cm="1">
        <f t="array" ref="L316" xml:space="preserve"> sentimentCategory(K316)</f>
        <v>Neutral</v>
      </c>
    </row>
    <row r="317" spans="1:12">
      <c r="A317" t="s">
        <v>3942</v>
      </c>
      <c r="B317" t="s">
        <v>4287</v>
      </c>
      <c r="C317" t="str" cm="1">
        <f t="array" ref="C317" xml:space="preserve"> CleanText(B317)</f>
        <v>an absolutely amazing science fiction movie i would recommend it to everyone for people of all ages to watchkesinlikle muhteem bir bilim kurgu filmi herkese tavsiye ederim her yatan insann izlemesi iin</v>
      </c>
      <c r="D317">
        <v>0</v>
      </c>
      <c r="E317">
        <v>0</v>
      </c>
      <c r="F317" t="s">
        <v>1523</v>
      </c>
      <c r="G317" t="str" cm="1">
        <f t="array" ref="G317" xml:space="preserve"> FindCountryName(F317)</f>
        <v>Turkey</v>
      </c>
      <c r="H317" s="1">
        <v>45327.272476851853</v>
      </c>
      <c r="I317" s="1">
        <v>45327.272476851853</v>
      </c>
      <c r="J317" s="1">
        <v>42684.220173611109</v>
      </c>
      <c r="K317" cm="1">
        <f t="array" ref="K317" xml:space="preserve"> sentimentCalc(C317)</f>
        <v>6</v>
      </c>
      <c r="L317" t="str" cm="1">
        <f t="array" ref="L317" xml:space="preserve"> sentimentCategory(K317)</f>
        <v>Positive</v>
      </c>
    </row>
    <row r="318" spans="1:12">
      <c r="A318" t="s">
        <v>2187</v>
      </c>
      <c r="B318" t="s">
        <v>4286</v>
      </c>
      <c r="C318" t="str" cm="1">
        <f t="array" ref="C318" xml:space="preserve"> CleanText(B318)</f>
        <v>ok gzel  _xDC4D_</v>
      </c>
      <c r="D318">
        <v>0</v>
      </c>
      <c r="E318">
        <v>0</v>
      </c>
      <c r="F318" t="s">
        <v>0</v>
      </c>
      <c r="G318" t="str" cm="1">
        <f t="array" ref="G318" xml:space="preserve"> FindCountryName(F318)</f>
        <v>None</v>
      </c>
      <c r="H318" s="1">
        <v>45327.272465277776</v>
      </c>
      <c r="I318" s="1">
        <v>45327.272465277776</v>
      </c>
      <c r="J318" s="1">
        <v>43471.644201388888</v>
      </c>
      <c r="K318" cm="1">
        <f t="array" ref="K318" xml:space="preserve"> sentimentCalc(C318)</f>
        <v>0</v>
      </c>
      <c r="L318" t="str" cm="1">
        <f t="array" ref="L318" xml:space="preserve"> sentimentCategory(K318)</f>
        <v>Neutral</v>
      </c>
    </row>
    <row r="319" spans="1:12">
      <c r="A319" t="s">
        <v>1178</v>
      </c>
      <c r="B319" t="s">
        <v>4285</v>
      </c>
      <c r="C319" t="str" cm="1">
        <f t="array" ref="C319" xml:space="preserve"> CleanText(B319)</f>
        <v>mkemmel tesi</v>
      </c>
      <c r="D319">
        <v>0</v>
      </c>
      <c r="E319">
        <v>0</v>
      </c>
      <c r="F319" t="s">
        <v>0</v>
      </c>
      <c r="G319" t="str" cm="1">
        <f t="array" ref="G319" xml:space="preserve"> FindCountryName(F319)</f>
        <v>None</v>
      </c>
      <c r="H319" s="1">
        <v>45327.272407407407</v>
      </c>
      <c r="I319" s="1">
        <v>45327.272407407407</v>
      </c>
      <c r="J319" s="1">
        <v>45327.251666666663</v>
      </c>
      <c r="K319" cm="1">
        <f t="array" ref="K319" xml:space="preserve"> sentimentCalc(C319)</f>
        <v>0</v>
      </c>
      <c r="L319" t="str" cm="1">
        <f t="array" ref="L319" xml:space="preserve"> sentimentCategory(K319)</f>
        <v>Neutral</v>
      </c>
    </row>
    <row r="320" spans="1:12">
      <c r="A320" t="s">
        <v>4284</v>
      </c>
      <c r="B320" t="s">
        <v>4175</v>
      </c>
      <c r="C320" t="str" cm="1">
        <f t="array" ref="C320" xml:space="preserve"> CleanText(B320)</f>
        <v>harika</v>
      </c>
      <c r="D320">
        <v>0</v>
      </c>
      <c r="E320">
        <v>0</v>
      </c>
      <c r="F320" t="s">
        <v>0</v>
      </c>
      <c r="G320" t="str" cm="1">
        <f t="array" ref="G320" xml:space="preserve"> FindCountryName(F320)</f>
        <v>None</v>
      </c>
      <c r="H320" s="1">
        <v>45327.272233796299</v>
      </c>
      <c r="I320" s="1">
        <v>45327.272233796299</v>
      </c>
      <c r="J320" s="1">
        <v>42792.531493055554</v>
      </c>
      <c r="K320" cm="1">
        <f t="array" ref="K320" xml:space="preserve"> sentimentCalc(C320)</f>
        <v>0</v>
      </c>
      <c r="L320" t="str" cm="1">
        <f t="array" ref="L320" xml:space="preserve"> sentimentCategory(K320)</f>
        <v>Neutral</v>
      </c>
    </row>
    <row r="321" spans="1:12">
      <c r="A321" t="s">
        <v>566</v>
      </c>
      <c r="B321" t="s">
        <v>4283</v>
      </c>
      <c r="C321" t="str" cm="1">
        <f t="array" ref="C321" xml:space="preserve"> CleanText(B321)</f>
        <v>yi film</v>
      </c>
      <c r="D321">
        <v>0</v>
      </c>
      <c r="E321">
        <v>0</v>
      </c>
      <c r="F321" t="s">
        <v>0</v>
      </c>
      <c r="G321" t="str" cm="1">
        <f t="array" ref="G321" xml:space="preserve"> FindCountryName(F321)</f>
        <v>None</v>
      </c>
      <c r="H321" s="1">
        <v>45327.272199074076</v>
      </c>
      <c r="I321" s="1">
        <v>45327.272199074076</v>
      </c>
      <c r="J321" s="1">
        <v>41350.728437500002</v>
      </c>
      <c r="K321" cm="1">
        <f t="array" ref="K321" xml:space="preserve"> sentimentCalc(C321)</f>
        <v>0</v>
      </c>
      <c r="L321" t="str" cm="1">
        <f t="array" ref="L321" xml:space="preserve"> sentimentCategory(K321)</f>
        <v>Neutral</v>
      </c>
    </row>
    <row r="322" spans="1:12">
      <c r="A322" t="s">
        <v>653</v>
      </c>
      <c r="B322" t="s">
        <v>4282</v>
      </c>
      <c r="C322" t="str" cm="1">
        <f t="array" ref="C322" xml:space="preserve"> CleanText(B322)</f>
        <v>ahane_xDF89_beklediim film yaknda izlenebilir olucak❤</v>
      </c>
      <c r="D322">
        <v>0</v>
      </c>
      <c r="E322">
        <v>0</v>
      </c>
      <c r="F322" t="s">
        <v>0</v>
      </c>
      <c r="G322" t="str" cm="1">
        <f t="array" ref="G322" xml:space="preserve"> FindCountryName(F322)</f>
        <v>None</v>
      </c>
      <c r="H322" s="1">
        <v>45327.272118055553</v>
      </c>
      <c r="I322" s="1">
        <v>45327.272118055553</v>
      </c>
      <c r="J322" s="1">
        <v>43375.598124999997</v>
      </c>
      <c r="K322" cm="1">
        <f t="array" ref="K322" xml:space="preserve"> sentimentCalc(C322)</f>
        <v>0</v>
      </c>
      <c r="L322" t="str" cm="1">
        <f t="array" ref="L322" xml:space="preserve"> sentimentCategory(K322)</f>
        <v>Neutral</v>
      </c>
    </row>
    <row r="323" spans="1:12">
      <c r="A323" t="s">
        <v>273</v>
      </c>
      <c r="B323" t="s">
        <v>4281</v>
      </c>
      <c r="C323" t="str" cm="1">
        <f t="array" ref="C323" xml:space="preserve"> CleanText(B323)</f>
        <v>muhteem</v>
      </c>
      <c r="D323">
        <v>0</v>
      </c>
      <c r="E323">
        <v>0</v>
      </c>
      <c r="F323" t="s">
        <v>0</v>
      </c>
      <c r="G323" t="str" cm="1">
        <f t="array" ref="G323" xml:space="preserve"> FindCountryName(F323)</f>
        <v>None</v>
      </c>
      <c r="H323" s="1">
        <v>45327.272106481483</v>
      </c>
      <c r="I323" s="1">
        <v>45327.272106481483</v>
      </c>
      <c r="J323" s="1">
        <v>41278.50209490741</v>
      </c>
      <c r="K323" cm="1">
        <f t="array" ref="K323" xml:space="preserve"> sentimentCalc(C323)</f>
        <v>0</v>
      </c>
      <c r="L323" t="str" cm="1">
        <f t="array" ref="L323" xml:space="preserve"> sentimentCategory(K323)</f>
        <v>Neutral</v>
      </c>
    </row>
    <row r="324" spans="1:12">
      <c r="A324" t="s">
        <v>796</v>
      </c>
      <c r="B324" t="s">
        <v>4280</v>
      </c>
      <c r="C324" t="str" cm="1">
        <f t="array" ref="C324" xml:space="preserve"> CleanText(B324)</f>
        <v>ok ilgin ve gxell film ixleyinnn_xDE0D_</v>
      </c>
      <c r="D324">
        <v>0</v>
      </c>
      <c r="E324">
        <v>0</v>
      </c>
      <c r="F324" t="s">
        <v>0</v>
      </c>
      <c r="G324" t="str" cm="1">
        <f t="array" ref="G324" xml:space="preserve"> FindCountryName(F324)</f>
        <v>None</v>
      </c>
      <c r="H324" s="1">
        <v>45327.271944444445</v>
      </c>
      <c r="I324" s="1">
        <v>45327.271944444445</v>
      </c>
      <c r="J324" s="1">
        <v>44104.238900462966</v>
      </c>
      <c r="K324" cm="1">
        <f t="array" ref="K324" xml:space="preserve"> sentimentCalc(C324)</f>
        <v>0</v>
      </c>
      <c r="L324" t="str" cm="1">
        <f t="array" ref="L324" xml:space="preserve"> sentimentCategory(K324)</f>
        <v>Neutral</v>
      </c>
    </row>
    <row r="325" spans="1:12">
      <c r="A325" t="s">
        <v>612</v>
      </c>
      <c r="B325" t="s">
        <v>4279</v>
      </c>
      <c r="C325" t="str" cm="1">
        <f t="array" ref="C325" xml:space="preserve"> CleanText(B325)</f>
        <v>avatar serisini ok seviyorum bu filmde de gayet gzel bir i karmlar</v>
      </c>
      <c r="D325">
        <v>0</v>
      </c>
      <c r="E325">
        <v>0</v>
      </c>
      <c r="F325" t="s">
        <v>0</v>
      </c>
      <c r="G325" t="str" cm="1">
        <f t="array" ref="G325" xml:space="preserve"> FindCountryName(F325)</f>
        <v>None</v>
      </c>
      <c r="H325" s="1">
        <v>45327.271932870368</v>
      </c>
      <c r="I325" s="1">
        <v>45327.271932870368</v>
      </c>
      <c r="J325" s="1">
        <v>42093.358900462961</v>
      </c>
      <c r="K325" cm="1">
        <f t="array" ref="K325" xml:space="preserve"> sentimentCalc(C325)</f>
        <v>0</v>
      </c>
      <c r="L325" t="str" cm="1">
        <f t="array" ref="L325" xml:space="preserve"> sentimentCategory(K325)</f>
        <v>Neutral</v>
      </c>
    </row>
    <row r="326" spans="1:12">
      <c r="A326" t="s">
        <v>830</v>
      </c>
      <c r="B326" t="s">
        <v>4278</v>
      </c>
      <c r="C326" t="str" cm="1">
        <f t="array" ref="C326" xml:space="preserve"> CleanText(B326)</f>
        <v>bu filim dunyayn bir numaral filmi bence binimle ayni fikre sahip olan kimir</v>
      </c>
      <c r="D326">
        <v>0</v>
      </c>
      <c r="E326">
        <v>0</v>
      </c>
      <c r="F326" t="s">
        <v>1523</v>
      </c>
      <c r="G326" t="str" cm="1">
        <f t="array" ref="G326" xml:space="preserve"> FindCountryName(F326)</f>
        <v>Turkey</v>
      </c>
      <c r="H326" s="1">
        <v>45327.271932870368</v>
      </c>
      <c r="I326" s="1">
        <v>45327.271932870368</v>
      </c>
      <c r="J326" s="1">
        <v>42627.198692129627</v>
      </c>
      <c r="K326" cm="1">
        <f t="array" ref="K326" xml:space="preserve"> sentimentCalc(C326)</f>
        <v>0</v>
      </c>
      <c r="L326" t="str" cm="1">
        <f t="array" ref="L326" xml:space="preserve"> sentimentCategory(K326)</f>
        <v>Neutral</v>
      </c>
    </row>
    <row r="327" spans="1:12">
      <c r="A327" t="s">
        <v>4277</v>
      </c>
      <c r="B327" t="s">
        <v>4276</v>
      </c>
      <c r="C327" t="str" cm="1">
        <f t="array" ref="C327" xml:space="preserve"> CleanText(B327)</f>
        <v>ok iyi mkemmel</v>
      </c>
      <c r="D327">
        <v>0</v>
      </c>
      <c r="E327">
        <v>0</v>
      </c>
      <c r="F327" t="s">
        <v>0</v>
      </c>
      <c r="G327" t="str" cm="1">
        <f t="array" ref="G327" xml:space="preserve"> FindCountryName(F327)</f>
        <v>None</v>
      </c>
      <c r="H327" s="1">
        <v>45327.271898148145</v>
      </c>
      <c r="I327" s="1">
        <v>45327.271898148145</v>
      </c>
      <c r="J327" s="1">
        <v>45327.263206018521</v>
      </c>
      <c r="K327" cm="1">
        <f t="array" ref="K327" xml:space="preserve"> sentimentCalc(C327)</f>
        <v>0</v>
      </c>
      <c r="L327" t="str" cm="1">
        <f t="array" ref="L327" xml:space="preserve"> sentimentCategory(K327)</f>
        <v>Neutral</v>
      </c>
    </row>
    <row r="328" spans="1:12">
      <c r="A328" t="s">
        <v>516</v>
      </c>
      <c r="B328" t="s">
        <v>4275</v>
      </c>
      <c r="C328" t="str" cm="1">
        <f t="array" ref="C328" xml:space="preserve"> CleanText(B328)</f>
        <v>ocukluumdan beri avatarn stnde bir dizi grmedim muhteem</v>
      </c>
      <c r="D328">
        <v>0</v>
      </c>
      <c r="E328">
        <v>0</v>
      </c>
      <c r="F328" t="s">
        <v>0</v>
      </c>
      <c r="G328" t="str" cm="1">
        <f t="array" ref="G328" xml:space="preserve"> FindCountryName(F328)</f>
        <v>None</v>
      </c>
      <c r="H328" s="1">
        <v>45327.271643518521</v>
      </c>
      <c r="I328" s="1">
        <v>45327.271643518521</v>
      </c>
      <c r="J328" s="1">
        <v>44207.082499999997</v>
      </c>
      <c r="K328" cm="1">
        <f t="array" ref="K328" xml:space="preserve"> sentimentCalc(C328)</f>
        <v>0</v>
      </c>
      <c r="L328" t="str" cm="1">
        <f t="array" ref="L328" xml:space="preserve"> sentimentCategory(K328)</f>
        <v>Neutral</v>
      </c>
    </row>
    <row r="329" spans="1:12">
      <c r="A329" t="s">
        <v>190</v>
      </c>
      <c r="B329" t="s">
        <v>4274</v>
      </c>
      <c r="C329" t="str" cm="1">
        <f t="array" ref="C329" xml:space="preserve"> CleanText(B329)</f>
        <v>avatar filmini ok seviyorum zaten fragman ilgimi ekti</v>
      </c>
      <c r="D329">
        <v>0</v>
      </c>
      <c r="E329">
        <v>0</v>
      </c>
      <c r="F329" t="s">
        <v>0</v>
      </c>
      <c r="G329" t="str" cm="1">
        <f t="array" ref="G329" xml:space="preserve"> FindCountryName(F329)</f>
        <v>None</v>
      </c>
      <c r="H329" s="1">
        <v>45327.271643518521</v>
      </c>
      <c r="I329" s="1">
        <v>45327.271643518521</v>
      </c>
      <c r="J329" s="1">
        <v>41862.532650462963</v>
      </c>
      <c r="K329" cm="1">
        <f t="array" ref="K329" xml:space="preserve"> sentimentCalc(C329)</f>
        <v>0</v>
      </c>
      <c r="L329" t="str" cm="1">
        <f t="array" ref="L329" xml:space="preserve"> sentimentCategory(K329)</f>
        <v>Neutral</v>
      </c>
    </row>
    <row r="330" spans="1:12">
      <c r="A330" t="s">
        <v>4273</v>
      </c>
      <c r="B330" t="s">
        <v>4203</v>
      </c>
      <c r="C330" t="str" cm="1">
        <f t="array" ref="C330" xml:space="preserve"> CleanText(B330)</f>
        <v>ok gzel bir film</v>
      </c>
      <c r="D330">
        <v>0</v>
      </c>
      <c r="E330">
        <v>0</v>
      </c>
      <c r="F330" t="s">
        <v>1523</v>
      </c>
      <c r="G330" t="str" cm="1">
        <f t="array" ref="G330" xml:space="preserve"> FindCountryName(F330)</f>
        <v>Turkey</v>
      </c>
      <c r="H330" s="1">
        <v>45327.271620370368</v>
      </c>
      <c r="I330" s="1">
        <v>45327.271620370368</v>
      </c>
      <c r="J330" s="1">
        <v>44483.427800925929</v>
      </c>
      <c r="K330" cm="1">
        <f t="array" ref="K330" xml:space="preserve"> sentimentCalc(C330)</f>
        <v>0</v>
      </c>
      <c r="L330" t="str" cm="1">
        <f t="array" ref="L330" xml:space="preserve"> sentimentCategory(K330)</f>
        <v>Neutral</v>
      </c>
    </row>
    <row r="331" spans="1:12">
      <c r="A331" t="s">
        <v>955</v>
      </c>
      <c r="B331" t="s">
        <v>4272</v>
      </c>
      <c r="C331" t="str" cm="1">
        <f t="array" ref="C331" xml:space="preserve"> CleanText(B331)</f>
        <v>merabalar iyi seyirler bende izledim tavsiye ederim</v>
      </c>
      <c r="D331">
        <v>0</v>
      </c>
      <c r="E331">
        <v>0</v>
      </c>
      <c r="F331" t="s">
        <v>0</v>
      </c>
      <c r="G331" t="str" cm="1">
        <f t="array" ref="G331" xml:space="preserve"> FindCountryName(F331)</f>
        <v>None</v>
      </c>
      <c r="H331" s="1">
        <v>45327.271550925929</v>
      </c>
      <c r="I331" s="1">
        <v>45327.271550925929</v>
      </c>
      <c r="J331" s="1">
        <v>45054.376689814817</v>
      </c>
      <c r="K331" cm="1">
        <f t="array" ref="K331" xml:space="preserve"> sentimentCalc(C331)</f>
        <v>0</v>
      </c>
      <c r="L331" t="str" cm="1">
        <f t="array" ref="L331" xml:space="preserve"> sentimentCategory(K331)</f>
        <v>Neutral</v>
      </c>
    </row>
    <row r="332" spans="1:12">
      <c r="A332" t="s">
        <v>3402</v>
      </c>
      <c r="B332" t="s">
        <v>4271</v>
      </c>
      <c r="C332" t="str" cm="1">
        <f t="array" ref="C332" xml:space="preserve"> CleanText(B332)</f>
        <v>harikasa</v>
      </c>
      <c r="D332">
        <v>0</v>
      </c>
      <c r="E332">
        <v>0</v>
      </c>
      <c r="F332" t="s">
        <v>0</v>
      </c>
      <c r="G332" t="str" cm="1">
        <f t="array" ref="G332" xml:space="preserve"> FindCountryName(F332)</f>
        <v>None</v>
      </c>
      <c r="H332" s="1">
        <v>45327.271377314813</v>
      </c>
      <c r="I332" s="1">
        <v>45327.271377314813</v>
      </c>
      <c r="J332" s="1">
        <v>44902.410462962966</v>
      </c>
      <c r="K332" cm="1">
        <f t="array" ref="K332" xml:space="preserve"> sentimentCalc(C332)</f>
        <v>0</v>
      </c>
      <c r="L332" t="str" cm="1">
        <f t="array" ref="L332" xml:space="preserve"> sentimentCategory(K332)</f>
        <v>Neutral</v>
      </c>
    </row>
    <row r="333" spans="1:12">
      <c r="A333" t="s">
        <v>1391</v>
      </c>
      <c r="B333" t="s">
        <v>4270</v>
      </c>
      <c r="C333" t="str" cm="1">
        <f t="array" ref="C333" xml:space="preserve"> CleanText(B333)</f>
        <v>n</v>
      </c>
      <c r="D333">
        <v>0</v>
      </c>
      <c r="E333">
        <v>0</v>
      </c>
      <c r="F333" t="s">
        <v>0</v>
      </c>
      <c r="G333" t="str" cm="1">
        <f t="array" ref="G333" xml:space="preserve"> FindCountryName(F333)</f>
        <v>None</v>
      </c>
      <c r="H333" s="1">
        <v>45327.271354166667</v>
      </c>
      <c r="I333" s="1">
        <v>45327.271354166667</v>
      </c>
      <c r="J333" s="1">
        <v>43893.485381944447</v>
      </c>
      <c r="K333" cm="1">
        <f t="array" ref="K333" xml:space="preserve"> sentimentCalc(C333)</f>
        <v>0</v>
      </c>
      <c r="L333" t="str" cm="1">
        <f t="array" ref="L333" xml:space="preserve"> sentimentCategory(K333)</f>
        <v>Neutral</v>
      </c>
    </row>
    <row r="334" spans="1:12">
      <c r="A334" t="s">
        <v>1473</v>
      </c>
      <c r="B334" t="s">
        <v>3659</v>
      </c>
      <c r="C334" t="str" cm="1">
        <f t="array" ref="C334" xml:space="preserve"> CleanText(B334)</f>
        <v>mkemmel</v>
      </c>
      <c r="D334">
        <v>0</v>
      </c>
      <c r="E334">
        <v>0</v>
      </c>
      <c r="F334" t="s">
        <v>0</v>
      </c>
      <c r="G334" t="str" cm="1">
        <f t="array" ref="G334" xml:space="preserve"> FindCountryName(F334)</f>
        <v>None</v>
      </c>
      <c r="H334" s="1">
        <v>45327.271331018521</v>
      </c>
      <c r="I334" s="1">
        <v>45327.271331018521</v>
      </c>
      <c r="J334" s="1">
        <v>42417.526388888888</v>
      </c>
      <c r="K334" cm="1">
        <f t="array" ref="K334" xml:space="preserve"> sentimentCalc(C334)</f>
        <v>0</v>
      </c>
      <c r="L334" t="str" cm="1">
        <f t="array" ref="L334" xml:space="preserve"> sentimentCategory(K334)</f>
        <v>Neutral</v>
      </c>
    </row>
    <row r="335" spans="1:12">
      <c r="A335" t="s">
        <v>460</v>
      </c>
      <c r="B335" t="s">
        <v>4269</v>
      </c>
      <c r="C335" t="str" cm="1">
        <f t="array" ref="C335" xml:space="preserve"> CleanText(B335)</f>
        <v>gayet iyi bir yapm</v>
      </c>
      <c r="D335">
        <v>0</v>
      </c>
      <c r="E335">
        <v>0</v>
      </c>
      <c r="F335" t="s">
        <v>0</v>
      </c>
      <c r="G335" t="str" cm="1">
        <f t="array" ref="G335" xml:space="preserve"> FindCountryName(F335)</f>
        <v>None</v>
      </c>
      <c r="H335" s="1">
        <v>45327.271331018521</v>
      </c>
      <c r="I335" s="1">
        <v>45327.271331018521</v>
      </c>
      <c r="J335" s="1">
        <v>43156.251261574071</v>
      </c>
      <c r="K335" cm="1">
        <f t="array" ref="K335" xml:space="preserve"> sentimentCalc(C335)</f>
        <v>0</v>
      </c>
      <c r="L335" t="str" cm="1">
        <f t="array" ref="L335" xml:space="preserve"> sentimentCategory(K335)</f>
        <v>Neutral</v>
      </c>
    </row>
    <row r="336" spans="1:12">
      <c r="A336" t="s">
        <v>1525</v>
      </c>
      <c r="B336" t="s">
        <v>4268</v>
      </c>
      <c r="C336" t="str" cm="1">
        <f t="array" ref="C336" xml:space="preserve"> CleanText(B336)</f>
        <v>guzel flim izlemenizi tavsiye ederim</v>
      </c>
      <c r="D336">
        <v>0</v>
      </c>
      <c r="E336">
        <v>0</v>
      </c>
      <c r="F336" t="s">
        <v>0</v>
      </c>
      <c r="G336" t="str" cm="1">
        <f t="array" ref="G336" xml:space="preserve"> FindCountryName(F336)</f>
        <v>None</v>
      </c>
      <c r="H336" s="1">
        <v>45327.271238425928</v>
      </c>
      <c r="I336" s="1">
        <v>45327.271238425928</v>
      </c>
      <c r="J336" s="1">
        <v>42038.247048611112</v>
      </c>
      <c r="K336" cm="1">
        <f t="array" ref="K336" xml:space="preserve"> sentimentCalc(C336)</f>
        <v>0</v>
      </c>
      <c r="L336" t="str" cm="1">
        <f t="array" ref="L336" xml:space="preserve"> sentimentCategory(K336)</f>
        <v>Neutral</v>
      </c>
    </row>
    <row r="337" spans="1:12">
      <c r="A337" t="s">
        <v>357</v>
      </c>
      <c r="B337" t="s">
        <v>4267</v>
      </c>
      <c r="C337" t="str" cm="1">
        <f t="array" ref="C337" xml:space="preserve"> CleanText(B337)</f>
        <v>hopefully this is better than the horrible other live action film</v>
      </c>
      <c r="D337">
        <v>1</v>
      </c>
      <c r="E337">
        <v>0</v>
      </c>
      <c r="F337" t="s">
        <v>0</v>
      </c>
      <c r="G337" t="str" cm="1">
        <f t="array" ref="G337" xml:space="preserve"> FindCountryName(F337)</f>
        <v>None</v>
      </c>
      <c r="H337" s="1">
        <v>45327.109490740739</v>
      </c>
      <c r="I337" s="1">
        <v>45327.109490740739</v>
      </c>
      <c r="J337" s="1">
        <v>44442.833391203705</v>
      </c>
      <c r="K337" cm="1">
        <f t="array" ref="K337" xml:space="preserve"> sentimentCalc(C337)</f>
        <v>1</v>
      </c>
      <c r="L337" t="str" cm="1">
        <f t="array" ref="L337" xml:space="preserve"> sentimentCategory(K337)</f>
        <v>Positive</v>
      </c>
    </row>
    <row r="338" spans="1:12">
      <c r="A338" t="s">
        <v>3891</v>
      </c>
      <c r="B338" t="s">
        <v>4266</v>
      </c>
      <c r="C338" t="str" cm="1">
        <f t="array" ref="C338" xml:space="preserve"> CleanText(B338)</f>
        <v>dont change sokkas character please he was always sarcastic and a bit misogynist but his character development is what we like to see not to mention tsuki legit teaches him to respect women so now her character intro wont make any sense stop being scared to keep not perfect charcters in shows and movies _xDE44_</v>
      </c>
      <c r="D338">
        <v>0</v>
      </c>
      <c r="E338">
        <v>0</v>
      </c>
      <c r="F338" t="s">
        <v>0</v>
      </c>
      <c r="G338" t="str" cm="1">
        <f t="array" ref="G338" xml:space="preserve"> FindCountryName(F338)</f>
        <v>None</v>
      </c>
      <c r="H338" s="1">
        <v>45327.007453703707</v>
      </c>
      <c r="I338" s="1">
        <v>45327.007453703707</v>
      </c>
      <c r="J338" s="1">
        <v>42349.897881944446</v>
      </c>
      <c r="K338" cm="1">
        <f t="array" ref="K338" xml:space="preserve"> sentimentCalc(C338)</f>
        <v>1</v>
      </c>
      <c r="L338" t="str" cm="1">
        <f t="array" ref="L338" xml:space="preserve"> sentimentCategory(K338)</f>
        <v>Positive</v>
      </c>
    </row>
    <row r="339" spans="1:12">
      <c r="A339" t="s">
        <v>2333</v>
      </c>
      <c r="B339" t="s">
        <v>4265</v>
      </c>
      <c r="C339" t="str" cm="1">
        <f t="array" ref="C339" xml:space="preserve"> CleanText(B339)</f>
        <v>this sucks ass just dont make it</v>
      </c>
      <c r="D339">
        <v>0</v>
      </c>
      <c r="E339">
        <v>0</v>
      </c>
      <c r="F339" t="s">
        <v>0</v>
      </c>
      <c r="G339" t="str" cm="1">
        <f t="array" ref="G339" xml:space="preserve"> FindCountryName(F339)</f>
        <v>None</v>
      </c>
      <c r="H339" s="1">
        <v>45326.983796296299</v>
      </c>
      <c r="I339" s="1">
        <v>45326.983796296299</v>
      </c>
      <c r="J339" s="1">
        <v>45219.060648148145</v>
      </c>
      <c r="K339" cm="1">
        <f t="array" ref="K339" xml:space="preserve"> sentimentCalc(C339)</f>
        <v>-7</v>
      </c>
      <c r="L339" t="str" cm="1">
        <f t="array" ref="L339" xml:space="preserve"> sentimentCategory(K339)</f>
        <v>Negative</v>
      </c>
    </row>
    <row r="340" spans="1:12">
      <c r="A340" t="s">
        <v>104</v>
      </c>
      <c r="B340" t="s">
        <v>4264</v>
      </c>
      <c r="C340" t="str" cm="1">
        <f t="array" ref="C340" xml:space="preserve"> CleanText(B340)</f>
        <v>cant wait to see team azula</v>
      </c>
      <c r="D340">
        <v>0</v>
      </c>
      <c r="E340">
        <v>0</v>
      </c>
      <c r="F340" t="s">
        <v>0</v>
      </c>
      <c r="G340" t="str" cm="1">
        <f t="array" ref="G340" xml:space="preserve"> FindCountryName(F340)</f>
        <v>None</v>
      </c>
      <c r="H340" s="1">
        <v>45326.974282407406</v>
      </c>
      <c r="I340" s="1">
        <v>45326.974282407406</v>
      </c>
      <c r="J340" s="1">
        <v>42141.366770833331</v>
      </c>
      <c r="K340" cm="1">
        <f t="array" ref="K340" xml:space="preserve"> sentimentCalc(C340)</f>
        <v>0</v>
      </c>
      <c r="L340" t="str" cm="1">
        <f t="array" ref="L340" xml:space="preserve"> sentimentCategory(K340)</f>
        <v>Neutral</v>
      </c>
    </row>
    <row r="341" spans="1:12">
      <c r="A341" t="s">
        <v>2621</v>
      </c>
      <c r="B341" t="s">
        <v>4263</v>
      </c>
      <c r="C341" t="str" cm="1">
        <f t="array" ref="C341" xml:space="preserve"> CleanText(B341)</f>
        <v>i keep rewatching this and tearing up as soon as that iconic soundtrack kicks in bro im so excited</v>
      </c>
      <c r="D341">
        <v>3</v>
      </c>
      <c r="E341">
        <v>0</v>
      </c>
      <c r="F341" t="s">
        <v>0</v>
      </c>
      <c r="G341" t="str" cm="1">
        <f t="array" ref="G341" xml:space="preserve"> FindCountryName(F341)</f>
        <v>None</v>
      </c>
      <c r="H341" s="1">
        <v>45326.951273148145</v>
      </c>
      <c r="I341" s="1">
        <v>45326.951273148145</v>
      </c>
      <c r="J341" s="1">
        <v>42613.191446759258</v>
      </c>
      <c r="K341" cm="1">
        <f t="array" ref="K341" xml:space="preserve"> sentimentCalc(C341)</f>
        <v>3</v>
      </c>
      <c r="L341" t="str" cm="1">
        <f t="array" ref="L341" xml:space="preserve"> sentimentCategory(K341)</f>
        <v>Positive</v>
      </c>
    </row>
    <row r="342" spans="1:12">
      <c r="A342" t="s">
        <v>4262</v>
      </c>
      <c r="B342" t="s">
        <v>4261</v>
      </c>
      <c r="C342" t="str" cm="1">
        <f t="array" ref="C342" xml:space="preserve"> CleanText(B342)</f>
        <v>9 days left yupi</v>
      </c>
      <c r="D342">
        <v>0</v>
      </c>
      <c r="E342">
        <v>0</v>
      </c>
      <c r="F342" t="s">
        <v>0</v>
      </c>
      <c r="G342" t="str" cm="1">
        <f t="array" ref="G342" xml:space="preserve"> FindCountryName(F342)</f>
        <v>None</v>
      </c>
      <c r="H342" s="1">
        <v>45325.722210648149</v>
      </c>
      <c r="I342" s="1">
        <v>45325.722210648149</v>
      </c>
      <c r="J342" s="1">
        <v>45179.551585648151</v>
      </c>
      <c r="K342" cm="1">
        <f t="array" ref="K342" xml:space="preserve"> sentimentCalc(C342)</f>
        <v>0</v>
      </c>
      <c r="L342" t="str" cm="1">
        <f t="array" ref="L342" xml:space="preserve"> sentimentCategory(K342)</f>
        <v>Neutral</v>
      </c>
    </row>
    <row r="343" spans="1:12">
      <c r="A343" t="s">
        <v>4260</v>
      </c>
      <c r="B343" t="s">
        <v>4259</v>
      </c>
      <c r="C343" t="str" cm="1">
        <f t="array" ref="C343" xml:space="preserve"> CleanText(B343)</f>
        <v>shit people behind this didnt folow the creators vision</v>
      </c>
      <c r="D343">
        <v>1</v>
      </c>
      <c r="E343">
        <v>0</v>
      </c>
      <c r="F343" t="s">
        <v>0</v>
      </c>
      <c r="G343" t="str" cm="1">
        <f t="array" ref="G343" xml:space="preserve"> FindCountryName(F343)</f>
        <v>None</v>
      </c>
      <c r="H343" s="1">
        <v>45325.291446759256</v>
      </c>
      <c r="I343" s="1">
        <v>45325.291504629633</v>
      </c>
      <c r="J343" s="1">
        <v>44546.482349537036</v>
      </c>
      <c r="K343" cm="1">
        <f t="array" ref="K343" xml:space="preserve"> sentimentCalc(C343)</f>
        <v>1</v>
      </c>
      <c r="L343" t="str" cm="1">
        <f t="array" ref="L343" xml:space="preserve"> sentimentCategory(K343)</f>
        <v>Positive</v>
      </c>
    </row>
    <row r="344" spans="1:12">
      <c r="A344" t="s">
        <v>291</v>
      </c>
      <c r="B344" t="s">
        <v>4258</v>
      </c>
      <c r="C344" t="str" cm="1">
        <f t="array" ref="C344" xml:space="preserve"> CleanText(B344)</f>
        <v>very good</v>
      </c>
      <c r="D344">
        <v>0</v>
      </c>
      <c r="E344">
        <v>0</v>
      </c>
      <c r="F344" t="s">
        <v>0</v>
      </c>
      <c r="G344" t="str" cm="1">
        <f t="array" ref="G344" xml:space="preserve"> FindCountryName(F344)</f>
        <v>None</v>
      </c>
      <c r="H344" s="1">
        <v>45325.165567129632</v>
      </c>
      <c r="I344" s="1">
        <v>45325.165567129632</v>
      </c>
      <c r="J344" s="1">
        <v>41483.618356481478</v>
      </c>
      <c r="K344" cm="1">
        <f t="array" ref="K344" xml:space="preserve"> sentimentCalc(C344)</f>
        <v>3</v>
      </c>
      <c r="L344" t="str" cm="1">
        <f t="array" ref="L344" xml:space="preserve"> sentimentCategory(K344)</f>
        <v>Positive</v>
      </c>
    </row>
    <row r="345" spans="1:12">
      <c r="A345" t="s">
        <v>4257</v>
      </c>
      <c r="B345" t="s">
        <v>4256</v>
      </c>
      <c r="C345" t="str" cm="1">
        <f t="array" ref="C345" xml:space="preserve"> CleanText(B345)</f>
        <v>wast of time</v>
      </c>
      <c r="D345">
        <v>2</v>
      </c>
      <c r="E345">
        <v>0</v>
      </c>
      <c r="F345" t="s">
        <v>0</v>
      </c>
      <c r="G345" t="str" cm="1">
        <f t="array" ref="G345" xml:space="preserve"> FindCountryName(F345)</f>
        <v>None</v>
      </c>
      <c r="H345" s="1">
        <v>45325.001689814817</v>
      </c>
      <c r="I345" s="1">
        <v>45325.001689814817</v>
      </c>
      <c r="J345" s="1">
        <v>45300.426134259258</v>
      </c>
      <c r="K345" cm="1">
        <f t="array" ref="K345" xml:space="preserve"> sentimentCalc(C345)</f>
        <v>0</v>
      </c>
      <c r="L345" t="str" cm="1">
        <f t="array" ref="L345" xml:space="preserve"> sentimentCategory(K345)</f>
        <v>Neutral</v>
      </c>
    </row>
    <row r="346" spans="1:12">
      <c r="A346" t="s">
        <v>806</v>
      </c>
      <c r="B346" t="s">
        <v>4255</v>
      </c>
      <c r="C346" t="str" cm="1">
        <f t="array" ref="C346" xml:space="preserve"> CleanText(B346)</f>
        <v>yeah what a shame yall are removing fundamental parts of characters just to be woke</v>
      </c>
      <c r="D346">
        <v>2</v>
      </c>
      <c r="E346">
        <v>0</v>
      </c>
      <c r="F346" t="s">
        <v>0</v>
      </c>
      <c r="G346" t="str" cm="1">
        <f t="array" ref="G346" xml:space="preserve"> FindCountryName(F346)</f>
        <v>None</v>
      </c>
      <c r="H346" s="1">
        <v>45324.933946759258</v>
      </c>
      <c r="I346" s="1">
        <v>45324.933946759258</v>
      </c>
      <c r="J346" s="1">
        <v>41546.794317129628</v>
      </c>
      <c r="K346" cm="1">
        <f t="array" ref="K346" xml:space="preserve"> sentimentCalc(C346)</f>
        <v>-1</v>
      </c>
      <c r="L346" t="str" cm="1">
        <f t="array" ref="L346" xml:space="preserve"> sentimentCategory(K346)</f>
        <v>Negative</v>
      </c>
    </row>
    <row r="347" spans="1:12">
      <c r="A347" t="s">
        <v>1345</v>
      </c>
      <c r="B347" t="s">
        <v>4254</v>
      </c>
      <c r="C347" t="str" cm="1">
        <f t="array" ref="C347" xml:space="preserve"> CleanText(B347)</f>
        <v>my 5 avatar squad where you at</v>
      </c>
      <c r="D347">
        <v>9</v>
      </c>
      <c r="E347">
        <v>0</v>
      </c>
      <c r="F347" t="s">
        <v>0</v>
      </c>
      <c r="G347" t="str" cm="1">
        <f t="array" ref="G347" xml:space="preserve"> FindCountryName(F347)</f>
        <v>None</v>
      </c>
      <c r="H347" s="1">
        <v>45324.747013888889</v>
      </c>
      <c r="I347" s="1">
        <v>45324.747013888889</v>
      </c>
      <c r="J347" s="1">
        <v>43803.000914351855</v>
      </c>
      <c r="K347" cm="1">
        <f t="array" ref="K347" xml:space="preserve"> sentimentCalc(C347)</f>
        <v>0</v>
      </c>
      <c r="L347" t="str" cm="1">
        <f t="array" ref="L347" xml:space="preserve"> sentimentCategory(K347)</f>
        <v>Neutral</v>
      </c>
    </row>
    <row r="348" spans="1:12">
      <c r="A348" t="s">
        <v>743</v>
      </c>
      <c r="B348" t="s">
        <v>4253</v>
      </c>
      <c r="C348" t="str" cm="1">
        <f t="array" ref="C348" xml:space="preserve"> CleanText(B348)</f>
        <v>amazing</v>
      </c>
      <c r="D348">
        <v>1</v>
      </c>
      <c r="E348">
        <v>0</v>
      </c>
      <c r="F348" t="s">
        <v>4252</v>
      </c>
      <c r="G348" t="str" cm="1">
        <f t="array" ref="G348" xml:space="preserve"> FindCountryName(F348)</f>
        <v>Colombia</v>
      </c>
      <c r="H348" s="1">
        <v>45324.471666666665</v>
      </c>
      <c r="I348" s="1">
        <v>45324.471666666665</v>
      </c>
      <c r="J348" s="1">
        <v>41410.828888888886</v>
      </c>
      <c r="K348" cm="1">
        <f t="array" ref="K348" xml:space="preserve"> sentimentCalc(C348)</f>
        <v>4</v>
      </c>
      <c r="L348" t="str" cm="1">
        <f t="array" ref="L348" xml:space="preserve"> sentimentCategory(K348)</f>
        <v>Positive</v>
      </c>
    </row>
    <row r="349" spans="1:12">
      <c r="A349" t="s">
        <v>2542</v>
      </c>
      <c r="B349" t="s">
        <v>4251</v>
      </c>
      <c r="C349" t="str" cm="1">
        <f t="array" ref="C349" xml:space="preserve"> CleanText(B349)</f>
        <v>im really curious for the azula actress i really want to know if she is able to represent the azula from the cartoon</v>
      </c>
      <c r="D349">
        <v>1</v>
      </c>
      <c r="E349">
        <v>0</v>
      </c>
      <c r="F349" t="s">
        <v>0</v>
      </c>
      <c r="G349" t="str" cm="1">
        <f t="array" ref="G349" xml:space="preserve"> FindCountryName(F349)</f>
        <v>None</v>
      </c>
      <c r="H349" s="1">
        <v>45324.35434027778</v>
      </c>
      <c r="I349" s="1">
        <v>45324.35434027778</v>
      </c>
      <c r="J349" s="1">
        <v>41608.656585648147</v>
      </c>
      <c r="K349" cm="1">
        <f t="array" ref="K349" xml:space="preserve"> sentimentCalc(C349)</f>
        <v>2</v>
      </c>
      <c r="L349" t="str" cm="1">
        <f t="array" ref="L349" xml:space="preserve"> sentimentCategory(K349)</f>
        <v>Positive</v>
      </c>
    </row>
    <row r="350" spans="1:12">
      <c r="A350" t="s">
        <v>938</v>
      </c>
      <c r="B350" t="s">
        <v>4250</v>
      </c>
      <c r="C350" t="str" cm="1">
        <f t="array" ref="C350" xml:space="preserve"> CleanText(B350)</f>
        <v>4680 jesus</v>
      </c>
      <c r="D350">
        <v>1</v>
      </c>
      <c r="E350">
        <v>0</v>
      </c>
      <c r="F350" t="s">
        <v>0</v>
      </c>
      <c r="G350" t="str" cm="1">
        <f t="array" ref="G350" xml:space="preserve"> FindCountryName(F350)</f>
        <v>None</v>
      </c>
      <c r="H350" s="1">
        <v>45324.347581018519</v>
      </c>
      <c r="I350" s="1">
        <v>45324.347581018519</v>
      </c>
      <c r="J350" s="1">
        <v>42051.096168981479</v>
      </c>
      <c r="K350" cm="1">
        <f t="array" ref="K350" xml:space="preserve"> sentimentCalc(C350)</f>
        <v>1</v>
      </c>
      <c r="L350" t="str" cm="1">
        <f t="array" ref="L350" xml:space="preserve"> sentimentCategory(K350)</f>
        <v>Positive</v>
      </c>
    </row>
    <row r="351" spans="1:12">
      <c r="A351" t="s">
        <v>430</v>
      </c>
      <c r="B351" t="s">
        <v>4203</v>
      </c>
      <c r="C351" t="str" cm="1">
        <f t="array" ref="C351" xml:space="preserve"> CleanText(B351)</f>
        <v>ok gzel bir film</v>
      </c>
      <c r="D351">
        <v>0</v>
      </c>
      <c r="E351">
        <v>0</v>
      </c>
      <c r="F351" t="s">
        <v>0</v>
      </c>
      <c r="G351" t="str" cm="1">
        <f t="array" ref="G351" xml:space="preserve"> FindCountryName(F351)</f>
        <v>None</v>
      </c>
      <c r="H351" s="1">
        <v>45324.15861111111</v>
      </c>
      <c r="I351" s="1">
        <v>45324.15861111111</v>
      </c>
      <c r="J351" s="1">
        <v>45324.157766203702</v>
      </c>
      <c r="K351" cm="1">
        <f t="array" ref="K351" xml:space="preserve"> sentimentCalc(C351)</f>
        <v>0</v>
      </c>
      <c r="L351" t="str" cm="1">
        <f t="array" ref="L351" xml:space="preserve"> sentimentCategory(K351)</f>
        <v>Neutral</v>
      </c>
    </row>
    <row r="352" spans="1:12">
      <c r="A352" t="s">
        <v>430</v>
      </c>
      <c r="B352" t="s">
        <v>4067</v>
      </c>
      <c r="C352" t="str" cm="1">
        <f t="array" ref="C352" xml:space="preserve"> CleanText(B352)</f>
        <v>ok gzel</v>
      </c>
      <c r="D352">
        <v>0</v>
      </c>
      <c r="E352">
        <v>0</v>
      </c>
      <c r="F352" t="s">
        <v>0</v>
      </c>
      <c r="G352" t="str" cm="1">
        <f t="array" ref="G352" xml:space="preserve"> FindCountryName(F352)</f>
        <v>None</v>
      </c>
      <c r="H352" s="1">
        <v>45324.157789351855</v>
      </c>
      <c r="I352" s="1">
        <v>45324.157789351855</v>
      </c>
      <c r="J352" s="1">
        <v>45324.157766203702</v>
      </c>
      <c r="K352" cm="1">
        <f t="array" ref="K352" xml:space="preserve"> sentimentCalc(C352)</f>
        <v>0</v>
      </c>
      <c r="L352" t="str" cm="1">
        <f t="array" ref="L352" xml:space="preserve"> sentimentCategory(K352)</f>
        <v>Neutral</v>
      </c>
    </row>
    <row r="353" spans="1:12">
      <c r="A353" t="s">
        <v>30</v>
      </c>
      <c r="B353" t="s">
        <v>4249</v>
      </c>
      <c r="C353" t="str" cm="1">
        <f t="array" ref="C353" xml:space="preserve"> CleanText(B353)</f>
        <v>gzel bir filme benziyor bekliyorum</v>
      </c>
      <c r="D353">
        <v>1</v>
      </c>
      <c r="E353">
        <v>0</v>
      </c>
      <c r="F353" t="s">
        <v>0</v>
      </c>
      <c r="G353" t="str" cm="1">
        <f t="array" ref="G353" xml:space="preserve"> FindCountryName(F353)</f>
        <v>None</v>
      </c>
      <c r="H353" s="1">
        <v>45323.56521990741</v>
      </c>
      <c r="I353" s="1">
        <v>45323.56521990741</v>
      </c>
      <c r="J353" s="1">
        <v>42295.392048611109</v>
      </c>
      <c r="K353" cm="1">
        <f t="array" ref="K353" xml:space="preserve"> sentimentCalc(C353)</f>
        <v>0</v>
      </c>
      <c r="L353" t="str" cm="1">
        <f t="array" ref="L353" xml:space="preserve"> sentimentCategory(K353)</f>
        <v>Neutral</v>
      </c>
    </row>
    <row r="354" spans="1:12">
      <c r="A354" t="s">
        <v>317</v>
      </c>
      <c r="B354" t="s">
        <v>4248</v>
      </c>
      <c r="C354" t="str" cm="1">
        <f t="array" ref="C354" xml:space="preserve"> CleanText(B354)</f>
        <v>film gerekten ok gzel herkese tavsiye ederim sabrszlkla bekliyorum</v>
      </c>
      <c r="D354">
        <v>1</v>
      </c>
      <c r="E354">
        <v>0</v>
      </c>
      <c r="F354" t="s">
        <v>0</v>
      </c>
      <c r="G354" t="str" cm="1">
        <f t="array" ref="G354" xml:space="preserve"> FindCountryName(F354)</f>
        <v>None</v>
      </c>
      <c r="H354" s="1">
        <v>45323.519918981481</v>
      </c>
      <c r="I354" s="1">
        <v>45323.519918981481</v>
      </c>
      <c r="J354" s="1">
        <v>44602.344398148147</v>
      </c>
      <c r="K354" cm="1">
        <f t="array" ref="K354" xml:space="preserve"> sentimentCalc(C354)</f>
        <v>0</v>
      </c>
      <c r="L354" t="str" cm="1">
        <f t="array" ref="L354" xml:space="preserve"> sentimentCategory(K354)</f>
        <v>Neutral</v>
      </c>
    </row>
    <row r="355" spans="1:12">
      <c r="A355" t="s">
        <v>327</v>
      </c>
      <c r="B355" t="s">
        <v>4247</v>
      </c>
      <c r="C355" t="str" cm="1">
        <f t="array" ref="C355" xml:space="preserve"> CleanText(B355)</f>
        <v>ok beendim</v>
      </c>
      <c r="D355">
        <v>1</v>
      </c>
      <c r="E355">
        <v>0</v>
      </c>
      <c r="F355" t="s">
        <v>1523</v>
      </c>
      <c r="G355" t="str" cm="1">
        <f t="array" ref="G355" xml:space="preserve"> FindCountryName(F355)</f>
        <v>Turkey</v>
      </c>
      <c r="H355" s="1">
        <v>45323.499201388891</v>
      </c>
      <c r="I355" s="1">
        <v>45323.499201388891</v>
      </c>
      <c r="J355" s="1">
        <v>44182.600474537037</v>
      </c>
      <c r="K355" cm="1">
        <f t="array" ref="K355" xml:space="preserve"> sentimentCalc(C355)</f>
        <v>0</v>
      </c>
      <c r="L355" t="str" cm="1">
        <f t="array" ref="L355" xml:space="preserve"> sentimentCategory(K355)</f>
        <v>Neutral</v>
      </c>
    </row>
    <row r="356" spans="1:12">
      <c r="A356" t="s">
        <v>243</v>
      </c>
      <c r="B356" t="s">
        <v>4246</v>
      </c>
      <c r="C356" t="str" cm="1">
        <f t="array" ref="C356" xml:space="preserve"> CleanText(B356)</f>
        <v>harika bir filim sabrszlkla bekliyorum_xDE0A_</v>
      </c>
      <c r="D356">
        <v>1</v>
      </c>
      <c r="E356">
        <v>0</v>
      </c>
      <c r="F356" t="s">
        <v>0</v>
      </c>
      <c r="G356" t="str" cm="1">
        <f t="array" ref="G356" xml:space="preserve"> FindCountryName(F356)</f>
        <v>None</v>
      </c>
      <c r="H356" s="1">
        <v>45323.446701388886</v>
      </c>
      <c r="I356" s="1">
        <v>45323.446701388886</v>
      </c>
      <c r="J356" s="1">
        <v>42565.135046296295</v>
      </c>
      <c r="K356" cm="1">
        <f t="array" ref="K356" xml:space="preserve"> sentimentCalc(C356)</f>
        <v>0</v>
      </c>
      <c r="L356" t="str" cm="1">
        <f t="array" ref="L356" xml:space="preserve"> sentimentCategory(K356)</f>
        <v>Neutral</v>
      </c>
    </row>
    <row r="357" spans="1:12">
      <c r="A357" t="s">
        <v>4245</v>
      </c>
      <c r="B357" t="s">
        <v>4244</v>
      </c>
      <c r="C357" t="str" cm="1">
        <f t="array" ref="C357" xml:space="preserve"> CleanText(B357)</f>
        <v>the best</v>
      </c>
      <c r="D357">
        <v>1</v>
      </c>
      <c r="E357">
        <v>0</v>
      </c>
      <c r="F357" t="s">
        <v>0</v>
      </c>
      <c r="G357" t="str" cm="1">
        <f t="array" ref="G357" xml:space="preserve"> FindCountryName(F357)</f>
        <v>None</v>
      </c>
      <c r="H357" s="1">
        <v>45323.412974537037</v>
      </c>
      <c r="I357" s="1">
        <v>45323.412974537037</v>
      </c>
      <c r="J357" s="1">
        <v>41855.074675925927</v>
      </c>
      <c r="K357" cm="1">
        <f t="array" ref="K357" xml:space="preserve"> sentimentCalc(C357)</f>
        <v>3</v>
      </c>
      <c r="L357" t="str" cm="1">
        <f t="array" ref="L357" xml:space="preserve"> sentimentCategory(K357)</f>
        <v>Positive</v>
      </c>
    </row>
    <row r="358" spans="1:12">
      <c r="A358" t="s">
        <v>325</v>
      </c>
      <c r="B358" t="s">
        <v>4243</v>
      </c>
      <c r="C358" t="str" cm="1">
        <f t="array" ref="C358" xml:space="preserve"> CleanText(B358)</f>
        <v>hope will be good</v>
      </c>
      <c r="D358">
        <v>1</v>
      </c>
      <c r="E358">
        <v>0</v>
      </c>
      <c r="F358" t="s">
        <v>0</v>
      </c>
      <c r="G358" t="str" cm="1">
        <f t="array" ref="G358" xml:space="preserve"> FindCountryName(F358)</f>
        <v>None</v>
      </c>
      <c r="H358" s="1">
        <v>45323.395092592589</v>
      </c>
      <c r="I358" s="1">
        <v>45323.395092592589</v>
      </c>
      <c r="J358" s="1">
        <v>42759.58216435185</v>
      </c>
      <c r="K358" cm="1">
        <f t="array" ref="K358" xml:space="preserve"> sentimentCalc(C358)</f>
        <v>5</v>
      </c>
      <c r="L358" t="str" cm="1">
        <f t="array" ref="L358" xml:space="preserve"> sentimentCategory(K358)</f>
        <v>Positive</v>
      </c>
    </row>
    <row r="359" spans="1:12">
      <c r="A359" t="s">
        <v>325</v>
      </c>
      <c r="B359" t="s">
        <v>4242</v>
      </c>
      <c r="C359" t="str" cm="1">
        <f t="array" ref="C359" xml:space="preserve"> CleanText(B359)</f>
        <v>the redemption arc hopefully begins</v>
      </c>
      <c r="D359">
        <v>1</v>
      </c>
      <c r="E359">
        <v>0</v>
      </c>
      <c r="F359" t="s">
        <v>0</v>
      </c>
      <c r="G359" t="str" cm="1">
        <f t="array" ref="G359" xml:space="preserve"> FindCountryName(F359)</f>
        <v>None</v>
      </c>
      <c r="H359" s="1">
        <v>45323.394560185188</v>
      </c>
      <c r="I359" s="1">
        <v>45323.394560185188</v>
      </c>
      <c r="J359" s="1">
        <v>42759.58216435185</v>
      </c>
      <c r="K359" cm="1">
        <f t="array" ref="K359" xml:space="preserve"> sentimentCalc(C359)</f>
        <v>2</v>
      </c>
      <c r="L359" t="str" cm="1">
        <f t="array" ref="L359" xml:space="preserve"> sentimentCategory(K359)</f>
        <v>Positive</v>
      </c>
    </row>
    <row r="360" spans="1:12">
      <c r="A360" t="s">
        <v>648</v>
      </c>
      <c r="B360" t="s">
        <v>4241</v>
      </c>
      <c r="C360" t="str" cm="1">
        <f t="array" ref="C360" xml:space="preserve"> CleanText(B360)</f>
        <v>srkleyici izleyin</v>
      </c>
      <c r="D360">
        <v>1</v>
      </c>
      <c r="E360">
        <v>0</v>
      </c>
      <c r="F360" t="s">
        <v>0</v>
      </c>
      <c r="G360" t="str" cm="1">
        <f t="array" ref="G360" xml:space="preserve"> FindCountryName(F360)</f>
        <v>None</v>
      </c>
      <c r="H360" s="1">
        <v>45323.3593287037</v>
      </c>
      <c r="I360" s="1">
        <v>45323.3593287037</v>
      </c>
      <c r="J360" s="1">
        <v>41424.037476851852</v>
      </c>
      <c r="K360" cm="1">
        <f t="array" ref="K360" xml:space="preserve"> sentimentCalc(C360)</f>
        <v>0</v>
      </c>
      <c r="L360" t="str" cm="1">
        <f t="array" ref="L360" xml:space="preserve"> sentimentCategory(K360)</f>
        <v>Neutral</v>
      </c>
    </row>
    <row r="361" spans="1:12">
      <c r="A361" t="s">
        <v>483</v>
      </c>
      <c r="B361" t="s">
        <v>4240</v>
      </c>
      <c r="C361" t="str" cm="1">
        <f t="array" ref="C361" xml:space="preserve"> CleanText(B361)</f>
        <v>mkemmel bir fragman olmu sabrszlkla bekliyorum</v>
      </c>
      <c r="D361">
        <v>1</v>
      </c>
      <c r="E361">
        <v>0</v>
      </c>
      <c r="F361" t="s">
        <v>0</v>
      </c>
      <c r="G361" t="str" cm="1">
        <f t="array" ref="G361" xml:space="preserve"> FindCountryName(F361)</f>
        <v>None</v>
      </c>
      <c r="H361" s="1">
        <v>45323.344236111108</v>
      </c>
      <c r="I361" s="1">
        <v>45323.344236111108</v>
      </c>
      <c r="J361" s="1">
        <v>42336.026226851849</v>
      </c>
      <c r="K361" cm="1">
        <f t="array" ref="K361" xml:space="preserve"> sentimentCalc(C361)</f>
        <v>0</v>
      </c>
      <c r="L361" t="str" cm="1">
        <f t="array" ref="L361" xml:space="preserve"> sentimentCategory(K361)</f>
        <v>Neutral</v>
      </c>
    </row>
    <row r="362" spans="1:12">
      <c r="A362" t="s">
        <v>1204</v>
      </c>
      <c r="B362" t="s">
        <v>4239</v>
      </c>
      <c r="C362" t="str" cm="1">
        <f t="array" ref="C362" xml:space="preserve"> CleanText(B362)</f>
        <v>mkemmel tesi bir film  zlerken her bir dakikas ayr elenceli</v>
      </c>
      <c r="D362">
        <v>1</v>
      </c>
      <c r="E362">
        <v>0</v>
      </c>
      <c r="F362" t="s">
        <v>0</v>
      </c>
      <c r="G362" t="str" cm="1">
        <f t="array" ref="G362" xml:space="preserve"> FindCountryName(F362)</f>
        <v>None</v>
      </c>
      <c r="H362" s="1">
        <v>45323.343055555553</v>
      </c>
      <c r="I362" s="1">
        <v>45323.343055555553</v>
      </c>
      <c r="J362" s="1">
        <v>42291.565069444441</v>
      </c>
      <c r="K362" cm="1">
        <f t="array" ref="K362" xml:space="preserve"> sentimentCalc(C362)</f>
        <v>0</v>
      </c>
      <c r="L362" t="str" cm="1">
        <f t="array" ref="L362" xml:space="preserve"> sentimentCategory(K362)</f>
        <v>Neutral</v>
      </c>
    </row>
    <row r="363" spans="1:12">
      <c r="A363" t="s">
        <v>291</v>
      </c>
      <c r="B363" t="s">
        <v>4238</v>
      </c>
      <c r="C363" t="str" cm="1">
        <f t="array" ref="C363" xml:space="preserve"> CleanText(B363)</f>
        <v>ok mkemmel</v>
      </c>
      <c r="D363">
        <v>1</v>
      </c>
      <c r="E363">
        <v>0</v>
      </c>
      <c r="F363" t="s">
        <v>0</v>
      </c>
      <c r="G363" t="str" cm="1">
        <f t="array" ref="G363" xml:space="preserve"> FindCountryName(F363)</f>
        <v>None</v>
      </c>
      <c r="H363" s="1">
        <v>45323.332013888888</v>
      </c>
      <c r="I363" s="1">
        <v>45323.332013888888</v>
      </c>
      <c r="J363" s="1">
        <v>41687.769050925926</v>
      </c>
      <c r="K363" cm="1">
        <f t="array" ref="K363" xml:space="preserve"> sentimentCalc(C363)</f>
        <v>0</v>
      </c>
      <c r="L363" t="str" cm="1">
        <f t="array" ref="L363" xml:space="preserve"> sentimentCategory(K363)</f>
        <v>Neutral</v>
      </c>
    </row>
    <row r="364" spans="1:12">
      <c r="A364" t="s">
        <v>190</v>
      </c>
      <c r="B364" t="s">
        <v>4237</v>
      </c>
      <c r="C364" t="str" cm="1">
        <f t="array" ref="C364" xml:space="preserve"> CleanText(B364)</f>
        <v>gzel film</v>
      </c>
      <c r="D364">
        <v>1</v>
      </c>
      <c r="E364">
        <v>0</v>
      </c>
      <c r="F364" t="s">
        <v>0</v>
      </c>
      <c r="G364" t="str" cm="1">
        <f t="array" ref="G364" xml:space="preserve"> FindCountryName(F364)</f>
        <v>None</v>
      </c>
      <c r="H364" s="1">
        <v>45323.33053240741</v>
      </c>
      <c r="I364" s="1">
        <v>45323.33053240741</v>
      </c>
      <c r="J364" s="1">
        <v>44387.567233796297</v>
      </c>
      <c r="K364" cm="1">
        <f t="array" ref="K364" xml:space="preserve"> sentimentCalc(C364)</f>
        <v>0</v>
      </c>
      <c r="L364" t="str" cm="1">
        <f t="array" ref="L364" xml:space="preserve"> sentimentCategory(K364)</f>
        <v>Neutral</v>
      </c>
    </row>
    <row r="365" spans="1:12">
      <c r="A365" t="s">
        <v>2287</v>
      </c>
      <c r="B365" t="s">
        <v>4236</v>
      </c>
      <c r="C365" t="str" cm="1">
        <f t="array" ref="C365" xml:space="preserve"> CleanText(B365)</f>
        <v>zlediim ilgin bir film kurgulamas gzel tavsiye ederim devam filmi iinde ucu ak</v>
      </c>
      <c r="D365">
        <v>1</v>
      </c>
      <c r="E365">
        <v>0</v>
      </c>
      <c r="F365" t="s">
        <v>0</v>
      </c>
      <c r="G365" t="str" cm="1">
        <f t="array" ref="G365" xml:space="preserve"> FindCountryName(F365)</f>
        <v>None</v>
      </c>
      <c r="H365" s="1">
        <v>45323.317465277774</v>
      </c>
      <c r="I365" s="1">
        <v>45323.319363425922</v>
      </c>
      <c r="J365" s="1">
        <v>39560.634236111109</v>
      </c>
      <c r="K365" cm="1">
        <f t="array" ref="K365" xml:space="preserve"> sentimentCalc(C365)</f>
        <v>0</v>
      </c>
      <c r="L365" t="str" cm="1">
        <f t="array" ref="L365" xml:space="preserve"> sentimentCategory(K365)</f>
        <v>Neutral</v>
      </c>
    </row>
    <row r="366" spans="1:12">
      <c r="A366" t="s">
        <v>430</v>
      </c>
      <c r="B366" t="s">
        <v>4100</v>
      </c>
      <c r="C366" t="str" cm="1">
        <f t="array" ref="C366" xml:space="preserve"> CleanText(B366)</f>
        <v>mkemmel</v>
      </c>
      <c r="D366">
        <v>1</v>
      </c>
      <c r="E366">
        <v>0</v>
      </c>
      <c r="F366" t="s">
        <v>0</v>
      </c>
      <c r="G366" t="str" cm="1">
        <f t="array" ref="G366" xml:space="preserve"> FindCountryName(F366)</f>
        <v>None</v>
      </c>
      <c r="H366" s="1">
        <v>45323.31622685185</v>
      </c>
      <c r="I366" s="1">
        <v>45323.31622685185</v>
      </c>
      <c r="J366" s="1">
        <v>45323.31621527778</v>
      </c>
      <c r="K366" cm="1">
        <f t="array" ref="K366" xml:space="preserve"> sentimentCalc(C366)</f>
        <v>0</v>
      </c>
      <c r="L366" t="str" cm="1">
        <f t="array" ref="L366" xml:space="preserve"> sentimentCategory(K366)</f>
        <v>Neutral</v>
      </c>
    </row>
    <row r="367" spans="1:12">
      <c r="A367" t="s">
        <v>333</v>
      </c>
      <c r="B367" t="s">
        <v>4235</v>
      </c>
      <c r="C367" t="str" cm="1">
        <f t="array" ref="C367" xml:space="preserve"> CleanText(B367)</f>
        <v>gzel</v>
      </c>
      <c r="D367">
        <v>0</v>
      </c>
      <c r="E367">
        <v>0</v>
      </c>
      <c r="F367" t="s">
        <v>0</v>
      </c>
      <c r="G367" t="str" cm="1">
        <f t="array" ref="G367" xml:space="preserve"> FindCountryName(F367)</f>
        <v>None</v>
      </c>
      <c r="H367" s="1">
        <v>45323.315833333334</v>
      </c>
      <c r="I367" s="1">
        <v>45323.315833333334</v>
      </c>
      <c r="J367" s="1">
        <v>45323.315046296295</v>
      </c>
      <c r="K367" cm="1">
        <f t="array" ref="K367" xml:space="preserve"> sentimentCalc(C367)</f>
        <v>0</v>
      </c>
      <c r="L367" t="str" cm="1">
        <f t="array" ref="L367" xml:space="preserve"> sentimentCategory(K367)</f>
        <v>Neutral</v>
      </c>
    </row>
    <row r="368" spans="1:12">
      <c r="A368" t="s">
        <v>333</v>
      </c>
      <c r="B368" t="s">
        <v>4235</v>
      </c>
      <c r="C368" t="str" cm="1">
        <f t="array" ref="C368" xml:space="preserve"> CleanText(B368)</f>
        <v>gzel</v>
      </c>
      <c r="D368">
        <v>0</v>
      </c>
      <c r="E368">
        <v>0</v>
      </c>
      <c r="F368" t="s">
        <v>0</v>
      </c>
      <c r="G368" t="str" cm="1">
        <f t="array" ref="G368" xml:space="preserve"> FindCountryName(F368)</f>
        <v>None</v>
      </c>
      <c r="H368" s="1">
        <v>45323.315520833334</v>
      </c>
      <c r="I368" s="1">
        <v>45323.315520833334</v>
      </c>
      <c r="J368" s="1">
        <v>45323.315046296295</v>
      </c>
      <c r="K368" cm="1">
        <f t="array" ref="K368" xml:space="preserve"> sentimentCalc(C368)</f>
        <v>0</v>
      </c>
      <c r="L368" t="str" cm="1">
        <f t="array" ref="L368" xml:space="preserve"> sentimentCategory(K368)</f>
        <v>Neutral</v>
      </c>
    </row>
    <row r="369" spans="1:12">
      <c r="A369" t="s">
        <v>333</v>
      </c>
      <c r="B369" t="s">
        <v>4234</v>
      </c>
      <c r="C369" t="str" cm="1">
        <f t="array" ref="C369" xml:space="preserve"> CleanText(B369)</f>
        <v>harikadir_xD83C_</v>
      </c>
      <c r="D369">
        <v>0</v>
      </c>
      <c r="E369">
        <v>0</v>
      </c>
      <c r="F369" t="s">
        <v>0</v>
      </c>
      <c r="G369" t="str" cm="1">
        <f t="array" ref="G369" xml:space="preserve"> FindCountryName(F369)</f>
        <v>None</v>
      </c>
      <c r="H369" s="1">
        <v>45323.315057870372</v>
      </c>
      <c r="I369" s="1">
        <v>45323.315057870372</v>
      </c>
      <c r="J369" s="1">
        <v>45323.315046296295</v>
      </c>
      <c r="K369" cm="1">
        <f t="array" ref="K369" xml:space="preserve"> sentimentCalc(C369)</f>
        <v>0</v>
      </c>
      <c r="L369" t="str" cm="1">
        <f t="array" ref="L369" xml:space="preserve"> sentimentCategory(K369)</f>
        <v>Neutral</v>
      </c>
    </row>
    <row r="370" spans="1:12">
      <c r="A370" t="s">
        <v>1059</v>
      </c>
      <c r="B370" t="s">
        <v>4233</v>
      </c>
      <c r="C370" t="str" cm="1">
        <f t="array" ref="C370" xml:space="preserve"> CleanText(B370)</f>
        <v>tavsiye edilecek dizi herkese tavsiye ederim</v>
      </c>
      <c r="D370">
        <v>0</v>
      </c>
      <c r="E370">
        <v>0</v>
      </c>
      <c r="F370" t="s">
        <v>0</v>
      </c>
      <c r="G370" t="str" cm="1">
        <f t="array" ref="G370" xml:space="preserve"> FindCountryName(F370)</f>
        <v>None</v>
      </c>
      <c r="H370" s="1">
        <v>45323.312060185184</v>
      </c>
      <c r="I370" s="1">
        <v>45323.312060185184</v>
      </c>
      <c r="J370" s="1">
        <v>42969.207662037035</v>
      </c>
      <c r="K370" cm="1">
        <f t="array" ref="K370" xml:space="preserve"> sentimentCalc(C370)</f>
        <v>0</v>
      </c>
      <c r="L370" t="str" cm="1">
        <f t="array" ref="L370" xml:space="preserve"> sentimentCategory(K370)</f>
        <v>Neutral</v>
      </c>
    </row>
    <row r="371" spans="1:12">
      <c r="A371" t="s">
        <v>1059</v>
      </c>
      <c r="B371" t="s">
        <v>4232</v>
      </c>
      <c r="C371" t="str" cm="1">
        <f t="array" ref="C371" xml:space="preserve"> CleanText(B371)</f>
        <v>sper diziymi</v>
      </c>
      <c r="D371">
        <v>0</v>
      </c>
      <c r="E371">
        <v>0</v>
      </c>
      <c r="F371" t="s">
        <v>0</v>
      </c>
      <c r="G371" t="str" cm="1">
        <f t="array" ref="G371" xml:space="preserve"> FindCountryName(F371)</f>
        <v>None</v>
      </c>
      <c r="H371" s="1">
        <v>45323.310717592591</v>
      </c>
      <c r="I371" s="1">
        <v>45323.310717592591</v>
      </c>
      <c r="J371" s="1">
        <v>42969.207662037035</v>
      </c>
      <c r="K371" cm="1">
        <f t="array" ref="K371" xml:space="preserve"> sentimentCalc(C371)</f>
        <v>0</v>
      </c>
      <c r="L371" t="str" cm="1">
        <f t="array" ref="L371" xml:space="preserve"> sentimentCategory(K371)</f>
        <v>Neutral</v>
      </c>
    </row>
    <row r="372" spans="1:12">
      <c r="A372" t="s">
        <v>2145</v>
      </c>
      <c r="B372" t="s">
        <v>4231</v>
      </c>
      <c r="C372" t="str" cm="1">
        <f t="array" ref="C372" xml:space="preserve"> CleanText(B372)</f>
        <v>tekrar izleyeceim</v>
      </c>
      <c r="D372">
        <v>0</v>
      </c>
      <c r="E372">
        <v>0</v>
      </c>
      <c r="F372" t="s">
        <v>0</v>
      </c>
      <c r="G372" t="str" cm="1">
        <f t="array" ref="G372" xml:space="preserve"> FindCountryName(F372)</f>
        <v>None</v>
      </c>
      <c r="H372" s="1">
        <v>45323.29550925926</v>
      </c>
      <c r="I372" s="1">
        <v>45323.29550925926</v>
      </c>
      <c r="J372" s="1">
        <v>42696.561805555553</v>
      </c>
      <c r="K372" cm="1">
        <f t="array" ref="K372" xml:space="preserve"> sentimentCalc(C372)</f>
        <v>0</v>
      </c>
      <c r="L372" t="str" cm="1">
        <f t="array" ref="L372" xml:space="preserve"> sentimentCategory(K372)</f>
        <v>Neutral</v>
      </c>
    </row>
    <row r="373" spans="1:12">
      <c r="A373" t="s">
        <v>2145</v>
      </c>
      <c r="B373" t="s">
        <v>4230</v>
      </c>
      <c r="C373" t="str" cm="1">
        <f t="array" ref="C373" xml:space="preserve"> CleanText(B373)</f>
        <v>harika</v>
      </c>
      <c r="D373">
        <v>0</v>
      </c>
      <c r="E373">
        <v>0</v>
      </c>
      <c r="F373" t="s">
        <v>0</v>
      </c>
      <c r="G373" t="str" cm="1">
        <f t="array" ref="G373" xml:space="preserve"> FindCountryName(F373)</f>
        <v>None</v>
      </c>
      <c r="H373" s="1">
        <v>45323.295347222222</v>
      </c>
      <c r="I373" s="1">
        <v>45323.295347222222</v>
      </c>
      <c r="J373" s="1">
        <v>42696.561805555553</v>
      </c>
      <c r="K373" cm="1">
        <f t="array" ref="K373" xml:space="preserve"> sentimentCalc(C373)</f>
        <v>0</v>
      </c>
      <c r="L373" t="str" cm="1">
        <f t="array" ref="L373" xml:space="preserve"> sentimentCategory(K373)</f>
        <v>Neutral</v>
      </c>
    </row>
    <row r="374" spans="1:12">
      <c r="A374" t="s">
        <v>2145</v>
      </c>
      <c r="B374" t="s">
        <v>4229</v>
      </c>
      <c r="C374" t="str" cm="1">
        <f t="array" ref="C374" xml:space="preserve"> CleanText(B374)</f>
        <v>kesin izlemelisiniz</v>
      </c>
      <c r="D374">
        <v>0</v>
      </c>
      <c r="E374">
        <v>0</v>
      </c>
      <c r="F374" t="s">
        <v>0</v>
      </c>
      <c r="G374" t="str" cm="1">
        <f t="array" ref="G374" xml:space="preserve"> FindCountryName(F374)</f>
        <v>None</v>
      </c>
      <c r="H374" s="1">
        <v>45323.295173611114</v>
      </c>
      <c r="I374" s="1">
        <v>45323.295173611114</v>
      </c>
      <c r="J374" s="1">
        <v>42696.561805555553</v>
      </c>
      <c r="K374" cm="1">
        <f t="array" ref="K374" xml:space="preserve"> sentimentCalc(C374)</f>
        <v>0</v>
      </c>
      <c r="L374" t="str" cm="1">
        <f t="array" ref="L374" xml:space="preserve"> sentimentCategory(K374)</f>
        <v>Neutral</v>
      </c>
    </row>
    <row r="375" spans="1:12">
      <c r="A375" t="s">
        <v>2145</v>
      </c>
      <c r="B375" t="s">
        <v>4228</v>
      </c>
      <c r="C375" t="str" cm="1">
        <f t="array" ref="C375" xml:space="preserve"> CleanText(B375)</f>
        <v>muhteem film</v>
      </c>
      <c r="D375">
        <v>0</v>
      </c>
      <c r="E375">
        <v>0</v>
      </c>
      <c r="F375" t="s">
        <v>0</v>
      </c>
      <c r="G375" t="str" cm="1">
        <f t="array" ref="G375" xml:space="preserve"> FindCountryName(F375)</f>
        <v>None</v>
      </c>
      <c r="H375" s="1">
        <v>45323.295011574075</v>
      </c>
      <c r="I375" s="1">
        <v>45323.295011574075</v>
      </c>
      <c r="J375" s="1">
        <v>42696.561805555553</v>
      </c>
      <c r="K375" cm="1">
        <f t="array" ref="K375" xml:space="preserve"> sentimentCalc(C375)</f>
        <v>0</v>
      </c>
      <c r="L375" t="str" cm="1">
        <f t="array" ref="L375" xml:space="preserve"> sentimentCategory(K375)</f>
        <v>Neutral</v>
      </c>
    </row>
    <row r="376" spans="1:12">
      <c r="A376" t="s">
        <v>2145</v>
      </c>
      <c r="B376" t="s">
        <v>4227</v>
      </c>
      <c r="C376" t="str" cm="1">
        <f t="array" ref="C376" xml:space="preserve"> CleanText(B376)</f>
        <v>harika bir film tavsiye ederim</v>
      </c>
      <c r="D376">
        <v>0</v>
      </c>
      <c r="E376">
        <v>0</v>
      </c>
      <c r="F376" t="s">
        <v>0</v>
      </c>
      <c r="G376" t="str" cm="1">
        <f t="array" ref="G376" xml:space="preserve"> FindCountryName(F376)</f>
        <v>None</v>
      </c>
      <c r="H376" s="1">
        <v>45323.294861111113</v>
      </c>
      <c r="I376" s="1">
        <v>45323.294861111113</v>
      </c>
      <c r="J376" s="1">
        <v>42696.561805555553</v>
      </c>
      <c r="K376" cm="1">
        <f t="array" ref="K376" xml:space="preserve"> sentimentCalc(C376)</f>
        <v>0</v>
      </c>
      <c r="L376" t="str" cm="1">
        <f t="array" ref="L376" xml:space="preserve"> sentimentCategory(K376)</f>
        <v>Neutral</v>
      </c>
    </row>
    <row r="377" spans="1:12">
      <c r="A377" t="s">
        <v>4226</v>
      </c>
      <c r="B377" t="s">
        <v>4225</v>
      </c>
      <c r="C377" t="str" cm="1">
        <f t="array" ref="C377" xml:space="preserve"> CleanText(B377)</f>
        <v>harika bir film izledim</v>
      </c>
      <c r="D377">
        <v>0</v>
      </c>
      <c r="E377">
        <v>0</v>
      </c>
      <c r="F377" t="s">
        <v>0</v>
      </c>
      <c r="G377" t="str" cm="1">
        <f t="array" ref="G377" xml:space="preserve"> FindCountryName(F377)</f>
        <v>None</v>
      </c>
      <c r="H377" s="1">
        <v>45323.293773148151</v>
      </c>
      <c r="I377" s="1">
        <v>45323.293773148151</v>
      </c>
      <c r="J377" s="1">
        <v>45058.435243055559</v>
      </c>
      <c r="K377" cm="1">
        <f t="array" ref="K377" xml:space="preserve"> sentimentCalc(C377)</f>
        <v>0</v>
      </c>
      <c r="L377" t="str" cm="1">
        <f t="array" ref="L377" xml:space="preserve"> sentimentCategory(K377)</f>
        <v>Neutral</v>
      </c>
    </row>
    <row r="378" spans="1:12">
      <c r="A378" t="s">
        <v>221</v>
      </c>
      <c r="B378" t="s">
        <v>4224</v>
      </c>
      <c r="C378" t="str" cm="1">
        <f t="array" ref="C378" xml:space="preserve"> CleanText(B378)</f>
        <v>zlemeye deer</v>
      </c>
      <c r="D378">
        <v>0</v>
      </c>
      <c r="E378">
        <v>0</v>
      </c>
      <c r="F378" t="s">
        <v>0</v>
      </c>
      <c r="G378" t="str" cm="1">
        <f t="array" ref="G378" xml:space="preserve"> FindCountryName(F378)</f>
        <v>None</v>
      </c>
      <c r="H378" s="1">
        <v>45323.289988425924</v>
      </c>
      <c r="I378" s="1">
        <v>45323.289988425924</v>
      </c>
      <c r="J378" s="1">
        <v>41823.879918981482</v>
      </c>
      <c r="K378" cm="1">
        <f t="array" ref="K378" xml:space="preserve"> sentimentCalc(C378)</f>
        <v>0</v>
      </c>
      <c r="L378" t="str" cm="1">
        <f t="array" ref="L378" xml:space="preserve"> sentimentCategory(K378)</f>
        <v>Neutral</v>
      </c>
    </row>
    <row r="379" spans="1:12">
      <c r="A379" t="s">
        <v>198</v>
      </c>
      <c r="B379" t="s">
        <v>4223</v>
      </c>
      <c r="C379" t="str" cm="1">
        <f t="array" ref="C379" xml:space="preserve"> CleanText(B379)</f>
        <v>u ana kadar izlediim en iyi filmler arasnda_xDF89_</v>
      </c>
      <c r="D379">
        <v>0</v>
      </c>
      <c r="E379">
        <v>0</v>
      </c>
      <c r="F379" t="s">
        <v>1523</v>
      </c>
      <c r="G379" t="str" cm="1">
        <f t="array" ref="G379" xml:space="preserve"> FindCountryName(F379)</f>
        <v>Turkey</v>
      </c>
      <c r="H379" s="1">
        <v>45323.289155092592</v>
      </c>
      <c r="I379" s="1">
        <v>45323.289155092592</v>
      </c>
      <c r="J379" s="1">
        <v>44474.567199074074</v>
      </c>
      <c r="K379" cm="1">
        <f t="array" ref="K379" xml:space="preserve"> sentimentCalc(C379)</f>
        <v>0</v>
      </c>
      <c r="L379" t="str" cm="1">
        <f t="array" ref="L379" xml:space="preserve"> sentimentCategory(K379)</f>
        <v>Neutral</v>
      </c>
    </row>
    <row r="380" spans="1:12">
      <c r="A380" t="s">
        <v>2331</v>
      </c>
      <c r="B380" t="s">
        <v>4222</v>
      </c>
      <c r="C380" t="str" cm="1">
        <f t="array" ref="C380" xml:space="preserve"> CleanText(B380)</f>
        <v>4 kalite akyor</v>
      </c>
      <c r="D380">
        <v>0</v>
      </c>
      <c r="E380">
        <v>0</v>
      </c>
      <c r="F380" t="s">
        <v>0</v>
      </c>
      <c r="G380" t="str" cm="1">
        <f t="array" ref="G380" xml:space="preserve"> FindCountryName(F380)</f>
        <v>None</v>
      </c>
      <c r="H380" s="1">
        <v>45323.287395833337</v>
      </c>
      <c r="I380" s="1">
        <v>45323.287395833337</v>
      </c>
      <c r="J380" s="1">
        <v>43524.50335648148</v>
      </c>
      <c r="K380" cm="1">
        <f t="array" ref="K380" xml:space="preserve"> sentimentCalc(C380)</f>
        <v>0</v>
      </c>
      <c r="L380" t="str" cm="1">
        <f t="array" ref="L380" xml:space="preserve"> sentimentCategory(K380)</f>
        <v>Neutral</v>
      </c>
    </row>
    <row r="381" spans="1:12">
      <c r="A381" t="s">
        <v>28</v>
      </c>
      <c r="B381" t="s">
        <v>4221</v>
      </c>
      <c r="C381" t="str" cm="1">
        <f t="array" ref="C381" xml:space="preserve"> CleanText(B381)</f>
        <v>0 whatever it takes</v>
      </c>
      <c r="D381">
        <v>0</v>
      </c>
      <c r="E381">
        <v>0</v>
      </c>
      <c r="F381" t="s">
        <v>633</v>
      </c>
      <c r="G381" t="str" cm="1">
        <f t="array" ref="G381" xml:space="preserve"> FindCountryName(F381)</f>
        <v>Indonesia</v>
      </c>
      <c r="H381" s="1">
        <v>45323.285254629627</v>
      </c>
      <c r="I381" s="1">
        <v>45323.285254629627</v>
      </c>
      <c r="J381" s="1">
        <v>42513.355914351851</v>
      </c>
      <c r="K381" cm="1">
        <f t="array" ref="K381" xml:space="preserve"> sentimentCalc(C381)</f>
        <v>0</v>
      </c>
      <c r="L381" t="str" cm="1">
        <f t="array" ref="L381" xml:space="preserve"> sentimentCategory(K381)</f>
        <v>Neutral</v>
      </c>
    </row>
    <row r="382" spans="1:12">
      <c r="A382" t="s">
        <v>1338</v>
      </c>
      <c r="B382" t="s">
        <v>4220</v>
      </c>
      <c r="C382" t="str" cm="1">
        <f t="array" ref="C382" xml:space="preserve"> CleanText(B382)</f>
        <v>zlemek iin sabrszlanyorum ok iyi bir film olacana eminim _xDC4F_</v>
      </c>
      <c r="D382">
        <v>0</v>
      </c>
      <c r="E382">
        <v>0</v>
      </c>
      <c r="F382" t="s">
        <v>0</v>
      </c>
      <c r="G382" t="str" cm="1">
        <f t="array" ref="G382" xml:space="preserve"> FindCountryName(F382)</f>
        <v>None</v>
      </c>
      <c r="H382" s="1">
        <v>45323.282210648147</v>
      </c>
      <c r="I382" s="1">
        <v>45323.282210648147</v>
      </c>
      <c r="J382" s="1">
        <v>45323.282199074078</v>
      </c>
      <c r="K382" cm="1">
        <f t="array" ref="K382" xml:space="preserve"> sentimentCalc(C382)</f>
        <v>0</v>
      </c>
      <c r="L382" t="str" cm="1">
        <f t="array" ref="L382" xml:space="preserve"> sentimentCategory(K382)</f>
        <v>Neutral</v>
      </c>
    </row>
    <row r="383" spans="1:12">
      <c r="A383" t="s">
        <v>2202</v>
      </c>
      <c r="B383" t="s">
        <v>758</v>
      </c>
      <c r="C383" t="str" cm="1">
        <f t="array" ref="C383" xml:space="preserve"> CleanText(B383)</f>
        <v>nice</v>
      </c>
      <c r="D383">
        <v>0</v>
      </c>
      <c r="E383">
        <v>0</v>
      </c>
      <c r="F383" t="s">
        <v>1523</v>
      </c>
      <c r="G383" t="str" cm="1">
        <f t="array" ref="G383" xml:space="preserve"> FindCountryName(F383)</f>
        <v>Turkey</v>
      </c>
      <c r="H383" s="1">
        <v>45323.273981481485</v>
      </c>
      <c r="I383" s="1">
        <v>45323.273981481485</v>
      </c>
      <c r="J383" s="1">
        <v>41674.600578703707</v>
      </c>
      <c r="K383" cm="1">
        <f t="array" ref="K383" xml:space="preserve"> sentimentCalc(C383)</f>
        <v>3</v>
      </c>
      <c r="L383" t="str" cm="1">
        <f t="array" ref="L383" xml:space="preserve"> sentimentCategory(K383)</f>
        <v>Positive</v>
      </c>
    </row>
    <row r="384" spans="1:12">
      <c r="A384" t="s">
        <v>4219</v>
      </c>
      <c r="B384" t="s">
        <v>4218</v>
      </c>
      <c r="C384" t="str" cm="1">
        <f t="array" ref="C384" xml:space="preserve"> CleanText(B384)</f>
        <v>ben hi bu kadar keyif almadm almamtm herkese izlemesini tavsiye ederim ok keyif alacaksnz bu filimden eminim iyi seyirler imdi den _xDD29_</v>
      </c>
      <c r="D384">
        <v>0</v>
      </c>
      <c r="E384">
        <v>0</v>
      </c>
      <c r="F384" t="s">
        <v>0</v>
      </c>
      <c r="G384" t="str" cm="1">
        <f t="array" ref="G384" xml:space="preserve"> FindCountryName(F384)</f>
        <v>None</v>
      </c>
      <c r="H384" s="1">
        <v>45323.272719907407</v>
      </c>
      <c r="I384" s="1">
        <v>45323.272719907407</v>
      </c>
      <c r="J384" s="1">
        <v>45323.271006944444</v>
      </c>
      <c r="K384" cm="1">
        <f t="array" ref="K384" xml:space="preserve"> sentimentCalc(C384)</f>
        <v>0</v>
      </c>
      <c r="L384" t="str" cm="1">
        <f t="array" ref="L384" xml:space="preserve"> sentimentCategory(K384)</f>
        <v>Neutral</v>
      </c>
    </row>
    <row r="385" spans="1:12">
      <c r="A385" t="s">
        <v>97</v>
      </c>
      <c r="B385" t="s">
        <v>4217</v>
      </c>
      <c r="C385" t="str" cm="1">
        <f t="array" ref="C385" xml:space="preserve"> CleanText(B385)</f>
        <v>t was really nice we missed and</v>
      </c>
      <c r="D385">
        <v>0</v>
      </c>
      <c r="E385">
        <v>0</v>
      </c>
      <c r="F385" t="s">
        <v>0</v>
      </c>
      <c r="G385" t="str" cm="1">
        <f t="array" ref="G385" xml:space="preserve"> FindCountryName(F385)</f>
        <v>None</v>
      </c>
      <c r="H385" s="1">
        <v>45323.271921296298</v>
      </c>
      <c r="I385" s="1">
        <v>45323.271921296298</v>
      </c>
      <c r="J385" s="1">
        <v>44068.446655092594</v>
      </c>
      <c r="K385" cm="1">
        <f t="array" ref="K385" xml:space="preserve"> sentimentCalc(C385)</f>
        <v>1</v>
      </c>
      <c r="L385" t="str" cm="1">
        <f t="array" ref="L385" xml:space="preserve"> sentimentCategory(K385)</f>
        <v>Positive</v>
      </c>
    </row>
    <row r="386" spans="1:12">
      <c r="A386" t="s">
        <v>273</v>
      </c>
      <c r="B386" t="s">
        <v>4216</v>
      </c>
      <c r="C386" t="str" cm="1">
        <f t="array" ref="C386" xml:space="preserve"> CleanText(B386)</f>
        <v>tam anlamyla mkemmeldi ok gzel</v>
      </c>
      <c r="D386">
        <v>0</v>
      </c>
      <c r="E386">
        <v>0</v>
      </c>
      <c r="F386" t="s">
        <v>0</v>
      </c>
      <c r="G386" t="str" cm="1">
        <f t="array" ref="G386" xml:space="preserve"> FindCountryName(F386)</f>
        <v>None</v>
      </c>
      <c r="H386" s="1">
        <v>45323.264918981484</v>
      </c>
      <c r="I386" s="1">
        <v>45323.264918981484</v>
      </c>
      <c r="J386" s="1">
        <v>43280.637986111113</v>
      </c>
      <c r="K386" cm="1">
        <f t="array" ref="K386" xml:space="preserve"> sentimentCalc(C386)</f>
        <v>0</v>
      </c>
      <c r="L386" t="str" cm="1">
        <f t="array" ref="L386" xml:space="preserve"> sentimentCategory(K386)</f>
        <v>Neutral</v>
      </c>
    </row>
    <row r="387" spans="1:12">
      <c r="A387" t="s">
        <v>1525</v>
      </c>
      <c r="B387" t="s">
        <v>4215</v>
      </c>
      <c r="C387" t="str" cm="1">
        <f t="array" ref="C387" xml:space="preserve"> CleanText(B387)</f>
        <v>ok gzel bir film bu</v>
      </c>
      <c r="D387">
        <v>0</v>
      </c>
      <c r="E387">
        <v>0</v>
      </c>
      <c r="F387" t="s">
        <v>0</v>
      </c>
      <c r="G387" t="str" cm="1">
        <f t="array" ref="G387" xml:space="preserve"> FindCountryName(F387)</f>
        <v>None</v>
      </c>
      <c r="H387" s="1">
        <v>45323.263182870367</v>
      </c>
      <c r="I387" s="1">
        <v>45323.263182870367</v>
      </c>
      <c r="J387" s="1">
        <v>42738.419131944444</v>
      </c>
      <c r="K387" cm="1">
        <f t="array" ref="K387" xml:space="preserve"> sentimentCalc(C387)</f>
        <v>0</v>
      </c>
      <c r="L387" t="str" cm="1">
        <f t="array" ref="L387" xml:space="preserve"> sentimentCategory(K387)</f>
        <v>Neutral</v>
      </c>
    </row>
    <row r="388" spans="1:12">
      <c r="A388" t="s">
        <v>547</v>
      </c>
      <c r="B388" t="s">
        <v>4214</v>
      </c>
      <c r="C388" t="str" cm="1">
        <f t="array" ref="C388" xml:space="preserve"> CleanText(B388)</f>
        <v>م م وتق مهه ن ه n</v>
      </c>
      <c r="D388">
        <v>0</v>
      </c>
      <c r="E388">
        <v>0</v>
      </c>
      <c r="F388" t="s">
        <v>0</v>
      </c>
      <c r="G388" t="str" cm="1">
        <f t="array" ref="G388" xml:space="preserve"> FindCountryName(F388)</f>
        <v>None</v>
      </c>
      <c r="H388" s="1">
        <v>45323.262499999997</v>
      </c>
      <c r="I388" s="1">
        <v>45323.262499999997</v>
      </c>
      <c r="J388" s="1">
        <v>41860.779745370368</v>
      </c>
      <c r="K388" cm="1">
        <f t="array" ref="K388" xml:space="preserve"> sentimentCalc(C388)</f>
        <v>0</v>
      </c>
      <c r="L388" t="str" cm="1">
        <f t="array" ref="L388" xml:space="preserve"> sentimentCategory(K388)</f>
        <v>Neutral</v>
      </c>
    </row>
    <row r="389" spans="1:12">
      <c r="A389" t="s">
        <v>82</v>
      </c>
      <c r="B389" t="s">
        <v>4213</v>
      </c>
      <c r="C389" t="str" cm="1">
        <f t="array" ref="C389" xml:space="preserve"> CleanText(B389)</f>
        <v>mkemmel tesi olcak gibi duruyor bire bir avatar</v>
      </c>
      <c r="D389">
        <v>0</v>
      </c>
      <c r="E389">
        <v>0</v>
      </c>
      <c r="F389" t="s">
        <v>1523</v>
      </c>
      <c r="G389" t="str" cm="1">
        <f t="array" ref="G389" xml:space="preserve"> FindCountryName(F389)</f>
        <v>Turkey</v>
      </c>
      <c r="H389" s="1">
        <v>45323.261041666665</v>
      </c>
      <c r="I389" s="1">
        <v>45323.261041666665</v>
      </c>
      <c r="J389" s="1">
        <v>43609.645451388889</v>
      </c>
      <c r="K389" cm="1">
        <f t="array" ref="K389" xml:space="preserve"> sentimentCalc(C389)</f>
        <v>0</v>
      </c>
      <c r="L389" t="str" cm="1">
        <f t="array" ref="L389" xml:space="preserve"> sentimentCategory(K389)</f>
        <v>Neutral</v>
      </c>
    </row>
    <row r="390" spans="1:12">
      <c r="A390" t="s">
        <v>1755</v>
      </c>
      <c r="B390" t="s">
        <v>4212</v>
      </c>
      <c r="C390" t="str" cm="1">
        <f t="array" ref="C390" xml:space="preserve"> CleanText(B390)</f>
        <v>ok gzel bir film kesinlikle izlemelisin</v>
      </c>
      <c r="D390">
        <v>0</v>
      </c>
      <c r="E390">
        <v>0</v>
      </c>
      <c r="F390" t="s">
        <v>0</v>
      </c>
      <c r="G390" t="str" cm="1">
        <f t="array" ref="G390" xml:space="preserve"> FindCountryName(F390)</f>
        <v>None</v>
      </c>
      <c r="H390" s="1">
        <v>45323.260960648149</v>
      </c>
      <c r="I390" s="1">
        <v>45323.260960648149</v>
      </c>
      <c r="J390" s="1">
        <v>41476.716099537036</v>
      </c>
      <c r="K390" cm="1">
        <f t="array" ref="K390" xml:space="preserve"> sentimentCalc(C390)</f>
        <v>0</v>
      </c>
      <c r="L390" t="str" cm="1">
        <f t="array" ref="L390" xml:space="preserve"> sentimentCategory(K390)</f>
        <v>Neutral</v>
      </c>
    </row>
    <row r="391" spans="1:12">
      <c r="A391" t="s">
        <v>361</v>
      </c>
      <c r="B391" t="s">
        <v>4211</v>
      </c>
      <c r="C391" t="str" cm="1">
        <f t="array" ref="C391" xml:space="preserve"> CleanText(B391)</f>
        <v>son zamanlarda izledigim surukleyici ve heyacan dolu en iyi film</v>
      </c>
      <c r="D391">
        <v>0</v>
      </c>
      <c r="E391">
        <v>0</v>
      </c>
      <c r="F391" t="s">
        <v>0</v>
      </c>
      <c r="G391" t="str" cm="1">
        <f t="array" ref="G391" xml:space="preserve"> FindCountryName(F391)</f>
        <v>None</v>
      </c>
      <c r="H391" s="1">
        <v>45323.259421296294</v>
      </c>
      <c r="I391" s="1">
        <v>45323.259421296294</v>
      </c>
      <c r="J391" s="1">
        <v>44226.702037037037</v>
      </c>
      <c r="K391" cm="1">
        <f t="array" ref="K391" xml:space="preserve"> sentimentCalc(C391)</f>
        <v>0</v>
      </c>
      <c r="L391" t="str" cm="1">
        <f t="array" ref="L391" xml:space="preserve"> sentimentCategory(K391)</f>
        <v>Neutral</v>
      </c>
    </row>
    <row r="392" spans="1:12">
      <c r="A392" t="s">
        <v>1178</v>
      </c>
      <c r="B392" t="s">
        <v>4209</v>
      </c>
      <c r="C392" t="str" cm="1">
        <f t="array" ref="C392" xml:space="preserve"> CleanText(B392)</f>
        <v>harika ve ok gzel olmu ok baarl ✅✅</v>
      </c>
      <c r="D392">
        <v>0</v>
      </c>
      <c r="E392">
        <v>0</v>
      </c>
      <c r="F392" t="s">
        <v>0</v>
      </c>
      <c r="G392" t="str" cm="1">
        <f t="array" ref="G392" xml:space="preserve"> FindCountryName(F392)</f>
        <v>None</v>
      </c>
      <c r="H392" s="1">
        <v>45323.258645833332</v>
      </c>
      <c r="I392" s="1">
        <v>45323.258645833332</v>
      </c>
      <c r="J392" s="1">
        <v>45323.257673611108</v>
      </c>
      <c r="K392" cm="1">
        <f t="array" ref="K392" xml:space="preserve"> sentimentCalc(C392)</f>
        <v>0</v>
      </c>
      <c r="L392" t="str" cm="1">
        <f t="array" ref="L392" xml:space="preserve"> sentimentCategory(K392)</f>
        <v>Neutral</v>
      </c>
    </row>
    <row r="393" spans="1:12">
      <c r="A393" t="s">
        <v>547</v>
      </c>
      <c r="B393" t="s">
        <v>4067</v>
      </c>
      <c r="C393" t="str" cm="1">
        <f t="array" ref="C393" xml:space="preserve"> CleanText(B393)</f>
        <v>ok gzel</v>
      </c>
      <c r="D393">
        <v>0</v>
      </c>
      <c r="E393">
        <v>0</v>
      </c>
      <c r="F393" t="s">
        <v>0</v>
      </c>
      <c r="G393" t="str" cm="1">
        <f t="array" ref="G393" xml:space="preserve"> FindCountryName(F393)</f>
        <v>None</v>
      </c>
      <c r="H393" s="1">
        <v>45323.258472222224</v>
      </c>
      <c r="I393" s="1">
        <v>45323.258472222224</v>
      </c>
      <c r="J393" s="1">
        <v>45323.258460648147</v>
      </c>
      <c r="K393" cm="1">
        <f t="array" ref="K393" xml:space="preserve"> sentimentCalc(C393)</f>
        <v>0</v>
      </c>
      <c r="L393" t="str" cm="1">
        <f t="array" ref="L393" xml:space="preserve"> sentimentCategory(K393)</f>
        <v>Neutral</v>
      </c>
    </row>
    <row r="394" spans="1:12">
      <c r="A394" t="s">
        <v>653</v>
      </c>
      <c r="B394" t="s">
        <v>4210</v>
      </c>
      <c r="C394" t="str" cm="1">
        <f t="array" ref="C394" xml:space="preserve"> CleanText(B394)</f>
        <v>ok gzel olmu elinize salk</v>
      </c>
      <c r="D394">
        <v>0</v>
      </c>
      <c r="E394">
        <v>0</v>
      </c>
      <c r="F394" t="s">
        <v>0</v>
      </c>
      <c r="G394" t="str" cm="1">
        <f t="array" ref="G394" xml:space="preserve"> FindCountryName(F394)</f>
        <v>None</v>
      </c>
      <c r="H394" s="1">
        <v>45323.258159722223</v>
      </c>
      <c r="I394" s="1">
        <v>45323.258159722223</v>
      </c>
      <c r="J394" s="1">
        <v>42881.127916666665</v>
      </c>
      <c r="K394" cm="1">
        <f t="array" ref="K394" xml:space="preserve"> sentimentCalc(C394)</f>
        <v>0</v>
      </c>
      <c r="L394" t="str" cm="1">
        <f t="array" ref="L394" xml:space="preserve"> sentimentCategory(K394)</f>
        <v>Neutral</v>
      </c>
    </row>
    <row r="395" spans="1:12">
      <c r="A395" t="s">
        <v>1178</v>
      </c>
      <c r="B395" t="s">
        <v>4209</v>
      </c>
      <c r="C395" t="str" cm="1">
        <f t="array" ref="C395" xml:space="preserve"> CleanText(B395)</f>
        <v>harika ve ok gzel olmu ok baarl ✅✅</v>
      </c>
      <c r="D395">
        <v>0</v>
      </c>
      <c r="E395">
        <v>0</v>
      </c>
      <c r="F395" t="s">
        <v>0</v>
      </c>
      <c r="G395" t="str" cm="1">
        <f t="array" ref="G395" xml:space="preserve"> FindCountryName(F395)</f>
        <v>None</v>
      </c>
      <c r="H395" s="1">
        <v>45323.258159722223</v>
      </c>
      <c r="I395" s="1">
        <v>45323.258159722223</v>
      </c>
      <c r="J395" s="1">
        <v>45323.257673611108</v>
      </c>
      <c r="K395" cm="1">
        <f t="array" ref="K395" xml:space="preserve"> sentimentCalc(C395)</f>
        <v>0</v>
      </c>
      <c r="L395" t="str" cm="1">
        <f t="array" ref="L395" xml:space="preserve"> sentimentCategory(K395)</f>
        <v>Neutral</v>
      </c>
    </row>
    <row r="396" spans="1:12">
      <c r="A396" t="s">
        <v>273</v>
      </c>
      <c r="B396" t="s">
        <v>4044</v>
      </c>
      <c r="C396" t="str" cm="1">
        <f t="array" ref="C396" xml:space="preserve"> CleanText(B396)</f>
        <v>sper</v>
      </c>
      <c r="D396">
        <v>0</v>
      </c>
      <c r="E396">
        <v>0</v>
      </c>
      <c r="F396" t="s">
        <v>0</v>
      </c>
      <c r="G396" t="str" cm="1">
        <f t="array" ref="G396" xml:space="preserve"> FindCountryName(F396)</f>
        <v>None</v>
      </c>
      <c r="H396" s="1">
        <v>45323.258055555554</v>
      </c>
      <c r="I396" s="1">
        <v>45323.258055555554</v>
      </c>
      <c r="J396" s="1">
        <v>43458.66978009259</v>
      </c>
      <c r="K396" cm="1">
        <f t="array" ref="K396" xml:space="preserve"> sentimentCalc(C396)</f>
        <v>0</v>
      </c>
      <c r="L396" t="str" cm="1">
        <f t="array" ref="L396" xml:space="preserve"> sentimentCategory(K396)</f>
        <v>Neutral</v>
      </c>
    </row>
    <row r="397" spans="1:12">
      <c r="A397" t="s">
        <v>1178</v>
      </c>
      <c r="B397" t="s">
        <v>4208</v>
      </c>
      <c r="C397" t="str" cm="1">
        <f t="array" ref="C397" xml:space="preserve"> CleanText(B397)</f>
        <v>harika ve ok gzel ok baarl olmu✅✅</v>
      </c>
      <c r="D397">
        <v>0</v>
      </c>
      <c r="E397">
        <v>0</v>
      </c>
      <c r="F397" t="s">
        <v>0</v>
      </c>
      <c r="G397" t="str" cm="1">
        <f t="array" ref="G397" xml:space="preserve"> FindCountryName(F397)</f>
        <v>None</v>
      </c>
      <c r="H397" s="1">
        <v>45323.257685185185</v>
      </c>
      <c r="I397" s="1">
        <v>45323.257685185185</v>
      </c>
      <c r="J397" s="1">
        <v>45323.257673611108</v>
      </c>
      <c r="K397" cm="1">
        <f t="array" ref="K397" xml:space="preserve"> sentimentCalc(C397)</f>
        <v>0</v>
      </c>
      <c r="L397" t="str" cm="1">
        <f t="array" ref="L397" xml:space="preserve"> sentimentCategory(K397)</f>
        <v>Neutral</v>
      </c>
    </row>
    <row r="398" spans="1:12">
      <c r="A398" t="s">
        <v>273</v>
      </c>
      <c r="B398" t="s">
        <v>4207</v>
      </c>
      <c r="C398" t="str" cm="1">
        <f t="array" ref="C398" xml:space="preserve"> CleanText(B398)</f>
        <v>ok gzel ve surukleyici</v>
      </c>
      <c r="D398">
        <v>0</v>
      </c>
      <c r="E398">
        <v>0</v>
      </c>
      <c r="F398" t="s">
        <v>0</v>
      </c>
      <c r="G398" t="str" cm="1">
        <f t="array" ref="G398" xml:space="preserve"> FindCountryName(F398)</f>
        <v>None</v>
      </c>
      <c r="H398" s="1">
        <v>45323.25708333333</v>
      </c>
      <c r="I398" s="1">
        <v>45323.25708333333</v>
      </c>
      <c r="J398" s="1">
        <v>40859.775983796295</v>
      </c>
      <c r="K398" cm="1">
        <f t="array" ref="K398" xml:space="preserve"> sentimentCalc(C398)</f>
        <v>0</v>
      </c>
      <c r="L398" t="str" cm="1">
        <f t="array" ref="L398" xml:space="preserve"> sentimentCategory(K398)</f>
        <v>Neutral</v>
      </c>
    </row>
    <row r="399" spans="1:12">
      <c r="A399" t="s">
        <v>4206</v>
      </c>
      <c r="B399" t="s">
        <v>4205</v>
      </c>
      <c r="C399" t="str" cm="1">
        <f t="array" ref="C399" xml:space="preserve"> CleanText(B399)</f>
        <v>bu film ar elenceli bir film tavsiye ediyorum ailecek izlenecek bir film</v>
      </c>
      <c r="D399">
        <v>0</v>
      </c>
      <c r="E399">
        <v>0</v>
      </c>
      <c r="F399" t="s">
        <v>0</v>
      </c>
      <c r="G399" t="str" cm="1">
        <f t="array" ref="G399" xml:space="preserve"> FindCountryName(F399)</f>
        <v>None</v>
      </c>
      <c r="H399" s="1">
        <v>45323.256874999999</v>
      </c>
      <c r="I399" s="1">
        <v>45323.256874999999</v>
      </c>
      <c r="J399" s="1">
        <v>42792.392546296294</v>
      </c>
      <c r="K399" cm="1">
        <f t="array" ref="K399" xml:space="preserve"> sentimentCalc(C399)</f>
        <v>0</v>
      </c>
      <c r="L399" t="str" cm="1">
        <f t="array" ref="L399" xml:space="preserve"> sentimentCategory(K399)</f>
        <v>Neutral</v>
      </c>
    </row>
    <row r="400" spans="1:12">
      <c r="A400" t="s">
        <v>547</v>
      </c>
      <c r="B400" t="s">
        <v>4204</v>
      </c>
      <c r="C400" t="str" cm="1">
        <f t="array" ref="C400" xml:space="preserve"> CleanText(B400)</f>
        <v>bu film ok gzel iddetle tavsiye ediyorum</v>
      </c>
      <c r="D400">
        <v>0</v>
      </c>
      <c r="E400">
        <v>0</v>
      </c>
      <c r="F400" t="s">
        <v>0</v>
      </c>
      <c r="G400" t="str" cm="1">
        <f t="array" ref="G400" xml:space="preserve"> FindCountryName(F400)</f>
        <v>None</v>
      </c>
      <c r="H400" s="1">
        <v>45323.255879629629</v>
      </c>
      <c r="I400" s="1">
        <v>45323.255879629629</v>
      </c>
      <c r="J400" s="1">
        <v>45323.255624999998</v>
      </c>
      <c r="K400" cm="1">
        <f t="array" ref="K400" xml:space="preserve"> sentimentCalc(C400)</f>
        <v>0</v>
      </c>
      <c r="L400" t="str" cm="1">
        <f t="array" ref="L400" xml:space="preserve"> sentimentCategory(K400)</f>
        <v>Neutral</v>
      </c>
    </row>
    <row r="401" spans="1:12">
      <c r="A401" t="s">
        <v>547</v>
      </c>
      <c r="B401" t="s">
        <v>4204</v>
      </c>
      <c r="C401" t="str" cm="1">
        <f t="array" ref="C401" xml:space="preserve"> CleanText(B401)</f>
        <v>bu film ok gzel iddetle tavsiye ediyorum</v>
      </c>
      <c r="D401">
        <v>0</v>
      </c>
      <c r="E401">
        <v>0</v>
      </c>
      <c r="F401" t="s">
        <v>0</v>
      </c>
      <c r="G401" t="str" cm="1">
        <f t="array" ref="G401" xml:space="preserve"> FindCountryName(F401)</f>
        <v>None</v>
      </c>
      <c r="H401" s="1">
        <v>45323.255636574075</v>
      </c>
      <c r="I401" s="1">
        <v>45323.255636574075</v>
      </c>
      <c r="J401" s="1">
        <v>45323.255624999998</v>
      </c>
      <c r="K401" cm="1">
        <f t="array" ref="K401" xml:space="preserve"> sentimentCalc(C401)</f>
        <v>0</v>
      </c>
      <c r="L401" t="str" cm="1">
        <f t="array" ref="L401" xml:space="preserve"> sentimentCategory(K401)</f>
        <v>Neutral</v>
      </c>
    </row>
    <row r="402" spans="1:12">
      <c r="A402" t="s">
        <v>153</v>
      </c>
      <c r="B402" t="s">
        <v>4203</v>
      </c>
      <c r="C402" t="str" cm="1">
        <f t="array" ref="C402" xml:space="preserve"> CleanText(B402)</f>
        <v>ok gzel bir film</v>
      </c>
      <c r="D402">
        <v>0</v>
      </c>
      <c r="E402">
        <v>0</v>
      </c>
      <c r="F402" t="s">
        <v>0</v>
      </c>
      <c r="G402" t="str" cm="1">
        <f t="array" ref="G402" xml:space="preserve"> FindCountryName(F402)</f>
        <v>None</v>
      </c>
      <c r="H402" s="1">
        <v>45323.255057870374</v>
      </c>
      <c r="I402" s="1">
        <v>45323.255057870374</v>
      </c>
      <c r="J402" s="1">
        <v>44039.52175925926</v>
      </c>
      <c r="K402" cm="1">
        <f t="array" ref="K402" xml:space="preserve"> sentimentCalc(C402)</f>
        <v>0</v>
      </c>
      <c r="L402" t="str" cm="1">
        <f t="array" ref="L402" xml:space="preserve"> sentimentCategory(K402)</f>
        <v>Neutral</v>
      </c>
    </row>
    <row r="403" spans="1:12">
      <c r="A403" t="s">
        <v>196</v>
      </c>
      <c r="B403" t="s">
        <v>4202</v>
      </c>
      <c r="C403" t="str" cm="1">
        <f t="array" ref="C403" xml:space="preserve"> CleanText(B403)</f>
        <v>netflix araclyla drt gzle o gn bekliyorum _xDF89_</v>
      </c>
      <c r="D403">
        <v>0</v>
      </c>
      <c r="E403">
        <v>0</v>
      </c>
      <c r="F403" t="s">
        <v>0</v>
      </c>
      <c r="G403" t="str" cm="1">
        <f t="array" ref="G403" xml:space="preserve"> FindCountryName(F403)</f>
        <v>None</v>
      </c>
      <c r="H403" s="1">
        <v>45323.254872685182</v>
      </c>
      <c r="I403" s="1">
        <v>45323.254872685182</v>
      </c>
      <c r="J403" s="1">
        <v>43921.203981481478</v>
      </c>
      <c r="K403" cm="1">
        <f t="array" ref="K403" xml:space="preserve"> sentimentCalc(C403)</f>
        <v>0</v>
      </c>
      <c r="L403" t="str" cm="1">
        <f t="array" ref="L403" xml:space="preserve"> sentimentCategory(K403)</f>
        <v>Neutral</v>
      </c>
    </row>
    <row r="404" spans="1:12">
      <c r="A404" t="s">
        <v>830</v>
      </c>
      <c r="B404" t="s">
        <v>4201</v>
      </c>
      <c r="C404" t="str" cm="1">
        <f t="array" ref="C404" xml:space="preserve"> CleanText(B404)</f>
        <v>sabrszlkla bekliyorum _xDC4D_</v>
      </c>
      <c r="D404">
        <v>0</v>
      </c>
      <c r="E404">
        <v>0</v>
      </c>
      <c r="F404" t="s">
        <v>0</v>
      </c>
      <c r="G404" t="str" cm="1">
        <f t="array" ref="G404" xml:space="preserve"> FindCountryName(F404)</f>
        <v>None</v>
      </c>
      <c r="H404" s="1">
        <v>45323.25440972222</v>
      </c>
      <c r="I404" s="1">
        <v>45323.25440972222</v>
      </c>
      <c r="J404" s="1">
        <v>44065.370462962965</v>
      </c>
      <c r="K404" cm="1">
        <f t="array" ref="K404" xml:space="preserve"> sentimentCalc(C404)</f>
        <v>0</v>
      </c>
      <c r="L404" t="str" cm="1">
        <f t="array" ref="L404" xml:space="preserve"> sentimentCategory(K404)</f>
        <v>Neutral</v>
      </c>
    </row>
    <row r="405" spans="1:12">
      <c r="A405" t="s">
        <v>139</v>
      </c>
      <c r="B405" t="s">
        <v>4200</v>
      </c>
      <c r="C405" t="str" cm="1">
        <f t="array" ref="C405" xml:space="preserve"> CleanText(B405)</f>
        <v>yaynlanmasn bekliyoruz artk _xDE0A_</v>
      </c>
      <c r="D405">
        <v>0</v>
      </c>
      <c r="E405">
        <v>0</v>
      </c>
      <c r="F405" t="s">
        <v>1523</v>
      </c>
      <c r="G405" t="str" cm="1">
        <f t="array" ref="G405" xml:space="preserve"> FindCountryName(F405)</f>
        <v>Turkey</v>
      </c>
      <c r="H405" s="1">
        <v>45323.254259259258</v>
      </c>
      <c r="I405" s="1">
        <v>45323.254259259258</v>
      </c>
      <c r="J405" s="1">
        <v>44334.405925925923</v>
      </c>
      <c r="K405" cm="1">
        <f t="array" ref="K405" xml:space="preserve"> sentimentCalc(C405)</f>
        <v>0</v>
      </c>
      <c r="L405" t="str" cm="1">
        <f t="array" ref="L405" xml:space="preserve"> sentimentCategory(K405)</f>
        <v>Neutral</v>
      </c>
    </row>
    <row r="406" spans="1:12">
      <c r="A406" t="s">
        <v>1471</v>
      </c>
      <c r="B406" t="s">
        <v>4199</v>
      </c>
      <c r="C406" t="str" cm="1">
        <f t="array" ref="C406" xml:space="preserve"> CleanText(B406)</f>
        <v>gayet gzel ve baarl kesinlikle izlemenizi tavsiye ederim</v>
      </c>
      <c r="D406">
        <v>0</v>
      </c>
      <c r="E406">
        <v>0</v>
      </c>
      <c r="F406" t="s">
        <v>0</v>
      </c>
      <c r="G406" t="str" cm="1">
        <f t="array" ref="G406" xml:space="preserve"> FindCountryName(F406)</f>
        <v>None</v>
      </c>
      <c r="H406" s="1">
        <v>45323.254155092596</v>
      </c>
      <c r="I406" s="1">
        <v>45323.254155092596</v>
      </c>
      <c r="J406" s="1">
        <v>44477.913958333331</v>
      </c>
      <c r="K406" cm="1">
        <f t="array" ref="K406" xml:space="preserve"> sentimentCalc(C406)</f>
        <v>0</v>
      </c>
      <c r="L406" t="str" cm="1">
        <f t="array" ref="L406" xml:space="preserve"> sentimentCategory(K406)</f>
        <v>Neutral</v>
      </c>
    </row>
    <row r="407" spans="1:12">
      <c r="A407" t="s">
        <v>38</v>
      </c>
      <c r="B407" t="s">
        <v>4198</v>
      </c>
      <c r="C407" t="str" cm="1">
        <f t="array" ref="C407" xml:space="preserve"> CleanText(B407)</f>
        <v>ok beendim gzeldi</v>
      </c>
      <c r="D407">
        <v>0</v>
      </c>
      <c r="E407">
        <v>0</v>
      </c>
      <c r="F407" t="s">
        <v>0</v>
      </c>
      <c r="G407" t="str" cm="1">
        <f t="array" ref="G407" xml:space="preserve"> FindCountryName(F407)</f>
        <v>None</v>
      </c>
      <c r="H407" s="1">
        <v>45323.254131944443</v>
      </c>
      <c r="I407" s="1">
        <v>45323.254131944443</v>
      </c>
      <c r="J407" s="1">
        <v>41988.557129629633</v>
      </c>
      <c r="K407" cm="1">
        <f t="array" ref="K407" xml:space="preserve"> sentimentCalc(C407)</f>
        <v>0</v>
      </c>
      <c r="L407" t="str" cm="1">
        <f t="array" ref="L407" xml:space="preserve"> sentimentCategory(K407)</f>
        <v>Neutral</v>
      </c>
    </row>
    <row r="408" spans="1:12">
      <c r="A408" t="s">
        <v>926</v>
      </c>
      <c r="B408" t="s">
        <v>4197</v>
      </c>
      <c r="C408" t="str" cm="1">
        <f t="array" ref="C408" xml:space="preserve"> CleanText(B408)</f>
        <v>bunu izlemek ok ama ok keyifliydi</v>
      </c>
      <c r="D408">
        <v>0</v>
      </c>
      <c r="E408">
        <v>0</v>
      </c>
      <c r="F408" t="s">
        <v>0</v>
      </c>
      <c r="G408" t="str" cm="1">
        <f t="array" ref="G408" xml:space="preserve"> FindCountryName(F408)</f>
        <v>None</v>
      </c>
      <c r="H408" s="1">
        <v>45323.253946759258</v>
      </c>
      <c r="I408" s="1">
        <v>45323.253946759258</v>
      </c>
      <c r="J408" s="1">
        <v>41294.274687500001</v>
      </c>
      <c r="K408" cm="1">
        <f t="array" ref="K408" xml:space="preserve"> sentimentCalc(C408)</f>
        <v>0</v>
      </c>
      <c r="L408" t="str" cm="1">
        <f t="array" ref="L408" xml:space="preserve"> sentimentCategory(K408)</f>
        <v>Neutral</v>
      </c>
    </row>
    <row r="409" spans="1:12">
      <c r="A409" t="s">
        <v>1084</v>
      </c>
      <c r="B409" t="s">
        <v>4196</v>
      </c>
      <c r="C409" t="str" cm="1">
        <f t="array" ref="C409" xml:space="preserve"> CleanText(B409)</f>
        <v>her an merak konusu mkemmel bir film izlemek iin sabrszlanyorum</v>
      </c>
      <c r="D409">
        <v>0</v>
      </c>
      <c r="E409">
        <v>0</v>
      </c>
      <c r="F409" t="s">
        <v>0</v>
      </c>
      <c r="G409" t="str" cm="1">
        <f t="array" ref="G409" xml:space="preserve"> FindCountryName(F409)</f>
        <v>None</v>
      </c>
      <c r="H409" s="1">
        <v>45323.253564814811</v>
      </c>
      <c r="I409" s="1">
        <v>45323.253564814811</v>
      </c>
      <c r="J409" s="1">
        <v>42742.810497685183</v>
      </c>
      <c r="K409" cm="1">
        <f t="array" ref="K409" xml:space="preserve"> sentimentCalc(C409)</f>
        <v>0</v>
      </c>
      <c r="L409" t="str" cm="1">
        <f t="array" ref="L409" xml:space="preserve"> sentimentCategory(K409)</f>
        <v>Neutral</v>
      </c>
    </row>
    <row r="410" spans="1:12">
      <c r="A410" t="s">
        <v>964</v>
      </c>
      <c r="B410" t="s">
        <v>4195</v>
      </c>
      <c r="C410" t="str" cm="1">
        <f t="array" ref="C410" xml:space="preserve"> CleanText(B410)</f>
        <v>ok etkileyici ve  heyecanl</v>
      </c>
      <c r="D410">
        <v>0</v>
      </c>
      <c r="E410">
        <v>0</v>
      </c>
      <c r="F410" t="s">
        <v>0</v>
      </c>
      <c r="G410" t="str" cm="1">
        <f t="array" ref="G410" xml:space="preserve"> FindCountryName(F410)</f>
        <v>None</v>
      </c>
      <c r="H410" s="1">
        <v>45323.253506944442</v>
      </c>
      <c r="I410" s="1">
        <v>45323.253506944442</v>
      </c>
      <c r="J410" s="1">
        <v>44948.206030092595</v>
      </c>
      <c r="K410" cm="1">
        <f t="array" ref="K410" xml:space="preserve"> sentimentCalc(C410)</f>
        <v>0</v>
      </c>
      <c r="L410" t="str" cm="1">
        <f t="array" ref="L410" xml:space="preserve"> sentimentCategory(K410)</f>
        <v>Neutral</v>
      </c>
    </row>
    <row r="411" spans="1:12">
      <c r="A411" t="s">
        <v>1755</v>
      </c>
      <c r="B411" t="s">
        <v>4194</v>
      </c>
      <c r="C411" t="str" cm="1">
        <f t="array" ref="C411" xml:space="preserve"> CleanText(B411)</f>
        <v>bu filim vok gzel izlemeniz gerek</v>
      </c>
      <c r="D411">
        <v>0</v>
      </c>
      <c r="E411">
        <v>0</v>
      </c>
      <c r="F411" t="s">
        <v>0</v>
      </c>
      <c r="G411" t="str" cm="1">
        <f t="array" ref="G411" xml:space="preserve"> FindCountryName(F411)</f>
        <v>None</v>
      </c>
      <c r="H411" s="1">
        <v>45323.253495370373</v>
      </c>
      <c r="I411" s="1">
        <v>45323.253495370373</v>
      </c>
      <c r="J411" s="1">
        <v>43775.430844907409</v>
      </c>
      <c r="K411" cm="1">
        <f t="array" ref="K411" xml:space="preserve"> sentimentCalc(C411)</f>
        <v>0</v>
      </c>
      <c r="L411" t="str" cm="1">
        <f t="array" ref="L411" xml:space="preserve"> sentimentCategory(K411)</f>
        <v>Neutral</v>
      </c>
    </row>
    <row r="412" spans="1:12">
      <c r="A412" t="s">
        <v>2712</v>
      </c>
      <c r="B412" t="s">
        <v>4067</v>
      </c>
      <c r="C412" t="str" cm="1">
        <f t="array" ref="C412" xml:space="preserve"> CleanText(B412)</f>
        <v>ok gzel</v>
      </c>
      <c r="D412">
        <v>0</v>
      </c>
      <c r="E412">
        <v>0</v>
      </c>
      <c r="F412" t="s">
        <v>0</v>
      </c>
      <c r="G412" t="str" cm="1">
        <f t="array" ref="G412" xml:space="preserve"> FindCountryName(F412)</f>
        <v>None</v>
      </c>
      <c r="H412" s="1">
        <v>45323.253425925926</v>
      </c>
      <c r="I412" s="1">
        <v>45323.253425925926</v>
      </c>
      <c r="J412" s="1">
        <v>41808.210787037038</v>
      </c>
      <c r="K412" cm="1">
        <f t="array" ref="K412" xml:space="preserve"> sentimentCalc(C412)</f>
        <v>0</v>
      </c>
      <c r="L412" t="str" cm="1">
        <f t="array" ref="L412" xml:space="preserve"> sentimentCategory(K412)</f>
        <v>Neutral</v>
      </c>
    </row>
    <row r="413" spans="1:12">
      <c r="A413" t="s">
        <v>62</v>
      </c>
      <c r="B413" t="s">
        <v>4193</v>
      </c>
      <c r="C413" t="str" cm="1">
        <f t="array" ref="C413" xml:space="preserve"> CleanText(B413)</f>
        <v>ok gzel bir filme benziyor ve yapacaklar umarm _xDF89_</v>
      </c>
      <c r="D413">
        <v>0</v>
      </c>
      <c r="E413">
        <v>0</v>
      </c>
      <c r="F413" t="s">
        <v>0</v>
      </c>
      <c r="G413" t="str" cm="1">
        <f t="array" ref="G413" xml:space="preserve"> FindCountryName(F413)</f>
        <v>None</v>
      </c>
      <c r="H413" s="1">
        <v>45323.253171296295</v>
      </c>
      <c r="I413" s="1">
        <v>45323.253171296295</v>
      </c>
      <c r="J413" s="1">
        <v>45172.214189814818</v>
      </c>
      <c r="K413" cm="1">
        <f t="array" ref="K413" xml:space="preserve"> sentimentCalc(C413)</f>
        <v>0</v>
      </c>
      <c r="L413" t="str" cm="1">
        <f t="array" ref="L413" xml:space="preserve"> sentimentCategory(K413)</f>
        <v>Neutral</v>
      </c>
    </row>
    <row r="414" spans="1:12">
      <c r="A414" t="s">
        <v>591</v>
      </c>
      <c r="B414" t="s">
        <v>4134</v>
      </c>
      <c r="C414" t="str" cm="1">
        <f t="array" ref="C414" xml:space="preserve"> CleanText(B414)</f>
        <v>sper ok beendim</v>
      </c>
      <c r="D414">
        <v>0</v>
      </c>
      <c r="E414">
        <v>0</v>
      </c>
      <c r="F414" t="s">
        <v>0</v>
      </c>
      <c r="G414" t="str" cm="1">
        <f t="array" ref="G414" xml:space="preserve"> FindCountryName(F414)</f>
        <v>None</v>
      </c>
      <c r="H414" s="1">
        <v>45323.252928240741</v>
      </c>
      <c r="I414" s="1">
        <v>45323.252928240741</v>
      </c>
      <c r="J414" s="1">
        <v>41577.480937499997</v>
      </c>
      <c r="K414" cm="1">
        <f t="array" ref="K414" xml:space="preserve"> sentimentCalc(C414)</f>
        <v>0</v>
      </c>
      <c r="L414" t="str" cm="1">
        <f t="array" ref="L414" xml:space="preserve"> sentimentCategory(K414)</f>
        <v>Neutral</v>
      </c>
    </row>
    <row r="415" spans="1:12">
      <c r="A415" t="s">
        <v>4192</v>
      </c>
      <c r="B415" t="s">
        <v>4191</v>
      </c>
      <c r="C415" t="str" cm="1">
        <f t="array" ref="C415" xml:space="preserve"> CleanText(B415)</f>
        <v>gnlerdir bu filimi bekliyordum izledim herkese tavsiye ederim</v>
      </c>
      <c r="D415">
        <v>0</v>
      </c>
      <c r="E415">
        <v>0</v>
      </c>
      <c r="F415" t="s">
        <v>1523</v>
      </c>
      <c r="G415" t="str" cm="1">
        <f t="array" ref="G415" xml:space="preserve"> FindCountryName(F415)</f>
        <v>Turkey</v>
      </c>
      <c r="H415" s="1">
        <v>45323.252916666665</v>
      </c>
      <c r="I415" s="1">
        <v>45323.252916666665</v>
      </c>
      <c r="J415" s="1">
        <v>41642.377881944441</v>
      </c>
      <c r="K415" cm="1">
        <f t="array" ref="K415" xml:space="preserve"> sentimentCalc(C415)</f>
        <v>0</v>
      </c>
      <c r="L415" t="str" cm="1">
        <f t="array" ref="L415" xml:space="preserve"> sentimentCategory(K415)</f>
        <v>Neutral</v>
      </c>
    </row>
    <row r="416" spans="1:12">
      <c r="A416" t="s">
        <v>333</v>
      </c>
      <c r="B416" t="s">
        <v>4044</v>
      </c>
      <c r="C416" t="str" cm="1">
        <f t="array" ref="C416" xml:space="preserve"> CleanText(B416)</f>
        <v>sper</v>
      </c>
      <c r="D416">
        <v>0</v>
      </c>
      <c r="E416">
        <v>0</v>
      </c>
      <c r="F416" t="s">
        <v>0</v>
      </c>
      <c r="G416" t="str" cm="1">
        <f t="array" ref="G416" xml:space="preserve"> FindCountryName(F416)</f>
        <v>None</v>
      </c>
      <c r="H416" s="1">
        <v>45323.252881944441</v>
      </c>
      <c r="I416" s="1">
        <v>45323.252881944441</v>
      </c>
      <c r="J416" s="1">
        <v>45323.252847222226</v>
      </c>
      <c r="K416" cm="1">
        <f t="array" ref="K416" xml:space="preserve"> sentimentCalc(C416)</f>
        <v>0</v>
      </c>
      <c r="L416" t="str" cm="1">
        <f t="array" ref="L416" xml:space="preserve"> sentimentCategory(K416)</f>
        <v>Neutral</v>
      </c>
    </row>
    <row r="417" spans="1:12">
      <c r="A417" t="s">
        <v>367</v>
      </c>
      <c r="B417" t="s">
        <v>4190</v>
      </c>
      <c r="C417" t="str" cm="1">
        <f t="array" ref="C417" xml:space="preserve"> CleanText(B417)</f>
        <v>fragman beendim netfilixin bu ii basaracagina eminim</v>
      </c>
      <c r="D417">
        <v>0</v>
      </c>
      <c r="E417">
        <v>0</v>
      </c>
      <c r="F417" t="s">
        <v>0</v>
      </c>
      <c r="G417" t="str" cm="1">
        <f t="array" ref="G417" xml:space="preserve"> FindCountryName(F417)</f>
        <v>None</v>
      </c>
      <c r="H417" s="1">
        <v>45323.252847222226</v>
      </c>
      <c r="I417" s="1">
        <v>45323.252847222226</v>
      </c>
      <c r="J417" s="1">
        <v>44245.656099537038</v>
      </c>
      <c r="K417" cm="1">
        <f t="array" ref="K417" xml:space="preserve"> sentimentCalc(C417)</f>
        <v>0</v>
      </c>
      <c r="L417" t="str" cm="1">
        <f t="array" ref="L417" xml:space="preserve"> sentimentCategory(K417)</f>
        <v>Neutral</v>
      </c>
    </row>
    <row r="418" spans="1:12">
      <c r="A418" t="s">
        <v>2649</v>
      </c>
      <c r="B418" t="s">
        <v>4189</v>
      </c>
      <c r="C418" t="str" cm="1">
        <f t="array" ref="C418" xml:space="preserve"> CleanText(B418)</f>
        <v>cok akc bir film</v>
      </c>
      <c r="D418">
        <v>0</v>
      </c>
      <c r="E418">
        <v>0</v>
      </c>
      <c r="F418" t="s">
        <v>0</v>
      </c>
      <c r="G418" t="str" cm="1">
        <f t="array" ref="G418" xml:space="preserve"> FindCountryName(F418)</f>
        <v>None</v>
      </c>
      <c r="H418" s="1">
        <v>45323.252743055556</v>
      </c>
      <c r="I418" s="1">
        <v>45323.252743055556</v>
      </c>
      <c r="J418" s="1">
        <v>41811.123287037037</v>
      </c>
      <c r="K418" cm="1">
        <f t="array" ref="K418" xml:space="preserve"> sentimentCalc(C418)</f>
        <v>0</v>
      </c>
      <c r="L418" t="str" cm="1">
        <f t="array" ref="L418" xml:space="preserve"> sentimentCategory(K418)</f>
        <v>Neutral</v>
      </c>
    </row>
    <row r="419" spans="1:12">
      <c r="A419" t="s">
        <v>730</v>
      </c>
      <c r="B419" t="s">
        <v>3607</v>
      </c>
      <c r="C419" t="str" cm="1">
        <f t="array" ref="C419" xml:space="preserve"> CleanText(B419)</f>
        <v>ok gzel film</v>
      </c>
      <c r="D419">
        <v>0</v>
      </c>
      <c r="E419">
        <v>0</v>
      </c>
      <c r="F419" t="s">
        <v>0</v>
      </c>
      <c r="G419" t="str" cm="1">
        <f t="array" ref="G419" xml:space="preserve"> FindCountryName(F419)</f>
        <v>None</v>
      </c>
      <c r="H419" s="1">
        <v>45323.252708333333</v>
      </c>
      <c r="I419" s="1">
        <v>45323.252708333333</v>
      </c>
      <c r="J419" s="1">
        <v>43974.637731481482</v>
      </c>
      <c r="K419" cm="1">
        <f t="array" ref="K419" xml:space="preserve"> sentimentCalc(C419)</f>
        <v>0</v>
      </c>
      <c r="L419" t="str" cm="1">
        <f t="array" ref="L419" xml:space="preserve"> sentimentCategory(K419)</f>
        <v>Neutral</v>
      </c>
    </row>
    <row r="420" spans="1:12">
      <c r="A420" t="s">
        <v>1178</v>
      </c>
      <c r="B420" t="s">
        <v>4188</v>
      </c>
      <c r="C420" t="str" cm="1">
        <f t="array" ref="C420" xml:space="preserve"> CleanText(B420)</f>
        <v>baarl</v>
      </c>
      <c r="D420">
        <v>0</v>
      </c>
      <c r="E420">
        <v>0</v>
      </c>
      <c r="F420" t="s">
        <v>0</v>
      </c>
      <c r="G420" t="str" cm="1">
        <f t="array" ref="G420" xml:space="preserve"> FindCountryName(F420)</f>
        <v>None</v>
      </c>
      <c r="H420" s="1">
        <v>45323.25267361111</v>
      </c>
      <c r="I420" s="1">
        <v>45323.25267361111</v>
      </c>
      <c r="J420" s="1">
        <v>45323.252662037034</v>
      </c>
      <c r="K420" cm="1">
        <f t="array" ref="K420" xml:space="preserve"> sentimentCalc(C420)</f>
        <v>0</v>
      </c>
      <c r="L420" t="str" cm="1">
        <f t="array" ref="L420" xml:space="preserve"> sentimentCategory(K420)</f>
        <v>Neutral</v>
      </c>
    </row>
    <row r="421" spans="1:12">
      <c r="A421" t="s">
        <v>4187</v>
      </c>
      <c r="B421" t="s">
        <v>4186</v>
      </c>
      <c r="C421" t="str" cm="1">
        <f t="array" ref="C421" xml:space="preserve"> CleanText(B421)</f>
        <v>zlemeniz tavsiye edilir</v>
      </c>
      <c r="D421">
        <v>0</v>
      </c>
      <c r="E421">
        <v>0</v>
      </c>
      <c r="F421" t="s">
        <v>0</v>
      </c>
      <c r="G421" t="str" cm="1">
        <f t="array" ref="G421" xml:space="preserve"> FindCountryName(F421)</f>
        <v>None</v>
      </c>
      <c r="H421" s="1">
        <v>45323.252604166664</v>
      </c>
      <c r="I421" s="1">
        <v>45323.252604166664</v>
      </c>
      <c r="J421" s="1">
        <v>39282.214826388888</v>
      </c>
      <c r="K421" cm="1">
        <f t="array" ref="K421" xml:space="preserve"> sentimentCalc(C421)</f>
        <v>0</v>
      </c>
      <c r="L421" t="str" cm="1">
        <f t="array" ref="L421" xml:space="preserve"> sentimentCategory(K421)</f>
        <v>Neutral</v>
      </c>
    </row>
    <row r="422" spans="1:12">
      <c r="A422" t="s">
        <v>601</v>
      </c>
      <c r="B422" t="s">
        <v>4102</v>
      </c>
      <c r="C422" t="str" cm="1">
        <f t="array" ref="C422" xml:space="preserve"> CleanText(B422)</f>
        <v>efsane</v>
      </c>
      <c r="D422">
        <v>0</v>
      </c>
      <c r="E422">
        <v>0</v>
      </c>
      <c r="F422" t="s">
        <v>0</v>
      </c>
      <c r="G422" t="str" cm="1">
        <f t="array" ref="G422" xml:space="preserve"> FindCountryName(F422)</f>
        <v>None</v>
      </c>
      <c r="H422" s="1">
        <v>45323.252569444441</v>
      </c>
      <c r="I422" s="1">
        <v>45323.252569444441</v>
      </c>
      <c r="J422" s="1">
        <v>44672.37259259259</v>
      </c>
      <c r="K422" cm="1">
        <f t="array" ref="K422" xml:space="preserve"> sentimentCalc(C422)</f>
        <v>0</v>
      </c>
      <c r="L422" t="str" cm="1">
        <f t="array" ref="L422" xml:space="preserve"> sentimentCategory(K422)</f>
        <v>Neutral</v>
      </c>
    </row>
    <row r="423" spans="1:12">
      <c r="A423" t="s">
        <v>158</v>
      </c>
      <c r="B423" t="s">
        <v>4185</v>
      </c>
      <c r="C423" t="str" cm="1">
        <f t="array" ref="C423" xml:space="preserve"> CleanText(B423)</f>
        <v>hayatmda izlediim en iyi filmlerden birisi buydu</v>
      </c>
      <c r="D423">
        <v>0</v>
      </c>
      <c r="E423">
        <v>0</v>
      </c>
      <c r="F423" t="s">
        <v>0</v>
      </c>
      <c r="G423" t="str" cm="1">
        <f t="array" ref="G423" xml:space="preserve"> FindCountryName(F423)</f>
        <v>None</v>
      </c>
      <c r="H423" s="1">
        <v>45323.252511574072</v>
      </c>
      <c r="I423" s="1">
        <v>45323.252511574072</v>
      </c>
      <c r="J423" s="1">
        <v>44115.679965277777</v>
      </c>
      <c r="K423" cm="1">
        <f t="array" ref="K423" xml:space="preserve"> sentimentCalc(C423)</f>
        <v>0</v>
      </c>
      <c r="L423" t="str" cm="1">
        <f t="array" ref="L423" xml:space="preserve"> sentimentCategory(K423)</f>
        <v>Neutral</v>
      </c>
    </row>
    <row r="424" spans="1:12">
      <c r="A424" t="s">
        <v>1613</v>
      </c>
      <c r="B424" t="s">
        <v>4184</v>
      </c>
      <c r="C424" t="str" cm="1">
        <f t="array" ref="C424" xml:space="preserve"> CleanText(B424)</f>
        <v>gerek ten beklenilmesi gereken bir senaryo olmu</v>
      </c>
      <c r="D424">
        <v>0</v>
      </c>
      <c r="E424">
        <v>0</v>
      </c>
      <c r="F424" t="s">
        <v>0</v>
      </c>
      <c r="G424" t="str" cm="1">
        <f t="array" ref="G424" xml:space="preserve"> FindCountryName(F424)</f>
        <v>None</v>
      </c>
      <c r="H424" s="1">
        <v>45323.252476851849</v>
      </c>
      <c r="I424" s="1">
        <v>45323.252476851849</v>
      </c>
      <c r="J424" s="1">
        <v>45322.230196759258</v>
      </c>
      <c r="K424" cm="1">
        <f t="array" ref="K424" xml:space="preserve"> sentimentCalc(C424)</f>
        <v>0</v>
      </c>
      <c r="L424" t="str" cm="1">
        <f t="array" ref="L424" xml:space="preserve"> sentimentCategory(K424)</f>
        <v>Neutral</v>
      </c>
    </row>
    <row r="425" spans="1:12">
      <c r="A425" t="s">
        <v>460</v>
      </c>
      <c r="B425" t="s">
        <v>4183</v>
      </c>
      <c r="C425" t="str" cm="1">
        <f t="array" ref="C425" xml:space="preserve"> CleanText(B425)</f>
        <v>elence</v>
      </c>
      <c r="D425">
        <v>0</v>
      </c>
      <c r="E425">
        <v>0</v>
      </c>
      <c r="F425" t="s">
        <v>0</v>
      </c>
      <c r="G425" t="str" cm="1">
        <f t="array" ref="G425" xml:space="preserve"> FindCountryName(F425)</f>
        <v>None</v>
      </c>
      <c r="H425" s="1">
        <v>45323.252303240741</v>
      </c>
      <c r="I425" s="1">
        <v>45323.252303240741</v>
      </c>
      <c r="J425" s="1">
        <v>41556.720578703702</v>
      </c>
      <c r="K425" cm="1">
        <f t="array" ref="K425" xml:space="preserve"> sentimentCalc(C425)</f>
        <v>0</v>
      </c>
      <c r="L425" t="str" cm="1">
        <f t="array" ref="L425" xml:space="preserve"> sentimentCategory(K425)</f>
        <v>Neutral</v>
      </c>
    </row>
    <row r="426" spans="1:12">
      <c r="A426" t="s">
        <v>680</v>
      </c>
      <c r="B426" t="s">
        <v>4067</v>
      </c>
      <c r="C426" t="str" cm="1">
        <f t="array" ref="C426" xml:space="preserve"> CleanText(B426)</f>
        <v>ok gzel</v>
      </c>
      <c r="D426">
        <v>0</v>
      </c>
      <c r="E426">
        <v>0</v>
      </c>
      <c r="F426" t="s">
        <v>0</v>
      </c>
      <c r="G426" t="str" cm="1">
        <f t="array" ref="G426" xml:space="preserve"> FindCountryName(F426)</f>
        <v>None</v>
      </c>
      <c r="H426" s="1">
        <v>45323.252106481479</v>
      </c>
      <c r="I426" s="1">
        <v>45323.252106481479</v>
      </c>
      <c r="J426" s="1">
        <v>45323.25209490741</v>
      </c>
      <c r="K426" cm="1">
        <f t="array" ref="K426" xml:space="preserve"> sentimentCalc(C426)</f>
        <v>0</v>
      </c>
      <c r="L426" t="str" cm="1">
        <f t="array" ref="L426" xml:space="preserve"> sentimentCategory(K426)</f>
        <v>Neutral</v>
      </c>
    </row>
    <row r="427" spans="1:12">
      <c r="A427" t="s">
        <v>196</v>
      </c>
      <c r="B427" t="s">
        <v>4182</v>
      </c>
      <c r="C427" t="str" cm="1">
        <f t="array" ref="C427" xml:space="preserve"> CleanText(B427)</f>
        <v>harika bir film olmu</v>
      </c>
      <c r="D427">
        <v>0</v>
      </c>
      <c r="E427">
        <v>0</v>
      </c>
      <c r="F427" t="s">
        <v>0</v>
      </c>
      <c r="G427" t="str" cm="1">
        <f t="array" ref="G427" xml:space="preserve"> FindCountryName(F427)</f>
        <v>None</v>
      </c>
      <c r="H427" s="1">
        <v>45323.252106481479</v>
      </c>
      <c r="I427" s="1">
        <v>45323.252106481479</v>
      </c>
      <c r="J427" s="1">
        <v>41662.547152777777</v>
      </c>
      <c r="K427" cm="1">
        <f t="array" ref="K427" xml:space="preserve"> sentimentCalc(C427)</f>
        <v>0</v>
      </c>
      <c r="L427" t="str" cm="1">
        <f t="array" ref="L427" xml:space="preserve"> sentimentCategory(K427)</f>
        <v>Neutral</v>
      </c>
    </row>
    <row r="428" spans="1:12">
      <c r="A428" t="s">
        <v>2110</v>
      </c>
      <c r="B428" t="s">
        <v>4181</v>
      </c>
      <c r="C428" t="str" cm="1">
        <f t="array" ref="C428" xml:space="preserve"> CleanText(B428)</f>
        <v>ok gzel bir alma olmu, herkese izlemesini tavsiye ederim</v>
      </c>
      <c r="D428">
        <v>0</v>
      </c>
      <c r="E428">
        <v>0</v>
      </c>
      <c r="F428" t="s">
        <v>1523</v>
      </c>
      <c r="G428" t="str" cm="1">
        <f t="array" ref="G428" xml:space="preserve"> FindCountryName(F428)</f>
        <v>Turkey</v>
      </c>
      <c r="H428" s="1">
        <v>45323.251979166664</v>
      </c>
      <c r="I428" s="1">
        <v>45323.251979166664</v>
      </c>
      <c r="J428" s="1">
        <v>43127.596041666664</v>
      </c>
      <c r="K428" cm="1">
        <f t="array" ref="K428" xml:space="preserve"> sentimentCalc(C428)</f>
        <v>0</v>
      </c>
      <c r="L428" t="str" cm="1">
        <f t="array" ref="L428" xml:space="preserve"> sentimentCategory(K428)</f>
        <v>Neutral</v>
      </c>
    </row>
    <row r="429" spans="1:12">
      <c r="A429" t="s">
        <v>774</v>
      </c>
      <c r="B429" t="s">
        <v>4180</v>
      </c>
      <c r="C429" t="str" cm="1">
        <f t="array" ref="C429" xml:space="preserve"> CleanText(B429)</f>
        <v>bu eski avatardan daha kapsaml ve ierik olarak baya gzel olacak</v>
      </c>
      <c r="D429">
        <v>0</v>
      </c>
      <c r="E429">
        <v>0</v>
      </c>
      <c r="F429" t="s">
        <v>0</v>
      </c>
      <c r="G429" t="str" cm="1">
        <f t="array" ref="G429" xml:space="preserve"> FindCountryName(F429)</f>
        <v>None</v>
      </c>
      <c r="H429" s="1">
        <v>45323.251967592594</v>
      </c>
      <c r="I429" s="1">
        <v>45323.251967592594</v>
      </c>
      <c r="J429" s="1">
        <v>42090.288807870369</v>
      </c>
      <c r="K429" cm="1">
        <f t="array" ref="K429" xml:space="preserve"> sentimentCalc(C429)</f>
        <v>0</v>
      </c>
      <c r="L429" t="str" cm="1">
        <f t="array" ref="L429" xml:space="preserve"> sentimentCategory(K429)</f>
        <v>Neutral</v>
      </c>
    </row>
    <row r="430" spans="1:12">
      <c r="A430" t="s">
        <v>430</v>
      </c>
      <c r="B430" t="s">
        <v>4084</v>
      </c>
      <c r="C430" t="str" cm="1">
        <f t="array" ref="C430" xml:space="preserve"> CleanText(B430)</f>
        <v>gzel</v>
      </c>
      <c r="D430">
        <v>0</v>
      </c>
      <c r="E430">
        <v>0</v>
      </c>
      <c r="F430" t="s">
        <v>0</v>
      </c>
      <c r="G430" t="str" cm="1">
        <f t="array" ref="G430" xml:space="preserve"> FindCountryName(F430)</f>
        <v>None</v>
      </c>
      <c r="H430" s="1">
        <v>45323.251782407409</v>
      </c>
      <c r="I430" s="1">
        <v>45323.251782407409</v>
      </c>
      <c r="J430" s="1">
        <v>45040.183298611111</v>
      </c>
      <c r="K430" cm="1">
        <f t="array" ref="K430" xml:space="preserve"> sentimentCalc(C430)</f>
        <v>0</v>
      </c>
      <c r="L430" t="str" cm="1">
        <f t="array" ref="L430" xml:space="preserve"> sentimentCategory(K430)</f>
        <v>Neutral</v>
      </c>
    </row>
    <row r="431" spans="1:12">
      <c r="A431" t="s">
        <v>1154</v>
      </c>
      <c r="B431" t="s">
        <v>4179</v>
      </c>
      <c r="C431" t="str" cm="1">
        <f t="array" ref="C431" xml:space="preserve"> CleanText(B431)</f>
        <v>harika bir film oturup tekrar tekrar izledim</v>
      </c>
      <c r="D431">
        <v>0</v>
      </c>
      <c r="E431">
        <v>0</v>
      </c>
      <c r="F431" t="s">
        <v>0</v>
      </c>
      <c r="G431" t="str" cm="1">
        <f t="array" ref="G431" xml:space="preserve"> FindCountryName(F431)</f>
        <v>None</v>
      </c>
      <c r="H431" s="1">
        <v>45323.25167824074</v>
      </c>
      <c r="I431" s="1">
        <v>45323.25167824074</v>
      </c>
      <c r="J431" s="1">
        <v>44469.486203703702</v>
      </c>
      <c r="K431" cm="1">
        <f t="array" ref="K431" xml:space="preserve"> sentimentCalc(C431)</f>
        <v>0</v>
      </c>
      <c r="L431" t="str" cm="1">
        <f t="array" ref="L431" xml:space="preserve"> sentimentCategory(K431)</f>
        <v>Neutral</v>
      </c>
    </row>
    <row r="432" spans="1:12">
      <c r="A432" t="s">
        <v>1438</v>
      </c>
      <c r="B432" t="s">
        <v>4178</v>
      </c>
      <c r="C432" t="str" cm="1">
        <f t="array" ref="C432" xml:space="preserve"> CleanText(B432)</f>
        <v>ok iyi bir film izlemitim izlemenizi tavsiye ederim</v>
      </c>
      <c r="D432">
        <v>0</v>
      </c>
      <c r="E432">
        <v>0</v>
      </c>
      <c r="F432" t="s">
        <v>0</v>
      </c>
      <c r="G432" t="str" cm="1">
        <f t="array" ref="G432" xml:space="preserve"> FindCountryName(F432)</f>
        <v>None</v>
      </c>
      <c r="H432" s="1">
        <v>45323.251423611109</v>
      </c>
      <c r="I432" s="1">
        <v>45323.251423611109</v>
      </c>
      <c r="J432" s="1">
        <v>43976.578657407408</v>
      </c>
      <c r="K432" cm="1">
        <f t="array" ref="K432" xml:space="preserve"> sentimentCalc(C432)</f>
        <v>0</v>
      </c>
      <c r="L432" t="str" cm="1">
        <f t="array" ref="L432" xml:space="preserve"> sentimentCategory(K432)</f>
        <v>Neutral</v>
      </c>
    </row>
    <row r="433" spans="1:12">
      <c r="A433" t="s">
        <v>4177</v>
      </c>
      <c r="B433" t="s">
        <v>4176</v>
      </c>
      <c r="C433" t="str" cm="1">
        <f t="array" ref="C433" xml:space="preserve"> CleanText(B433)</f>
        <v>izlenmesi gereken film lerden bir tanesi</v>
      </c>
      <c r="D433">
        <v>0</v>
      </c>
      <c r="E433">
        <v>0</v>
      </c>
      <c r="F433" t="s">
        <v>0</v>
      </c>
      <c r="G433" t="str" cm="1">
        <f t="array" ref="G433" xml:space="preserve"> FindCountryName(F433)</f>
        <v>None</v>
      </c>
      <c r="H433" s="1">
        <v>45323.251388888886</v>
      </c>
      <c r="I433" s="1">
        <v>45323.251388888886</v>
      </c>
      <c r="J433" s="1">
        <v>44057.271956018521</v>
      </c>
      <c r="K433" cm="1">
        <f t="array" ref="K433" xml:space="preserve"> sentimentCalc(C433)</f>
        <v>0</v>
      </c>
      <c r="L433" t="str" cm="1">
        <f t="array" ref="L433" xml:space="preserve"> sentimentCategory(K433)</f>
        <v>Neutral</v>
      </c>
    </row>
    <row r="434" spans="1:12">
      <c r="A434" t="s">
        <v>728</v>
      </c>
      <c r="B434" t="s">
        <v>4175</v>
      </c>
      <c r="C434" t="str" cm="1">
        <f t="array" ref="C434" xml:space="preserve"> CleanText(B434)</f>
        <v>harika</v>
      </c>
      <c r="D434">
        <v>0</v>
      </c>
      <c r="E434">
        <v>0</v>
      </c>
      <c r="F434" t="s">
        <v>0</v>
      </c>
      <c r="G434" t="str" cm="1">
        <f t="array" ref="G434" xml:space="preserve"> FindCountryName(F434)</f>
        <v>None</v>
      </c>
      <c r="H434" s="1">
        <v>45323.251319444447</v>
      </c>
      <c r="I434" s="1">
        <v>45323.251319444447</v>
      </c>
      <c r="J434" s="1">
        <v>45174.142708333333</v>
      </c>
      <c r="K434" cm="1">
        <f t="array" ref="K434" xml:space="preserve"> sentimentCalc(C434)</f>
        <v>0</v>
      </c>
      <c r="L434" t="str" cm="1">
        <f t="array" ref="L434" xml:space="preserve"> sentimentCategory(K434)</f>
        <v>Neutral</v>
      </c>
    </row>
    <row r="435" spans="1:12">
      <c r="A435" t="s">
        <v>301</v>
      </c>
      <c r="B435" t="s">
        <v>4174</v>
      </c>
      <c r="C435" t="str" cm="1">
        <f t="array" ref="C435" xml:space="preserve"> CleanText(B435)</f>
        <v>ocukluumun filmini tekrar ekmeleri mkemmel olmu</v>
      </c>
      <c r="D435">
        <v>0</v>
      </c>
      <c r="E435">
        <v>0</v>
      </c>
      <c r="F435" t="s">
        <v>0</v>
      </c>
      <c r="G435" t="str" cm="1">
        <f t="array" ref="G435" xml:space="preserve"> FindCountryName(F435)</f>
        <v>None</v>
      </c>
      <c r="H435" s="1">
        <v>45323.251250000001</v>
      </c>
      <c r="I435" s="1">
        <v>45323.251250000001</v>
      </c>
      <c r="J435" s="1">
        <v>41731.593645833331</v>
      </c>
      <c r="K435" cm="1">
        <f t="array" ref="K435" xml:space="preserve"> sentimentCalc(C435)</f>
        <v>0</v>
      </c>
      <c r="L435" t="str" cm="1">
        <f t="array" ref="L435" xml:space="preserve"> sentimentCategory(K435)</f>
        <v>Neutral</v>
      </c>
    </row>
    <row r="436" spans="1:12">
      <c r="A436" t="s">
        <v>4173</v>
      </c>
      <c r="B436" t="s">
        <v>4172</v>
      </c>
      <c r="C436" t="str" cm="1">
        <f t="array" ref="C436" xml:space="preserve"> CleanText(B436)</f>
        <v>gercekten ok gzel</v>
      </c>
      <c r="D436">
        <v>0</v>
      </c>
      <c r="E436">
        <v>0</v>
      </c>
      <c r="F436" t="s">
        <v>0</v>
      </c>
      <c r="G436" t="str" cm="1">
        <f t="array" ref="G436" xml:space="preserve"> FindCountryName(F436)</f>
        <v>None</v>
      </c>
      <c r="H436" s="1">
        <v>45323.250914351855</v>
      </c>
      <c r="I436" s="1">
        <v>45323.250914351855</v>
      </c>
      <c r="J436" s="1">
        <v>41929.432152777779</v>
      </c>
      <c r="K436" cm="1">
        <f t="array" ref="K436" xml:space="preserve"> sentimentCalc(C436)</f>
        <v>0</v>
      </c>
      <c r="L436" t="str" cm="1">
        <f t="array" ref="L436" xml:space="preserve"> sentimentCategory(K436)</f>
        <v>Neutral</v>
      </c>
    </row>
    <row r="437" spans="1:12">
      <c r="A437" t="s">
        <v>826</v>
      </c>
      <c r="B437" t="s">
        <v>4171</v>
      </c>
      <c r="C437" t="str" cm="1">
        <f t="array" ref="C437" xml:space="preserve"> CleanText(B437)</f>
        <v>ok iyi</v>
      </c>
      <c r="D437">
        <v>0</v>
      </c>
      <c r="E437">
        <v>0</v>
      </c>
      <c r="F437" t="s">
        <v>0</v>
      </c>
      <c r="G437" t="str" cm="1">
        <f t="array" ref="G437" xml:space="preserve"> FindCountryName(F437)</f>
        <v>None</v>
      </c>
      <c r="H437" s="1">
        <v>45323.250821759262</v>
      </c>
      <c r="I437" s="1">
        <v>45323.250821759262</v>
      </c>
      <c r="J437" s="1">
        <v>42490.655324074076</v>
      </c>
      <c r="K437" cm="1">
        <f t="array" ref="K437" xml:space="preserve"> sentimentCalc(C437)</f>
        <v>0</v>
      </c>
      <c r="L437" t="str" cm="1">
        <f t="array" ref="L437" xml:space="preserve"> sentimentCategory(K437)</f>
        <v>Neutral</v>
      </c>
    </row>
    <row r="438" spans="1:12">
      <c r="A438" t="s">
        <v>2738</v>
      </c>
      <c r="B438" t="s">
        <v>4170</v>
      </c>
      <c r="C438" t="str" cm="1">
        <f t="array" ref="C438" xml:space="preserve"> CleanText(B438)</f>
        <v>gzel bir olmu. bol zamnzda izleyin</v>
      </c>
      <c r="D438">
        <v>0</v>
      </c>
      <c r="E438">
        <v>0</v>
      </c>
      <c r="F438" t="s">
        <v>0</v>
      </c>
      <c r="G438" t="str" cm="1">
        <f t="array" ref="G438" xml:space="preserve"> FindCountryName(F438)</f>
        <v>None</v>
      </c>
      <c r="H438" s="1">
        <v>45323.250706018516</v>
      </c>
      <c r="I438" s="1">
        <v>45323.250706018516</v>
      </c>
      <c r="J438" s="1">
        <v>40697.410752314812</v>
      </c>
      <c r="K438" cm="1">
        <f t="array" ref="K438" xml:space="preserve"> sentimentCalc(C438)</f>
        <v>0</v>
      </c>
      <c r="L438" t="str" cm="1">
        <f t="array" ref="L438" xml:space="preserve"> sentimentCategory(K438)</f>
        <v>Neutral</v>
      </c>
    </row>
    <row r="439" spans="1:12">
      <c r="A439" t="s">
        <v>902</v>
      </c>
      <c r="B439" t="s">
        <v>4169</v>
      </c>
      <c r="C439" t="str" cm="1">
        <f t="array" ref="C439" xml:space="preserve"> CleanText(B439)</f>
        <v>beklentilerinin zerinde bir film ve harika grnyor</v>
      </c>
      <c r="D439">
        <v>0</v>
      </c>
      <c r="E439">
        <v>0</v>
      </c>
      <c r="F439" t="s">
        <v>0</v>
      </c>
      <c r="G439" t="str" cm="1">
        <f t="array" ref="G439" xml:space="preserve"> FindCountryName(F439)</f>
        <v>None</v>
      </c>
      <c r="H439" s="1">
        <v>45323.250636574077</v>
      </c>
      <c r="I439" s="1">
        <v>45323.250636574077</v>
      </c>
      <c r="J439" s="1">
        <v>44284.316805555558</v>
      </c>
      <c r="K439" cm="1">
        <f t="array" ref="K439" xml:space="preserve"> sentimentCalc(C439)</f>
        <v>0</v>
      </c>
      <c r="L439" t="str" cm="1">
        <f t="array" ref="L439" xml:space="preserve"> sentimentCategory(K439)</f>
        <v>Neutral</v>
      </c>
    </row>
    <row r="440" spans="1:12">
      <c r="A440" t="s">
        <v>4168</v>
      </c>
      <c r="B440" t="s">
        <v>4167</v>
      </c>
      <c r="C440" t="str" cm="1">
        <f t="array" ref="C440" xml:space="preserve"> CleanText(B440)</f>
        <v>ok sper</v>
      </c>
      <c r="D440">
        <v>0</v>
      </c>
      <c r="E440">
        <v>0</v>
      </c>
      <c r="F440" t="s">
        <v>0</v>
      </c>
      <c r="G440" t="str" cm="1">
        <f t="array" ref="G440" xml:space="preserve"> FindCountryName(F440)</f>
        <v>None</v>
      </c>
      <c r="H440" s="1">
        <v>45323.250555555554</v>
      </c>
      <c r="I440" s="1">
        <v>45323.250555555554</v>
      </c>
      <c r="J440" s="1">
        <v>41825.367511574077</v>
      </c>
      <c r="K440" cm="1">
        <f t="array" ref="K440" xml:space="preserve"> sentimentCalc(C440)</f>
        <v>0</v>
      </c>
      <c r="L440" t="str" cm="1">
        <f t="array" ref="L440" xml:space="preserve"> sentimentCategory(K440)</f>
        <v>Neutral</v>
      </c>
    </row>
    <row r="441" spans="1:12">
      <c r="A441" t="s">
        <v>1129</v>
      </c>
      <c r="B441" t="s">
        <v>4166</v>
      </c>
      <c r="C441" t="str" cm="1">
        <f t="array" ref="C441" xml:space="preserve"> CleanText(B441)</f>
        <v>harika film</v>
      </c>
      <c r="D441">
        <v>0</v>
      </c>
      <c r="E441">
        <v>0</v>
      </c>
      <c r="F441" t="s">
        <v>0</v>
      </c>
      <c r="G441" t="str" cm="1">
        <f t="array" ref="G441" xml:space="preserve"> FindCountryName(F441)</f>
        <v>None</v>
      </c>
      <c r="H441" s="1">
        <v>45323.2503125</v>
      </c>
      <c r="I441" s="1">
        <v>45323.2503125</v>
      </c>
      <c r="J441" s="1">
        <v>45323.250300925924</v>
      </c>
      <c r="K441" cm="1">
        <f t="array" ref="K441" xml:space="preserve"> sentimentCalc(C441)</f>
        <v>0</v>
      </c>
      <c r="L441" t="str" cm="1">
        <f t="array" ref="L441" xml:space="preserve"> sentimentCategory(K441)</f>
        <v>Neutral</v>
      </c>
    </row>
    <row r="442" spans="1:12">
      <c r="A442" t="s">
        <v>1755</v>
      </c>
      <c r="B442" t="s">
        <v>4165</v>
      </c>
      <c r="C442" t="str" cm="1">
        <f t="array" ref="C442" xml:space="preserve"> CleanText(B442)</f>
        <v>harika bi filim mkemmel</v>
      </c>
      <c r="D442">
        <v>0</v>
      </c>
      <c r="E442">
        <v>0</v>
      </c>
      <c r="F442" t="s">
        <v>0</v>
      </c>
      <c r="G442" t="str" cm="1">
        <f t="array" ref="G442" xml:space="preserve"> FindCountryName(F442)</f>
        <v>None</v>
      </c>
      <c r="H442" s="1">
        <v>45323.250081018516</v>
      </c>
      <c r="I442" s="1">
        <v>45323.250081018516</v>
      </c>
      <c r="J442" s="1">
        <v>44303.844606481478</v>
      </c>
      <c r="K442" cm="1">
        <f t="array" ref="K442" xml:space="preserve"> sentimentCalc(C442)</f>
        <v>0</v>
      </c>
      <c r="L442" t="str" cm="1">
        <f t="array" ref="L442" xml:space="preserve"> sentimentCategory(K442)</f>
        <v>Neutral</v>
      </c>
    </row>
    <row r="443" spans="1:12">
      <c r="A443" t="s">
        <v>1488</v>
      </c>
      <c r="B443" t="s">
        <v>4164</v>
      </c>
      <c r="C443" t="str" cm="1">
        <f t="array" ref="C443" xml:space="preserve"> CleanText(B443)</f>
        <v>beklentilerimi aan bir yapmd izlemenizi iddetle neririm</v>
      </c>
      <c r="D443">
        <v>0</v>
      </c>
      <c r="E443">
        <v>0</v>
      </c>
      <c r="F443" t="s">
        <v>0</v>
      </c>
      <c r="G443" t="str" cm="1">
        <f t="array" ref="G443" xml:space="preserve"> FindCountryName(F443)</f>
        <v>None</v>
      </c>
      <c r="H443" s="1">
        <v>45323.249803240738</v>
      </c>
      <c r="I443" s="1">
        <v>45323.249803240738</v>
      </c>
      <c r="J443" s="1">
        <v>45244.692106481481</v>
      </c>
      <c r="K443" cm="1">
        <f t="array" ref="K443" xml:space="preserve"> sentimentCalc(C443)</f>
        <v>0</v>
      </c>
      <c r="L443" t="str" cm="1">
        <f t="array" ref="L443" xml:space="preserve"> sentimentCategory(K443)</f>
        <v>Neutral</v>
      </c>
    </row>
    <row r="444" spans="1:12">
      <c r="A444" t="s">
        <v>76</v>
      </c>
      <c r="B444" t="s">
        <v>4163</v>
      </c>
      <c r="C444" t="str" cm="1">
        <f t="array" ref="C444" xml:space="preserve"> CleanText(B444)</f>
        <v>love it so alike of the animation avatar  _xDE32_</v>
      </c>
      <c r="D444">
        <v>2</v>
      </c>
      <c r="E444">
        <v>0</v>
      </c>
      <c r="F444" t="s">
        <v>0</v>
      </c>
      <c r="G444" t="str" cm="1">
        <f t="array" ref="G444" xml:space="preserve"> FindCountryName(F444)</f>
        <v>None</v>
      </c>
      <c r="H444" s="1">
        <v>45323.032581018517</v>
      </c>
      <c r="I444" s="1">
        <v>45323.032581018517</v>
      </c>
      <c r="J444" s="1">
        <v>39386.412280092591</v>
      </c>
      <c r="K444" cm="1">
        <f t="array" ref="K444" xml:space="preserve"> sentimentCalc(C444)</f>
        <v>3</v>
      </c>
      <c r="L444" t="str" cm="1">
        <f t="array" ref="L444" xml:space="preserve"> sentimentCategory(K444)</f>
        <v>Positive</v>
      </c>
    </row>
    <row r="445" spans="1:12">
      <c r="A445" t="s">
        <v>3132</v>
      </c>
      <c r="B445" t="s">
        <v>4162</v>
      </c>
      <c r="C445" t="str" cm="1">
        <f t="array" ref="C445" xml:space="preserve"> CleanText(B445)</f>
        <v>los de netflix despus del xito de one piece ¿que cosa as que para que a la gente le guste un live action tenemos que ser lo ms fiel posible hacia la historia original quin lo dira aun que no estara mal si toph es negra no ya que no hay ninguna pelirroja a cual cambiar por una negra</v>
      </c>
      <c r="D445">
        <v>2</v>
      </c>
      <c r="E445">
        <v>0</v>
      </c>
      <c r="F445" t="s">
        <v>0</v>
      </c>
      <c r="G445" t="str" cm="1">
        <f t="array" ref="G445" xml:space="preserve"> FindCountryName(F445)</f>
        <v>None</v>
      </c>
      <c r="H445" s="1">
        <v>45323.029664351852</v>
      </c>
      <c r="I445" s="1">
        <v>45323.029664351852</v>
      </c>
      <c r="J445" s="1">
        <v>42216.902395833335</v>
      </c>
      <c r="K445" cm="1">
        <f t="array" ref="K445" xml:space="preserve"> sentimentCalc(C445)</f>
        <v>-3</v>
      </c>
      <c r="L445" t="str" cm="1">
        <f t="array" ref="L445" xml:space="preserve"> sentimentCategory(K445)</f>
        <v>Negative</v>
      </c>
    </row>
    <row r="446" spans="1:12">
      <c r="A446" t="s">
        <v>868</v>
      </c>
      <c r="B446" t="s">
        <v>4161</v>
      </c>
      <c r="C446" t="str" cm="1">
        <f t="array" ref="C446" xml:space="preserve"> CleanText(B446)</f>
        <v>i had no idea the original creators left because they knew the show was going to be a disaster and had no creative control i am so sick and tired of these modern creators ruining every beloved ip in the west i seriously thought netflix learned its lesson with one piece live action but nope another modern audience disaster incoming</v>
      </c>
      <c r="D446">
        <v>2</v>
      </c>
      <c r="E446">
        <v>0</v>
      </c>
      <c r="F446" t="s">
        <v>0</v>
      </c>
      <c r="G446" t="str" cm="1">
        <f t="array" ref="G446" xml:space="preserve"> FindCountryName(F446)</f>
        <v>None</v>
      </c>
      <c r="H446" s="1">
        <v>45322.769270833334</v>
      </c>
      <c r="I446" s="1">
        <v>45322.769837962966</v>
      </c>
      <c r="J446" s="1">
        <v>41294.459583333337</v>
      </c>
      <c r="K446" cm="1">
        <f t="array" ref="K446" xml:space="preserve"> sentimentCalc(C446)</f>
        <v>-7</v>
      </c>
      <c r="L446" t="str" cm="1">
        <f t="array" ref="L446" xml:space="preserve"> sentimentCategory(K446)</f>
        <v>Negative</v>
      </c>
    </row>
    <row r="447" spans="1:12">
      <c r="A447" t="s">
        <v>799</v>
      </c>
      <c r="B447" t="s">
        <v>4160</v>
      </c>
      <c r="C447" t="str" cm="1">
        <f t="array" ref="C447" xml:space="preserve"> CleanText(B447)</f>
        <v>and im not hyped anymore fckn woke shit again</v>
      </c>
      <c r="D447">
        <v>3</v>
      </c>
      <c r="E447">
        <v>0</v>
      </c>
      <c r="F447" t="s">
        <v>0</v>
      </c>
      <c r="G447" t="str" cm="1">
        <f t="array" ref="G447" xml:space="preserve"> FindCountryName(F447)</f>
        <v>None</v>
      </c>
      <c r="H447" s="1">
        <v>45322.746527777781</v>
      </c>
      <c r="I447" s="1">
        <v>45322.746527777781</v>
      </c>
      <c r="J447" s="1">
        <v>41727.692685185182</v>
      </c>
      <c r="K447" cm="1">
        <f t="array" ref="K447" xml:space="preserve"> sentimentCalc(C447)</f>
        <v>0</v>
      </c>
      <c r="L447" t="str" cm="1">
        <f t="array" ref="L447" xml:space="preserve"> sentimentCategory(K447)</f>
        <v>Neutral</v>
      </c>
    </row>
    <row r="448" spans="1:12">
      <c r="A448" t="s">
        <v>4159</v>
      </c>
      <c r="B448" t="s">
        <v>4158</v>
      </c>
      <c r="C448" t="str" cm="1">
        <f t="array" ref="C448" xml:space="preserve"> CleanText(B448)</f>
        <v>cleopatra has black skin so why is aang white apparently netflix is bored with political correctness</v>
      </c>
      <c r="D448">
        <v>1</v>
      </c>
      <c r="E448">
        <v>0</v>
      </c>
      <c r="F448" t="s">
        <v>0</v>
      </c>
      <c r="G448" t="str" cm="1">
        <f t="array" ref="G448" xml:space="preserve"> FindCountryName(F448)</f>
        <v>None</v>
      </c>
      <c r="H448" s="1">
        <v>45322.620798611111</v>
      </c>
      <c r="I448" s="1">
        <v>45322.620798611111</v>
      </c>
      <c r="J448" s="1">
        <v>41471.342997685184</v>
      </c>
      <c r="K448" cm="1">
        <f t="array" ref="K448" xml:space="preserve"> sentimentCalc(C448)</f>
        <v>-2</v>
      </c>
      <c r="L448" t="str" cm="1">
        <f t="array" ref="L448" xml:space="preserve"> sentimentCategory(K448)</f>
        <v>Negative</v>
      </c>
    </row>
    <row r="449" spans="1:12">
      <c r="A449" t="s">
        <v>4157</v>
      </c>
      <c r="B449" t="s">
        <v>4156</v>
      </c>
      <c r="C449" t="str" cm="1">
        <f t="array" ref="C449" xml:space="preserve"> CleanText(B449)</f>
        <v>movie or series</v>
      </c>
      <c r="D449">
        <v>1</v>
      </c>
      <c r="E449">
        <v>0</v>
      </c>
      <c r="F449" t="s">
        <v>0</v>
      </c>
      <c r="G449" t="str" cm="1">
        <f t="array" ref="G449" xml:space="preserve"> FindCountryName(F449)</f>
        <v>None</v>
      </c>
      <c r="H449" s="1">
        <v>45322.617650462962</v>
      </c>
      <c r="I449" s="1">
        <v>45322.617650462962</v>
      </c>
      <c r="J449" s="1">
        <v>40894.677800925929</v>
      </c>
      <c r="K449" cm="1">
        <f t="array" ref="K449" xml:space="preserve"> sentimentCalc(C449)</f>
        <v>0</v>
      </c>
      <c r="L449" t="str" cm="1">
        <f t="array" ref="L449" xml:space="preserve"> sentimentCategory(K449)</f>
        <v>Neutral</v>
      </c>
    </row>
    <row r="450" spans="1:12">
      <c r="A450" t="s">
        <v>494</v>
      </c>
      <c r="B450" t="s">
        <v>4155</v>
      </c>
      <c r="C450" t="str" cm="1">
        <f t="array" ref="C450" xml:space="preserve"> CleanText(B450)</f>
        <v>booooo</v>
      </c>
      <c r="D450">
        <v>0</v>
      </c>
      <c r="E450">
        <v>0</v>
      </c>
      <c r="F450" t="s">
        <v>0</v>
      </c>
      <c r="G450" t="str" cm="1">
        <f t="array" ref="G450" xml:space="preserve"> FindCountryName(F450)</f>
        <v>None</v>
      </c>
      <c r="H450" s="1">
        <v>45322.584108796298</v>
      </c>
      <c r="I450" s="1">
        <v>45322.584108796298</v>
      </c>
      <c r="J450" s="1">
        <v>41745.429444444446</v>
      </c>
      <c r="K450" cm="1">
        <f t="array" ref="K450" xml:space="preserve"> sentimentCalc(C450)</f>
        <v>0</v>
      </c>
      <c r="L450" t="str" cm="1">
        <f t="array" ref="L450" xml:space="preserve"> sentimentCategory(K450)</f>
        <v>Neutral</v>
      </c>
    </row>
    <row r="451" spans="1:12">
      <c r="A451" t="s">
        <v>178</v>
      </c>
      <c r="B451" t="s">
        <v>4154</v>
      </c>
      <c r="C451" t="str" cm="1">
        <f t="array" ref="C451" xml:space="preserve"> CleanText(B451)</f>
        <v>i pray we do not have our childhoods destroyed again hahahahahaha</v>
      </c>
      <c r="D451">
        <v>0</v>
      </c>
      <c r="E451">
        <v>0</v>
      </c>
      <c r="F451" t="s">
        <v>0</v>
      </c>
      <c r="G451" t="str" cm="1">
        <f t="array" ref="G451" xml:space="preserve"> FindCountryName(F451)</f>
        <v>None</v>
      </c>
      <c r="H451" s="1">
        <v>45322.522743055553</v>
      </c>
      <c r="I451" s="1">
        <v>45322.522743055553</v>
      </c>
      <c r="J451" s="1">
        <v>40827.436261574076</v>
      </c>
      <c r="K451" cm="1">
        <f t="array" ref="K451" xml:space="preserve"> sentimentCalc(C451)</f>
        <v>-2</v>
      </c>
      <c r="L451" t="str" cm="1">
        <f t="array" ref="L451" xml:space="preserve"> sentimentCategory(K451)</f>
        <v>Negative</v>
      </c>
    </row>
    <row r="452" spans="1:12">
      <c r="A452" t="s">
        <v>4153</v>
      </c>
      <c r="B452" t="s">
        <v>4152</v>
      </c>
      <c r="C452" t="str" cm="1">
        <f t="array" ref="C452" xml:space="preserve"> CleanText(B452)</f>
        <v>they made the anime neflix series worse you didnt have to make another</v>
      </c>
      <c r="D452">
        <v>0</v>
      </c>
      <c r="E452">
        <v>0</v>
      </c>
      <c r="F452" t="s">
        <v>0</v>
      </c>
      <c r="G452" t="str" cm="1">
        <f t="array" ref="G452" xml:space="preserve"> FindCountryName(F452)</f>
        <v>None</v>
      </c>
      <c r="H452" s="1">
        <v>45322.484432870369</v>
      </c>
      <c r="I452" s="1">
        <v>45322.484432870369</v>
      </c>
      <c r="J452" s="1">
        <v>45174.930104166669</v>
      </c>
      <c r="K452" cm="1">
        <f t="array" ref="K452" xml:space="preserve"> sentimentCalc(C452)</f>
        <v>-3</v>
      </c>
      <c r="L452" t="str" cm="1">
        <f t="array" ref="L452" xml:space="preserve"> sentimentCategory(K452)</f>
        <v>Negative</v>
      </c>
    </row>
    <row r="453" spans="1:12">
      <c r="A453" t="s">
        <v>2860</v>
      </c>
      <c r="B453" t="s">
        <v>4151</v>
      </c>
      <c r="C453" t="str" cm="1">
        <f t="array" ref="C453" xml:space="preserve"> CleanText(B453)</f>
        <v>guys you did it i am _xDD79_ zuko is badass  why is so few views</v>
      </c>
      <c r="D453">
        <v>0</v>
      </c>
      <c r="E453">
        <v>0</v>
      </c>
      <c r="F453" t="s">
        <v>0</v>
      </c>
      <c r="G453" t="str" cm="1">
        <f t="array" ref="G453" xml:space="preserve"> FindCountryName(F453)</f>
        <v>None</v>
      </c>
      <c r="H453" s="1">
        <v>45322.443078703705</v>
      </c>
      <c r="I453" s="1">
        <v>45322.448159722226</v>
      </c>
      <c r="J453" s="1">
        <v>40894.358067129629</v>
      </c>
      <c r="K453" cm="1">
        <f t="array" ref="K453" xml:space="preserve"> sentimentCalc(C453)</f>
        <v>-3</v>
      </c>
      <c r="L453" t="str" cm="1">
        <f t="array" ref="L453" xml:space="preserve"> sentimentCategory(K453)</f>
        <v>Negative</v>
      </c>
    </row>
    <row r="454" spans="1:12">
      <c r="A454" t="s">
        <v>4150</v>
      </c>
      <c r="B454" t="s">
        <v>4149</v>
      </c>
      <c r="C454" t="str" cm="1">
        <f t="array" ref="C454" xml:space="preserve"> CleanText(B454)</f>
        <v>im just hoping the bending isnt as atrocious lmao among other things as with the live action movie excited to give it a chance</v>
      </c>
      <c r="D454">
        <v>0</v>
      </c>
      <c r="E454">
        <v>0</v>
      </c>
      <c r="F454" t="s">
        <v>0</v>
      </c>
      <c r="G454" t="str" cm="1">
        <f t="array" ref="G454" xml:space="preserve"> FindCountryName(F454)</f>
        <v>None</v>
      </c>
      <c r="H454" s="1">
        <v>45322.436782407407</v>
      </c>
      <c r="I454" s="1">
        <v>45322.436782407407</v>
      </c>
      <c r="J454" s="1">
        <v>41608.917453703703</v>
      </c>
      <c r="K454" cm="1">
        <f t="array" ref="K454" xml:space="preserve"> sentimentCalc(C454)</f>
        <v>7</v>
      </c>
      <c r="L454" t="str" cm="1">
        <f t="array" ref="L454" xml:space="preserve"> sentimentCategory(K454)</f>
        <v>Positive</v>
      </c>
    </row>
    <row r="455" spans="1:12">
      <c r="A455" t="s">
        <v>169</v>
      </c>
      <c r="B455" t="s">
        <v>4148</v>
      </c>
      <c r="C455" t="str" cm="1">
        <f t="array" ref="C455" xml:space="preserve"> CleanText(B455)</f>
        <v>the fact that some of the cast from the movie the last airbender are in this live action remake makes me so excited because those actors were great even though the storyline was mid. i have high expectations for this</v>
      </c>
      <c r="D455">
        <v>0</v>
      </c>
      <c r="E455">
        <v>0</v>
      </c>
      <c r="F455" t="s">
        <v>0</v>
      </c>
      <c r="G455" t="str" cm="1">
        <f t="array" ref="G455" xml:space="preserve"> FindCountryName(F455)</f>
        <v>None</v>
      </c>
      <c r="H455" s="1">
        <v>45322.058958333335</v>
      </c>
      <c r="I455" s="1">
        <v>45322.058958333335</v>
      </c>
      <c r="J455" s="1">
        <v>41645.652395833335</v>
      </c>
      <c r="K455" cm="1">
        <f t="array" ref="K455" xml:space="preserve"> sentimentCalc(C455)</f>
        <v>6</v>
      </c>
      <c r="L455" t="str" cm="1">
        <f t="array" ref="L455" xml:space="preserve"> sentimentCategory(K455)</f>
        <v>Positive</v>
      </c>
    </row>
    <row r="456" spans="1:12">
      <c r="A456" t="s">
        <v>3518</v>
      </c>
      <c r="B456" t="s">
        <v>4147</v>
      </c>
      <c r="C456" t="str" cm="1">
        <f t="array" ref="C456" xml:space="preserve"> CleanText(B456)</f>
        <v>c de la merde</v>
      </c>
      <c r="D456">
        <v>1</v>
      </c>
      <c r="E456">
        <v>0</v>
      </c>
      <c r="F456" t="s">
        <v>0</v>
      </c>
      <c r="G456" t="str" cm="1">
        <f t="array" ref="G456" xml:space="preserve"> FindCountryName(F456)</f>
        <v>None</v>
      </c>
      <c r="H456" s="1">
        <v>45321.714733796296</v>
      </c>
      <c r="I456" s="1">
        <v>45321.714733796296</v>
      </c>
      <c r="J456" s="1">
        <v>41111.674444444441</v>
      </c>
      <c r="K456" cm="1">
        <f t="array" ref="K456" xml:space="preserve"> sentimentCalc(C456)</f>
        <v>0</v>
      </c>
      <c r="L456" t="str" cm="1">
        <f t="array" ref="L456" xml:space="preserve"> sentimentCategory(K456)</f>
        <v>Neutral</v>
      </c>
    </row>
    <row r="457" spans="1:12">
      <c r="A457" t="s">
        <v>4121</v>
      </c>
      <c r="B457" t="s">
        <v>4146</v>
      </c>
      <c r="C457" t="str" cm="1">
        <f t="array" ref="C457" xml:space="preserve"> CleanText(B457)</f>
        <v>looks disgusting</v>
      </c>
      <c r="D457">
        <v>1</v>
      </c>
      <c r="E457">
        <v>1</v>
      </c>
      <c r="F457" t="s">
        <v>0</v>
      </c>
      <c r="G457" t="str" cm="1">
        <f t="array" ref="G457" xml:space="preserve"> FindCountryName(F457)</f>
        <v>None</v>
      </c>
      <c r="H457" s="1">
        <v>45321.659884259258</v>
      </c>
      <c r="I457" s="1">
        <v>45321.659884259258</v>
      </c>
      <c r="J457" s="1">
        <v>43228.483657407407</v>
      </c>
      <c r="K457" cm="1">
        <f t="array" ref="K457" xml:space="preserve"> sentimentCalc(C457)</f>
        <v>-3</v>
      </c>
      <c r="L457" t="str" cm="1">
        <f t="array" ref="L457" xml:space="preserve"> sentimentCategory(K457)</f>
        <v>Negative</v>
      </c>
    </row>
    <row r="458" spans="1:12">
      <c r="A458" t="s">
        <v>190</v>
      </c>
      <c r="B458" t="s">
        <v>4145</v>
      </c>
      <c r="C458" t="str" cm="1">
        <f t="array" ref="C458" xml:space="preserve"> CleanText(B458)</f>
        <v>they nailed it with one piece i hope this will be equally good</v>
      </c>
      <c r="D458">
        <v>1</v>
      </c>
      <c r="E458">
        <v>0</v>
      </c>
      <c r="F458" t="s">
        <v>0</v>
      </c>
      <c r="G458" t="str" cm="1">
        <f t="array" ref="G458" xml:space="preserve"> FindCountryName(F458)</f>
        <v>None</v>
      </c>
      <c r="H458" s="1">
        <v>45321.499363425923</v>
      </c>
      <c r="I458" s="1">
        <v>45321.499363425923</v>
      </c>
      <c r="J458" s="1">
        <v>43824.358263888891</v>
      </c>
      <c r="K458" cm="1">
        <f t="array" ref="K458" xml:space="preserve"> sentimentCalc(C458)</f>
        <v>5</v>
      </c>
      <c r="L458" t="str" cm="1">
        <f t="array" ref="L458" xml:space="preserve"> sentimentCategory(K458)</f>
        <v>Positive</v>
      </c>
    </row>
    <row r="459" spans="1:12">
      <c r="A459" t="s">
        <v>1462</v>
      </c>
      <c r="B459" t="s">
        <v>4144</v>
      </c>
      <c r="C459" t="str" cm="1">
        <f t="array" ref="C459" xml:space="preserve"> CleanText(B459)</f>
        <v>бта вса n</v>
      </c>
      <c r="D459">
        <v>2</v>
      </c>
      <c r="E459">
        <v>0</v>
      </c>
      <c r="F459" t="s">
        <v>0</v>
      </c>
      <c r="G459" t="str" cm="1">
        <f t="array" ref="G459" xml:space="preserve"> FindCountryName(F459)</f>
        <v>None</v>
      </c>
      <c r="H459" s="1">
        <v>45321.220312500001</v>
      </c>
      <c r="I459" s="1">
        <v>45321.220312500001</v>
      </c>
      <c r="J459" s="1">
        <v>44134.338506944441</v>
      </c>
      <c r="K459" cm="1">
        <f t="array" ref="K459" xml:space="preserve"> sentimentCalc(C459)</f>
        <v>0</v>
      </c>
      <c r="L459" t="str" cm="1">
        <f t="array" ref="L459" xml:space="preserve"> sentimentCategory(K459)</f>
        <v>Neutral</v>
      </c>
    </row>
    <row r="460" spans="1:12">
      <c r="A460" t="s">
        <v>2712</v>
      </c>
      <c r="B460" t="s">
        <v>4143</v>
      </c>
      <c r="C460" t="str" cm="1">
        <f t="array" ref="C460" xml:space="preserve"> CleanText(B460)</f>
        <v>2 i really wanna see the effect of sizing comet on fire benders in this movie</v>
      </c>
      <c r="D460">
        <v>1</v>
      </c>
      <c r="E460">
        <v>0</v>
      </c>
      <c r="F460" t="s">
        <v>0</v>
      </c>
      <c r="G460" t="str" cm="1">
        <f t="array" ref="G460" xml:space="preserve"> FindCountryName(F460)</f>
        <v>None</v>
      </c>
      <c r="H460" s="1">
        <v>45321.129849537036</v>
      </c>
      <c r="I460" s="1">
        <v>45321.129849537036</v>
      </c>
      <c r="J460" s="1">
        <v>43665.665196759262</v>
      </c>
      <c r="K460" cm="1">
        <f t="array" ref="K460" xml:space="preserve"> sentimentCalc(C460)</f>
        <v>-2</v>
      </c>
      <c r="L460" t="str" cm="1">
        <f t="array" ref="L460" xml:space="preserve"> sentimentCategory(K460)</f>
        <v>Negative</v>
      </c>
    </row>
    <row r="461" spans="1:12">
      <c r="A461" t="s">
        <v>539</v>
      </c>
      <c r="B461" t="s">
        <v>4142</v>
      </c>
      <c r="C461" t="str" cm="1">
        <f t="array" ref="C461" xml:space="preserve"> CleanText(B461)</f>
        <v>they got the soundtrack right at least</v>
      </c>
      <c r="D461">
        <v>0</v>
      </c>
      <c r="E461">
        <v>0</v>
      </c>
      <c r="F461" t="s">
        <v>0</v>
      </c>
      <c r="G461" t="str" cm="1">
        <f t="array" ref="G461" xml:space="preserve"> FindCountryName(F461)</f>
        <v>None</v>
      </c>
      <c r="H461" s="1">
        <v>45320.854155092595</v>
      </c>
      <c r="I461" s="1">
        <v>45320.854155092595</v>
      </c>
      <c r="J461" s="1">
        <v>40655.65488425926</v>
      </c>
      <c r="K461" cm="1">
        <f t="array" ref="K461" xml:space="preserve"> sentimentCalc(C461)</f>
        <v>0</v>
      </c>
      <c r="L461" t="str" cm="1">
        <f t="array" ref="L461" xml:space="preserve"> sentimentCategory(K461)</f>
        <v>Neutral</v>
      </c>
    </row>
    <row r="462" spans="1:12">
      <c r="A462" t="s">
        <v>494</v>
      </c>
      <c r="B462" t="s">
        <v>4141</v>
      </c>
      <c r="C462" t="str" cm="1">
        <f t="array" ref="C462" xml:space="preserve"> CleanText(B462)</f>
        <v>n</v>
      </c>
      <c r="D462">
        <v>0</v>
      </c>
      <c r="E462">
        <v>0</v>
      </c>
      <c r="F462" t="s">
        <v>0</v>
      </c>
      <c r="G462" t="str" cm="1">
        <f t="array" ref="G462" xml:space="preserve"> FindCountryName(F462)</f>
        <v>None</v>
      </c>
      <c r="H462" s="1">
        <v>45320.835196759261</v>
      </c>
      <c r="I462" s="1">
        <v>45320.835196759261</v>
      </c>
      <c r="J462" s="1">
        <v>41587.934675925928</v>
      </c>
      <c r="K462" cm="1">
        <f t="array" ref="K462" xml:space="preserve"> sentimentCalc(C462)</f>
        <v>0</v>
      </c>
      <c r="L462" t="str" cm="1">
        <f t="array" ref="L462" xml:space="preserve"> sentimentCategory(K462)</f>
        <v>Neutral</v>
      </c>
    </row>
    <row r="463" spans="1:12">
      <c r="A463" t="s">
        <v>1273</v>
      </c>
      <c r="B463" t="s">
        <v>4140</v>
      </c>
      <c r="C463" t="str" cm="1">
        <f t="array" ref="C463" xml:space="preserve"> CleanText(B463)</f>
        <v>/ remember who you are guys remember</v>
      </c>
      <c r="D463">
        <v>0</v>
      </c>
      <c r="E463">
        <v>0</v>
      </c>
      <c r="F463" t="s">
        <v>0</v>
      </c>
      <c r="G463" t="str" cm="1">
        <f t="array" ref="G463" xml:space="preserve"> FindCountryName(F463)</f>
        <v>None</v>
      </c>
      <c r="H463" s="1">
        <v>45320.587430555555</v>
      </c>
      <c r="I463" s="1">
        <v>45320.587430555555</v>
      </c>
      <c r="J463" s="1">
        <v>40979.571157407408</v>
      </c>
      <c r="K463" cm="1">
        <f t="array" ref="K463" xml:space="preserve"> sentimentCalc(C463)</f>
        <v>0</v>
      </c>
      <c r="L463" t="str" cm="1">
        <f t="array" ref="L463" xml:space="preserve"> sentimentCategory(K463)</f>
        <v>Neutral</v>
      </c>
    </row>
    <row r="464" spans="1:12">
      <c r="A464" t="s">
        <v>2333</v>
      </c>
      <c r="B464" t="s">
        <v>4139</v>
      </c>
      <c r="C464" t="str" cm="1">
        <f t="array" ref="C464" xml:space="preserve"> CleanText(B464)</f>
        <v>it will be super cringe with cool visual effects as always</v>
      </c>
      <c r="D464">
        <v>1</v>
      </c>
      <c r="E464">
        <v>0</v>
      </c>
      <c r="F464" t="s">
        <v>0</v>
      </c>
      <c r="G464" t="str" cm="1">
        <f t="array" ref="G464" xml:space="preserve"> FindCountryName(F464)</f>
        <v>None</v>
      </c>
      <c r="H464" s="1">
        <v>45320.586296296293</v>
      </c>
      <c r="I464" s="1">
        <v>45320.586296296293</v>
      </c>
      <c r="J464" s="1">
        <v>41403.106180555558</v>
      </c>
      <c r="K464" cm="1">
        <f t="array" ref="K464" xml:space="preserve"> sentimentCalc(C464)</f>
        <v>4</v>
      </c>
      <c r="L464" t="str" cm="1">
        <f t="array" ref="L464" xml:space="preserve"> sentimentCategory(K464)</f>
        <v>Positive</v>
      </c>
    </row>
    <row r="465" spans="1:12">
      <c r="A465" t="s">
        <v>950</v>
      </c>
      <c r="B465" t="s">
        <v>4044</v>
      </c>
      <c r="C465" t="str" cm="1">
        <f t="array" ref="C465" xml:space="preserve"> CleanText(B465)</f>
        <v>sper</v>
      </c>
      <c r="D465">
        <v>0</v>
      </c>
      <c r="E465">
        <v>0</v>
      </c>
      <c r="F465" t="s">
        <v>0</v>
      </c>
      <c r="G465" t="str" cm="1">
        <f t="array" ref="G465" xml:space="preserve"> FindCountryName(F465)</f>
        <v>None</v>
      </c>
      <c r="H465" s="1">
        <v>45320.536423611113</v>
      </c>
      <c r="I465" s="1">
        <v>45320.536423611113</v>
      </c>
      <c r="J465" s="1">
        <v>42212.829189814816</v>
      </c>
      <c r="K465" cm="1">
        <f t="array" ref="K465" xml:space="preserve"> sentimentCalc(C465)</f>
        <v>0</v>
      </c>
      <c r="L465" t="str" cm="1">
        <f t="array" ref="L465" xml:space="preserve"> sentimentCategory(K465)</f>
        <v>Neutral</v>
      </c>
    </row>
    <row r="466" spans="1:12">
      <c r="A466" t="s">
        <v>547</v>
      </c>
      <c r="B466" t="s">
        <v>4138</v>
      </c>
      <c r="C466" t="str" cm="1">
        <f t="array" ref="C466" xml:space="preserve"> CleanText(B466)</f>
        <v>seeing all these season  episodes reimagined its phenomenal</v>
      </c>
      <c r="D466">
        <v>0</v>
      </c>
      <c r="E466">
        <v>0</v>
      </c>
      <c r="F466" t="s">
        <v>0</v>
      </c>
      <c r="G466" t="str" cm="1">
        <f t="array" ref="G466" xml:space="preserve"> FindCountryName(F466)</f>
        <v>None</v>
      </c>
      <c r="H466" s="1">
        <v>45320.530902777777</v>
      </c>
      <c r="I466" s="1">
        <v>45320.530902777777</v>
      </c>
      <c r="J466" s="1">
        <v>45280.765451388892</v>
      </c>
      <c r="K466" cm="1">
        <f t="array" ref="K466" xml:space="preserve"> sentimentCalc(C466)</f>
        <v>0</v>
      </c>
      <c r="L466" t="str" cm="1">
        <f t="array" ref="L466" xml:space="preserve"> sentimentCategory(K466)</f>
        <v>Neutral</v>
      </c>
    </row>
    <row r="467" spans="1:12">
      <c r="A467" t="s">
        <v>1867</v>
      </c>
      <c r="B467" t="s">
        <v>4137</v>
      </c>
      <c r="C467" t="str" cm="1">
        <f t="array" ref="C467" xml:space="preserve"> CleanText(B467)</f>
        <v>awesome _xDF89_</v>
      </c>
      <c r="D467">
        <v>0</v>
      </c>
      <c r="E467">
        <v>0</v>
      </c>
      <c r="F467" t="s">
        <v>0</v>
      </c>
      <c r="G467" t="str" cm="1">
        <f t="array" ref="G467" xml:space="preserve"> FindCountryName(F467)</f>
        <v>None</v>
      </c>
      <c r="H467" s="1">
        <v>45320.53019675926</v>
      </c>
      <c r="I467" s="1">
        <v>45320.53019675926</v>
      </c>
      <c r="J467" s="1">
        <v>44795.487129629626</v>
      </c>
      <c r="K467" cm="1">
        <f t="array" ref="K467" xml:space="preserve"> sentimentCalc(C467)</f>
        <v>4</v>
      </c>
      <c r="L467" t="str" cm="1">
        <f t="array" ref="L467" xml:space="preserve"> sentimentCategory(K467)</f>
        <v>Positive</v>
      </c>
    </row>
    <row r="468" spans="1:12">
      <c r="A468" t="s">
        <v>4136</v>
      </c>
      <c r="B468" t="s">
        <v>4135</v>
      </c>
      <c r="C468" t="str" cm="1">
        <f t="array" ref="C468" xml:space="preserve"> CleanText(B468)</f>
        <v>please dont mess this up im super excited _xDD79_</v>
      </c>
      <c r="D468">
        <v>0</v>
      </c>
      <c r="E468">
        <v>0</v>
      </c>
      <c r="F468" t="s">
        <v>323</v>
      </c>
      <c r="G468" t="str" cm="1">
        <f t="array" ref="G468" xml:space="preserve"> FindCountryName(F468)</f>
        <v>Netherlands (the)</v>
      </c>
      <c r="H468" s="1">
        <v>45320.523194444446</v>
      </c>
      <c r="I468" s="1">
        <v>45320.523194444446</v>
      </c>
      <c r="J468" s="1">
        <v>43943.639004629629</v>
      </c>
      <c r="K468" cm="1">
        <f t="array" ref="K468" xml:space="preserve"> sentimentCalc(C468)</f>
        <v>5</v>
      </c>
      <c r="L468" t="str" cm="1">
        <f t="array" ref="L468" xml:space="preserve"> sentimentCategory(K468)</f>
        <v>Positive</v>
      </c>
    </row>
    <row r="469" spans="1:12">
      <c r="A469" t="s">
        <v>826</v>
      </c>
      <c r="B469" t="s">
        <v>4134</v>
      </c>
      <c r="C469" t="str" cm="1">
        <f t="array" ref="C469" xml:space="preserve"> CleanText(B469)</f>
        <v>sper ok beendim</v>
      </c>
      <c r="D469">
        <v>0</v>
      </c>
      <c r="E469">
        <v>0</v>
      </c>
      <c r="F469" t="s">
        <v>0</v>
      </c>
      <c r="G469" t="str" cm="1">
        <f t="array" ref="G469" xml:space="preserve"> FindCountryName(F469)</f>
        <v>None</v>
      </c>
      <c r="H469" s="1">
        <v>45320.516053240739</v>
      </c>
      <c r="I469" s="1">
        <v>45320.516053240739</v>
      </c>
      <c r="J469" s="1">
        <v>43086.18310185185</v>
      </c>
      <c r="K469" cm="1">
        <f t="array" ref="K469" xml:space="preserve"> sentimentCalc(C469)</f>
        <v>0</v>
      </c>
      <c r="L469" t="str" cm="1">
        <f t="array" ref="L469" xml:space="preserve"> sentimentCategory(K469)</f>
        <v>Neutral</v>
      </c>
    </row>
    <row r="470" spans="1:12">
      <c r="A470" t="s">
        <v>276</v>
      </c>
      <c r="B470" t="s">
        <v>4133</v>
      </c>
      <c r="C470" t="str" cm="1">
        <f t="array" ref="C470" xml:space="preserve"> CleanText(B470)</f>
        <v>bence harika bir dizi</v>
      </c>
      <c r="D470">
        <v>0</v>
      </c>
      <c r="E470">
        <v>0</v>
      </c>
      <c r="F470" t="s">
        <v>0</v>
      </c>
      <c r="G470" t="str" cm="1">
        <f t="array" ref="G470" xml:space="preserve"> FindCountryName(F470)</f>
        <v>None</v>
      </c>
      <c r="H470" s="1">
        <v>45320.515092592592</v>
      </c>
      <c r="I470" s="1">
        <v>45320.515092592592</v>
      </c>
      <c r="J470" s="1">
        <v>41980.597442129627</v>
      </c>
      <c r="K470" cm="1">
        <f t="array" ref="K470" xml:space="preserve"> sentimentCalc(C470)</f>
        <v>0</v>
      </c>
      <c r="L470" t="str" cm="1">
        <f t="array" ref="L470" xml:space="preserve"> sentimentCategory(K470)</f>
        <v>Neutral</v>
      </c>
    </row>
    <row r="471" spans="1:12">
      <c r="A471" t="s">
        <v>779</v>
      </c>
      <c r="B471" t="s">
        <v>4132</v>
      </c>
      <c r="C471" t="str" cm="1">
        <f t="array" ref="C471" xml:space="preserve"> CleanText(B471)</f>
        <v>film ok gzeldi _xDF89_</v>
      </c>
      <c r="D471">
        <v>0</v>
      </c>
      <c r="E471">
        <v>0</v>
      </c>
      <c r="F471" t="s">
        <v>1523</v>
      </c>
      <c r="G471" t="str" cm="1">
        <f t="array" ref="G471" xml:space="preserve"> FindCountryName(F471)</f>
        <v>Turkey</v>
      </c>
      <c r="H471" s="1">
        <v>45320.511747685188</v>
      </c>
      <c r="I471" s="1">
        <v>45320.511747685188</v>
      </c>
      <c r="J471" s="1">
        <v>41551.626504629632</v>
      </c>
      <c r="K471" cm="1">
        <f t="array" ref="K471" xml:space="preserve"> sentimentCalc(C471)</f>
        <v>0</v>
      </c>
      <c r="L471" t="str" cm="1">
        <f t="array" ref="L471" xml:space="preserve"> sentimentCategory(K471)</f>
        <v>Neutral</v>
      </c>
    </row>
    <row r="472" spans="1:12">
      <c r="A472" t="s">
        <v>4131</v>
      </c>
      <c r="B472" t="s">
        <v>4130</v>
      </c>
      <c r="C472" t="str" cm="1">
        <f t="array" ref="C472" xml:space="preserve"> CleanText(B472)</f>
        <v>the movie was so good please netflix dont rune it</v>
      </c>
      <c r="D472">
        <v>0</v>
      </c>
      <c r="E472">
        <v>1</v>
      </c>
      <c r="F472" t="s">
        <v>0</v>
      </c>
      <c r="G472" t="str" cm="1">
        <f t="array" ref="G472" xml:space="preserve"> FindCountryName(F472)</f>
        <v>None</v>
      </c>
      <c r="H472" s="1">
        <v>45320.495312500003</v>
      </c>
      <c r="I472" s="1">
        <v>45320.495312500003</v>
      </c>
      <c r="J472" s="1">
        <v>41049.91909722222</v>
      </c>
      <c r="K472" cm="1">
        <f t="array" ref="K472" xml:space="preserve"> sentimentCalc(C472)</f>
        <v>4</v>
      </c>
      <c r="L472" t="str" cm="1">
        <f t="array" ref="L472" xml:space="preserve"> sentimentCategory(K472)</f>
        <v>Positive</v>
      </c>
    </row>
    <row r="473" spans="1:12">
      <c r="A473" t="s">
        <v>1471</v>
      </c>
      <c r="B473" t="s">
        <v>4129</v>
      </c>
      <c r="C473" t="str" cm="1">
        <f t="array" ref="C473" xml:space="preserve"> CleanText(B473)</f>
        <v>heyecan verici zlemek iin sabrszlanyorum _xDF89_</v>
      </c>
      <c r="D473">
        <v>0</v>
      </c>
      <c r="E473">
        <v>0</v>
      </c>
      <c r="F473" t="s">
        <v>0</v>
      </c>
      <c r="G473" t="str" cm="1">
        <f t="array" ref="G473" xml:space="preserve"> FindCountryName(F473)</f>
        <v>None</v>
      </c>
      <c r="H473" s="1">
        <v>45320.470868055556</v>
      </c>
      <c r="I473" s="1">
        <v>45320.470868055556</v>
      </c>
      <c r="J473" s="1">
        <v>42425.521099537036</v>
      </c>
      <c r="K473" cm="1">
        <f t="array" ref="K473" xml:space="preserve"> sentimentCalc(C473)</f>
        <v>0</v>
      </c>
      <c r="L473" t="str" cm="1">
        <f t="array" ref="L473" xml:space="preserve"> sentimentCategory(K473)</f>
        <v>Neutral</v>
      </c>
    </row>
    <row r="474" spans="1:12">
      <c r="A474" t="s">
        <v>291</v>
      </c>
      <c r="B474" t="s">
        <v>4128</v>
      </c>
      <c r="C474" t="str" cm="1">
        <f t="array" ref="C474" xml:space="preserve"> CleanText(B474)</f>
        <v>katara should be black</v>
      </c>
      <c r="D474">
        <v>0</v>
      </c>
      <c r="E474">
        <v>1</v>
      </c>
      <c r="F474" t="s">
        <v>0</v>
      </c>
      <c r="G474" t="str" cm="1">
        <f t="array" ref="G474" xml:space="preserve"> FindCountryName(F474)</f>
        <v>None</v>
      </c>
      <c r="H474" s="1">
        <v>45320.467974537038</v>
      </c>
      <c r="I474" s="1">
        <v>45320.467974537038</v>
      </c>
      <c r="J474" s="1">
        <v>42406.141238425924</v>
      </c>
      <c r="K474" cm="1">
        <f t="array" ref="K474" xml:space="preserve"> sentimentCalc(C474)</f>
        <v>0</v>
      </c>
      <c r="L474" t="str" cm="1">
        <f t="array" ref="L474" xml:space="preserve"> sentimentCategory(K474)</f>
        <v>Neutral</v>
      </c>
    </row>
    <row r="475" spans="1:12">
      <c r="A475" t="s">
        <v>2235</v>
      </c>
      <c r="B475" t="s">
        <v>4127</v>
      </c>
      <c r="C475" t="str" cm="1">
        <f t="array" ref="C475" xml:space="preserve"> CleanText(B475)</f>
        <v>harika bir filim</v>
      </c>
      <c r="D475">
        <v>0</v>
      </c>
      <c r="E475">
        <v>0</v>
      </c>
      <c r="F475" t="s">
        <v>0</v>
      </c>
      <c r="G475" t="str" cm="1">
        <f t="array" ref="G475" xml:space="preserve"> FindCountryName(F475)</f>
        <v>None</v>
      </c>
      <c r="H475" s="1">
        <v>45320.457974537036</v>
      </c>
      <c r="I475" s="1">
        <v>45320.457974537036</v>
      </c>
      <c r="J475" s="1">
        <v>42524.331261574072</v>
      </c>
      <c r="K475" cm="1">
        <f t="array" ref="K475" xml:space="preserve"> sentimentCalc(C475)</f>
        <v>0</v>
      </c>
      <c r="L475" t="str" cm="1">
        <f t="array" ref="L475" xml:space="preserve"> sentimentCategory(K475)</f>
        <v>Neutral</v>
      </c>
    </row>
    <row r="476" spans="1:12">
      <c r="A476" t="s">
        <v>1408</v>
      </c>
      <c r="B476" t="s">
        <v>4126</v>
      </c>
      <c r="C476" t="str" cm="1">
        <f t="array" ref="C476" xml:space="preserve"> CleanText(B476)</f>
        <v>mukkemmel fragman</v>
      </c>
      <c r="D476">
        <v>0</v>
      </c>
      <c r="E476">
        <v>0</v>
      </c>
      <c r="F476" t="s">
        <v>0</v>
      </c>
      <c r="G476" t="str" cm="1">
        <f t="array" ref="G476" xml:space="preserve"> FindCountryName(F476)</f>
        <v>None</v>
      </c>
      <c r="H476" s="1">
        <v>45320.455891203703</v>
      </c>
      <c r="I476" s="1">
        <v>45320.455972222226</v>
      </c>
      <c r="J476" s="1">
        <v>44529.698275462964</v>
      </c>
      <c r="K476" cm="1">
        <f t="array" ref="K476" xml:space="preserve"> sentimentCalc(C476)</f>
        <v>0</v>
      </c>
      <c r="L476" t="str" cm="1">
        <f t="array" ref="L476" xml:space="preserve"> sentimentCategory(K476)</f>
        <v>Neutral</v>
      </c>
    </row>
    <row r="477" spans="1:12">
      <c r="A477" t="s">
        <v>23</v>
      </c>
      <c r="B477" t="s">
        <v>4125</v>
      </c>
      <c r="C477" t="str" cm="1">
        <f t="array" ref="C477" xml:space="preserve"> CleanText(B477)</f>
        <v>fantastik bir yapma benziyor heyecanla bekleyeceim</v>
      </c>
      <c r="D477">
        <v>0</v>
      </c>
      <c r="E477">
        <v>0</v>
      </c>
      <c r="F477" t="s">
        <v>0</v>
      </c>
      <c r="G477" t="str" cm="1">
        <f t="array" ref="G477" xml:space="preserve"> FindCountryName(F477)</f>
        <v>None</v>
      </c>
      <c r="H477" s="1">
        <v>45320.433900462966</v>
      </c>
      <c r="I477" s="1">
        <v>45320.433900462966</v>
      </c>
      <c r="J477" s="1">
        <v>45320.431597222225</v>
      </c>
      <c r="K477" cm="1">
        <f t="array" ref="K477" xml:space="preserve"> sentimentCalc(C477)</f>
        <v>0</v>
      </c>
      <c r="L477" t="str" cm="1">
        <f t="array" ref="L477" xml:space="preserve"> sentimentCategory(K477)</f>
        <v>Neutral</v>
      </c>
    </row>
    <row r="478" spans="1:12">
      <c r="A478" t="s">
        <v>2331</v>
      </c>
      <c r="B478" t="s">
        <v>4124</v>
      </c>
      <c r="C478" t="str" cm="1">
        <f t="array" ref="C478" xml:space="preserve"> CleanText(B478)</f>
        <v>efektler harika</v>
      </c>
      <c r="D478">
        <v>0</v>
      </c>
      <c r="E478">
        <v>0</v>
      </c>
      <c r="F478" t="s">
        <v>0</v>
      </c>
      <c r="G478" t="str" cm="1">
        <f t="array" ref="G478" xml:space="preserve"> FindCountryName(F478)</f>
        <v>None</v>
      </c>
      <c r="H478" s="1">
        <v>45320.42287037037</v>
      </c>
      <c r="I478" s="1">
        <v>45320.42287037037</v>
      </c>
      <c r="J478" s="1">
        <v>41688.433576388888</v>
      </c>
      <c r="K478" cm="1">
        <f t="array" ref="K478" xml:space="preserve"> sentimentCalc(C478)</f>
        <v>0</v>
      </c>
      <c r="L478" t="str" cm="1">
        <f t="array" ref="L478" xml:space="preserve"> sentimentCategory(K478)</f>
        <v>Neutral</v>
      </c>
    </row>
    <row r="479" spans="1:12">
      <c r="A479" t="s">
        <v>830</v>
      </c>
      <c r="B479" t="s">
        <v>4123</v>
      </c>
      <c r="C479" t="str" cm="1">
        <f t="array" ref="C479" xml:space="preserve"> CleanText(B479)</f>
        <v>ok gzel mukemmel</v>
      </c>
      <c r="D479">
        <v>0</v>
      </c>
      <c r="E479">
        <v>0</v>
      </c>
      <c r="F479" t="s">
        <v>0</v>
      </c>
      <c r="G479" t="str" cm="1">
        <f t="array" ref="G479" xml:space="preserve"> FindCountryName(F479)</f>
        <v>None</v>
      </c>
      <c r="H479" s="1">
        <v>45320.410682870373</v>
      </c>
      <c r="I479" s="1">
        <v>45320.410682870373</v>
      </c>
      <c r="J479" s="1">
        <v>42583.248379629629</v>
      </c>
      <c r="K479" cm="1">
        <f t="array" ref="K479" xml:space="preserve"> sentimentCalc(C479)</f>
        <v>0</v>
      </c>
      <c r="L479" t="str" cm="1">
        <f t="array" ref="L479" xml:space="preserve"> sentimentCategory(K479)</f>
        <v>Neutral</v>
      </c>
    </row>
    <row r="480" spans="1:12">
      <c r="A480" t="s">
        <v>1666</v>
      </c>
      <c r="B480" t="s">
        <v>4122</v>
      </c>
      <c r="C480" t="str" cm="1">
        <f t="array" ref="C480" xml:space="preserve"> CleanText(B480)</f>
        <v>bunu mutlaka izlemeliyiz gerek bir profosyonel yapma benziyor _xDE0A_</v>
      </c>
      <c r="D480">
        <v>0</v>
      </c>
      <c r="E480">
        <v>0</v>
      </c>
      <c r="F480" t="s">
        <v>0</v>
      </c>
      <c r="G480" t="str" cm="1">
        <f t="array" ref="G480" xml:space="preserve"> FindCountryName(F480)</f>
        <v>None</v>
      </c>
      <c r="H480" s="1">
        <v>45320.402592592596</v>
      </c>
      <c r="I480" s="1">
        <v>45320.402592592596</v>
      </c>
      <c r="J480" s="1">
        <v>43500.551793981482</v>
      </c>
      <c r="K480" cm="1">
        <f t="array" ref="K480" xml:space="preserve"> sentimentCalc(C480)</f>
        <v>0</v>
      </c>
      <c r="L480" t="str" cm="1">
        <f t="array" ref="L480" xml:space="preserve"> sentimentCategory(K480)</f>
        <v>Neutral</v>
      </c>
    </row>
    <row r="481" spans="1:12">
      <c r="A481" t="s">
        <v>4121</v>
      </c>
      <c r="B481" t="s">
        <v>4120</v>
      </c>
      <c r="C481" t="str" cm="1">
        <f t="array" ref="C481" xml:space="preserve"> CleanText(B481)</f>
        <v>heyecanla bekliyoruz acaba neler olacak</v>
      </c>
      <c r="D481">
        <v>0</v>
      </c>
      <c r="E481">
        <v>0</v>
      </c>
      <c r="F481" t="s">
        <v>0</v>
      </c>
      <c r="G481" t="str" cm="1">
        <f t="array" ref="G481" xml:space="preserve"> FindCountryName(F481)</f>
        <v>None</v>
      </c>
      <c r="H481" s="1">
        <v>45320.400833333333</v>
      </c>
      <c r="I481" s="1">
        <v>45320.400833333333</v>
      </c>
      <c r="J481" s="1">
        <v>40834.556030092594</v>
      </c>
      <c r="K481" cm="1">
        <f t="array" ref="K481" xml:space="preserve"> sentimentCalc(C481)</f>
        <v>0</v>
      </c>
      <c r="L481" t="str" cm="1">
        <f t="array" ref="L481" xml:space="preserve"> sentimentCategory(K481)</f>
        <v>Neutral</v>
      </c>
    </row>
    <row r="482" spans="1:12">
      <c r="A482" t="s">
        <v>774</v>
      </c>
      <c r="B482" t="s">
        <v>4119</v>
      </c>
      <c r="C482" t="str" cm="1">
        <f t="array" ref="C482" xml:space="preserve"> CleanText(B482)</f>
        <v>it has pretty good graphics</v>
      </c>
      <c r="D482">
        <v>0</v>
      </c>
      <c r="E482">
        <v>0</v>
      </c>
      <c r="F482" t="s">
        <v>0</v>
      </c>
      <c r="G482" t="str" cm="1">
        <f t="array" ref="G482" xml:space="preserve"> FindCountryName(F482)</f>
        <v>None</v>
      </c>
      <c r="H482" s="1">
        <v>45320.392418981479</v>
      </c>
      <c r="I482" s="1">
        <v>45320.392418981479</v>
      </c>
      <c r="J482" s="1">
        <v>43229.270567129628</v>
      </c>
      <c r="K482" cm="1">
        <f t="array" ref="K482" xml:space="preserve"> sentimentCalc(C482)</f>
        <v>4</v>
      </c>
      <c r="L482" t="str" cm="1">
        <f t="array" ref="L482" xml:space="preserve"> sentimentCategory(K482)</f>
        <v>Positive</v>
      </c>
    </row>
    <row r="483" spans="1:12">
      <c r="A483" t="s">
        <v>430</v>
      </c>
      <c r="B483" t="s">
        <v>4118</v>
      </c>
      <c r="C483" t="str" cm="1">
        <f t="array" ref="C483" xml:space="preserve"> CleanText(B483)</f>
        <v>уа, т иь   уе n</v>
      </c>
      <c r="D483">
        <v>0</v>
      </c>
      <c r="E483">
        <v>0</v>
      </c>
      <c r="F483" t="s">
        <v>0</v>
      </c>
      <c r="G483" t="str" cm="1">
        <f t="array" ref="G483" xml:space="preserve"> FindCountryName(F483)</f>
        <v>None</v>
      </c>
      <c r="H483" s="1">
        <v>45320.376145833332</v>
      </c>
      <c r="I483" s="1">
        <v>45320.376145833332</v>
      </c>
      <c r="J483" s="1">
        <v>45320.372430555559</v>
      </c>
      <c r="K483" cm="1">
        <f t="array" ref="K483" xml:space="preserve"> sentimentCalc(C483)</f>
        <v>0</v>
      </c>
      <c r="L483" t="str" cm="1">
        <f t="array" ref="L483" xml:space="preserve"> sentimentCategory(K483)</f>
        <v>Neutral</v>
      </c>
    </row>
    <row r="484" spans="1:12">
      <c r="A484" t="s">
        <v>640</v>
      </c>
      <c r="B484" t="s">
        <v>4117</v>
      </c>
      <c r="C484" t="str" cm="1">
        <f t="array" ref="C484" xml:space="preserve"> CleanText(B484)</f>
        <v>i cant wait to see it</v>
      </c>
      <c r="D484">
        <v>0</v>
      </c>
      <c r="E484">
        <v>0</v>
      </c>
      <c r="F484" t="s">
        <v>0</v>
      </c>
      <c r="G484" t="str" cm="1">
        <f t="array" ref="G484" xml:space="preserve"> FindCountryName(F484)</f>
        <v>None</v>
      </c>
      <c r="H484" s="1">
        <v>45320.375706018516</v>
      </c>
      <c r="I484" s="1">
        <v>45320.375706018516</v>
      </c>
      <c r="J484" s="1">
        <v>42589.698321759257</v>
      </c>
      <c r="K484" cm="1">
        <f t="array" ref="K484" xml:space="preserve"> sentimentCalc(C484)</f>
        <v>0</v>
      </c>
      <c r="L484" t="str" cm="1">
        <f t="array" ref="L484" xml:space="preserve"> sentimentCategory(K484)</f>
        <v>Neutral</v>
      </c>
    </row>
    <row r="485" spans="1:12">
      <c r="A485" t="s">
        <v>2128</v>
      </c>
      <c r="B485" t="s">
        <v>4116</v>
      </c>
      <c r="C485" t="str" cm="1">
        <f t="array" ref="C485" xml:space="preserve"> CleanText(B485)</f>
        <v>nanlmaz</v>
      </c>
      <c r="D485">
        <v>0</v>
      </c>
      <c r="E485">
        <v>0</v>
      </c>
      <c r="F485" t="s">
        <v>0</v>
      </c>
      <c r="G485" t="str" cm="1">
        <f t="array" ref="G485" xml:space="preserve"> FindCountryName(F485)</f>
        <v>None</v>
      </c>
      <c r="H485" s="1">
        <v>45320.36509259259</v>
      </c>
      <c r="I485" s="1">
        <v>45320.36509259259</v>
      </c>
      <c r="J485" s="1">
        <v>41930.498622685183</v>
      </c>
      <c r="K485" cm="1">
        <f t="array" ref="K485" xml:space="preserve"> sentimentCalc(C485)</f>
        <v>0</v>
      </c>
      <c r="L485" t="str" cm="1">
        <f t="array" ref="L485" xml:space="preserve"> sentimentCategory(K485)</f>
        <v>Neutral</v>
      </c>
    </row>
    <row r="486" spans="1:12">
      <c r="A486" t="s">
        <v>62</v>
      </c>
      <c r="B486" t="s">
        <v>4115</v>
      </c>
      <c r="C486" t="str" cm="1">
        <f t="array" ref="C486" xml:space="preserve"> CleanText(B486)</f>
        <v>wheres toph</v>
      </c>
      <c r="D486">
        <v>0</v>
      </c>
      <c r="E486">
        <v>2</v>
      </c>
      <c r="F486" t="s">
        <v>0</v>
      </c>
      <c r="G486" t="str" cm="1">
        <f t="array" ref="G486" xml:space="preserve"> FindCountryName(F486)</f>
        <v>None</v>
      </c>
      <c r="H486" s="1">
        <v>45320.364849537036</v>
      </c>
      <c r="I486" s="1">
        <v>45320.364849537036</v>
      </c>
      <c r="J486" s="1">
        <v>41888.318136574075</v>
      </c>
      <c r="K486" cm="1">
        <f t="array" ref="K486" xml:space="preserve"> sentimentCalc(C486)</f>
        <v>0</v>
      </c>
      <c r="L486" t="str" cm="1">
        <f t="array" ref="L486" xml:space="preserve"> sentimentCategory(K486)</f>
        <v>Neutral</v>
      </c>
    </row>
    <row r="487" spans="1:12">
      <c r="A487" t="s">
        <v>4114</v>
      </c>
      <c r="B487" t="s">
        <v>4113</v>
      </c>
      <c r="C487" t="str" cm="1">
        <f t="array" ref="C487" xml:space="preserve"> CleanText(B487)</f>
        <v>harika  tavsiye ederim</v>
      </c>
      <c r="D487">
        <v>0</v>
      </c>
      <c r="E487">
        <v>0</v>
      </c>
      <c r="F487" t="s">
        <v>0</v>
      </c>
      <c r="G487" t="str" cm="1">
        <f t="array" ref="G487" xml:space="preserve"> FindCountryName(F487)</f>
        <v>None</v>
      </c>
      <c r="H487" s="1">
        <v>45320.342187499999</v>
      </c>
      <c r="I487" s="1">
        <v>45320.342187499999</v>
      </c>
      <c r="J487" s="1">
        <v>45029.506053240744</v>
      </c>
      <c r="K487" cm="1">
        <f t="array" ref="K487" xml:space="preserve"> sentimentCalc(C487)</f>
        <v>0</v>
      </c>
      <c r="L487" t="str" cm="1">
        <f t="array" ref="L487" xml:space="preserve"> sentimentCategory(K487)</f>
        <v>Neutral</v>
      </c>
    </row>
    <row r="488" spans="1:12">
      <c r="A488" t="s">
        <v>1769</v>
      </c>
      <c r="B488" t="s">
        <v>4112</v>
      </c>
      <c r="C488" t="str" cm="1">
        <f t="array" ref="C488" xml:space="preserve"> CleanText(B488)</f>
        <v>serinin devamn merakla bekliyorum _xDC4D_</v>
      </c>
      <c r="D488">
        <v>0</v>
      </c>
      <c r="E488">
        <v>0</v>
      </c>
      <c r="F488" t="s">
        <v>0</v>
      </c>
      <c r="G488" t="str" cm="1">
        <f t="array" ref="G488" xml:space="preserve"> FindCountryName(F488)</f>
        <v>None</v>
      </c>
      <c r="H488" s="1">
        <v>45320.333622685182</v>
      </c>
      <c r="I488" s="1">
        <v>45320.333622685182</v>
      </c>
      <c r="J488" s="1">
        <v>40951.120335648149</v>
      </c>
      <c r="K488" cm="1">
        <f t="array" ref="K488" xml:space="preserve"> sentimentCalc(C488)</f>
        <v>0</v>
      </c>
      <c r="L488" t="str" cm="1">
        <f t="array" ref="L488" xml:space="preserve"> sentimentCategory(K488)</f>
        <v>Neutral</v>
      </c>
    </row>
    <row r="489" spans="1:12">
      <c r="A489" t="s">
        <v>32</v>
      </c>
      <c r="B489" t="s">
        <v>4111</v>
      </c>
      <c r="C489" t="str" cm="1">
        <f t="array" ref="C489" xml:space="preserve"> CleanText(B489)</f>
        <v>en sevdiim filmler arasnda aksiyon ve kungfu karate filmleri mkemmel tavsiye ederim</v>
      </c>
      <c r="D489">
        <v>0</v>
      </c>
      <c r="E489">
        <v>0</v>
      </c>
      <c r="F489" t="s">
        <v>0</v>
      </c>
      <c r="G489" t="str" cm="1">
        <f t="array" ref="G489" xml:space="preserve"> FindCountryName(F489)</f>
        <v>None</v>
      </c>
      <c r="H489" s="1">
        <v>45320.30704861111</v>
      </c>
      <c r="I489" s="1">
        <v>45320.30704861111</v>
      </c>
      <c r="J489" s="1">
        <v>44167.161527777775</v>
      </c>
      <c r="K489" cm="1">
        <f t="array" ref="K489" xml:space="preserve"> sentimentCalc(C489)</f>
        <v>0</v>
      </c>
      <c r="L489" t="str" cm="1">
        <f t="array" ref="L489" xml:space="preserve"> sentimentCategory(K489)</f>
        <v>Neutral</v>
      </c>
    </row>
    <row r="490" spans="1:12">
      <c r="A490" t="s">
        <v>1705</v>
      </c>
      <c r="B490" t="s">
        <v>4110</v>
      </c>
      <c r="C490" t="str" cm="1">
        <f t="array" ref="C490" xml:space="preserve"> CleanText(B490)</f>
        <v>gzel izleme deger</v>
      </c>
      <c r="D490">
        <v>0</v>
      </c>
      <c r="E490">
        <v>0</v>
      </c>
      <c r="F490" t="s">
        <v>0</v>
      </c>
      <c r="G490" t="str" cm="1">
        <f t="array" ref="G490" xml:space="preserve"> FindCountryName(F490)</f>
        <v>None</v>
      </c>
      <c r="H490" s="1">
        <v>45320.303587962961</v>
      </c>
      <c r="I490" s="1">
        <v>45320.303587962961</v>
      </c>
      <c r="J490" s="1">
        <v>42926.484733796293</v>
      </c>
      <c r="K490" cm="1">
        <f t="array" ref="K490" xml:space="preserve"> sentimentCalc(C490)</f>
        <v>0</v>
      </c>
      <c r="L490" t="str" cm="1">
        <f t="array" ref="L490" xml:space="preserve"> sentimentCategory(K490)</f>
        <v>Neutral</v>
      </c>
    </row>
    <row r="491" spans="1:12">
      <c r="A491" t="s">
        <v>4109</v>
      </c>
      <c r="B491" t="s">
        <v>3613</v>
      </c>
      <c r="C491" t="str" cm="1">
        <f t="array" ref="C491" xml:space="preserve"> CleanText(B491)</f>
        <v>ok iyi</v>
      </c>
      <c r="D491">
        <v>0</v>
      </c>
      <c r="E491">
        <v>0</v>
      </c>
      <c r="F491" t="s">
        <v>0</v>
      </c>
      <c r="G491" t="str" cm="1">
        <f t="array" ref="G491" xml:space="preserve"> FindCountryName(F491)</f>
        <v>None</v>
      </c>
      <c r="H491" s="1">
        <v>45320.300451388888</v>
      </c>
      <c r="I491" s="1">
        <v>45320.300451388888</v>
      </c>
      <c r="J491" s="1">
        <v>45018.612060185187</v>
      </c>
      <c r="K491" cm="1">
        <f t="array" ref="K491" xml:space="preserve"> sentimentCalc(C491)</f>
        <v>0</v>
      </c>
      <c r="L491" t="str" cm="1">
        <f t="array" ref="L491" xml:space="preserve"> sentimentCategory(K491)</f>
        <v>Neutral</v>
      </c>
    </row>
    <row r="492" spans="1:12">
      <c r="A492" t="s">
        <v>547</v>
      </c>
      <c r="B492" t="s">
        <v>4108</v>
      </c>
      <c r="C492" t="str" cm="1">
        <f t="array" ref="C492" xml:space="preserve"> CleanText(B492)</f>
        <v>hayretler iinde izledim ok gzel film</v>
      </c>
      <c r="D492">
        <v>0</v>
      </c>
      <c r="E492">
        <v>0</v>
      </c>
      <c r="F492" t="s">
        <v>0</v>
      </c>
      <c r="G492" t="str" cm="1">
        <f t="array" ref="G492" xml:space="preserve"> FindCountryName(F492)</f>
        <v>None</v>
      </c>
      <c r="H492" s="1">
        <v>45320.295729166668</v>
      </c>
      <c r="I492" s="1">
        <v>45320.295729166668</v>
      </c>
      <c r="J492" s="1">
        <v>45200.288449074076</v>
      </c>
      <c r="K492" cm="1">
        <f t="array" ref="K492" xml:space="preserve"> sentimentCalc(C492)</f>
        <v>0</v>
      </c>
      <c r="L492" t="str" cm="1">
        <f t="array" ref="L492" xml:space="preserve"> sentimentCategory(K492)</f>
        <v>Neutral</v>
      </c>
    </row>
    <row r="493" spans="1:12">
      <c r="A493" t="s">
        <v>789</v>
      </c>
      <c r="B493" t="s">
        <v>4107</v>
      </c>
      <c r="C493" t="str" cm="1">
        <f t="array" ref="C493" xml:space="preserve"> CleanText(B493)</f>
        <v>muazzam olmu daha iyisi olamaz</v>
      </c>
      <c r="D493">
        <v>0</v>
      </c>
      <c r="E493">
        <v>0</v>
      </c>
      <c r="F493" t="s">
        <v>0</v>
      </c>
      <c r="G493" t="str" cm="1">
        <f t="array" ref="G493" xml:space="preserve"> FindCountryName(F493)</f>
        <v>None</v>
      </c>
      <c r="H493" s="1">
        <v>45320.287106481483</v>
      </c>
      <c r="I493" s="1">
        <v>45320.287106481483</v>
      </c>
      <c r="J493" s="1">
        <v>43981.766215277778</v>
      </c>
      <c r="K493" cm="1">
        <f t="array" ref="K493" xml:space="preserve"> sentimentCalc(C493)</f>
        <v>0</v>
      </c>
      <c r="L493" t="str" cm="1">
        <f t="array" ref="L493" xml:space="preserve"> sentimentCategory(K493)</f>
        <v>Neutral</v>
      </c>
    </row>
    <row r="494" spans="1:12">
      <c r="A494" t="s">
        <v>1087</v>
      </c>
      <c r="B494" t="s">
        <v>4106</v>
      </c>
      <c r="C494" t="str" cm="1">
        <f t="array" ref="C494" xml:space="preserve"> CleanText(B494)</f>
        <v>harika bir sahne en iyi film</v>
      </c>
      <c r="D494">
        <v>0</v>
      </c>
      <c r="E494">
        <v>0</v>
      </c>
      <c r="F494" t="s">
        <v>0</v>
      </c>
      <c r="G494" t="str" cm="1">
        <f t="array" ref="G494" xml:space="preserve"> FindCountryName(F494)</f>
        <v>None</v>
      </c>
      <c r="H494" s="1">
        <v>45320.286574074074</v>
      </c>
      <c r="I494" s="1">
        <v>45320.286574074074</v>
      </c>
      <c r="J494" s="1">
        <v>43518.752569444441</v>
      </c>
      <c r="K494" cm="1">
        <f t="array" ref="K494" xml:space="preserve"> sentimentCalc(C494)</f>
        <v>0</v>
      </c>
      <c r="L494" t="str" cm="1">
        <f t="array" ref="L494" xml:space="preserve"> sentimentCategory(K494)</f>
        <v>Neutral</v>
      </c>
    </row>
    <row r="495" spans="1:12">
      <c r="A495" t="s">
        <v>661</v>
      </c>
      <c r="B495" t="s">
        <v>4105</v>
      </c>
      <c r="C495" t="str" cm="1">
        <f t="array" ref="C495" xml:space="preserve"> CleanText(B495)</f>
        <v>beendim</v>
      </c>
      <c r="D495">
        <v>0</v>
      </c>
      <c r="E495">
        <v>0</v>
      </c>
      <c r="F495" t="s">
        <v>0</v>
      </c>
      <c r="G495" t="str" cm="1">
        <f t="array" ref="G495" xml:space="preserve"> FindCountryName(F495)</f>
        <v>None</v>
      </c>
      <c r="H495" s="1">
        <v>45320.284085648149</v>
      </c>
      <c r="I495" s="1">
        <v>45320.284085648149</v>
      </c>
      <c r="J495" s="1">
        <v>42152.597719907404</v>
      </c>
      <c r="K495" cm="1">
        <f t="array" ref="K495" xml:space="preserve"> sentimentCalc(C495)</f>
        <v>0</v>
      </c>
      <c r="L495" t="str" cm="1">
        <f t="array" ref="L495" xml:space="preserve"> sentimentCategory(K495)</f>
        <v>Neutral</v>
      </c>
    </row>
    <row r="496" spans="1:12">
      <c r="A496" t="s">
        <v>460</v>
      </c>
      <c r="B496" t="s">
        <v>4104</v>
      </c>
      <c r="C496" t="str" cm="1">
        <f t="array" ref="C496" xml:space="preserve"> CleanText(B496)</f>
        <v>grsel efektler ve konusu harika grnyor</v>
      </c>
      <c r="D496">
        <v>0</v>
      </c>
      <c r="E496">
        <v>0</v>
      </c>
      <c r="F496" t="s">
        <v>0</v>
      </c>
      <c r="G496" t="str" cm="1">
        <f t="array" ref="G496" xml:space="preserve"> FindCountryName(F496)</f>
        <v>None</v>
      </c>
      <c r="H496" s="1">
        <v>45320.283622685187</v>
      </c>
      <c r="I496" s="1">
        <v>45320.283622685187</v>
      </c>
      <c r="J496" s="1">
        <v>41483.416550925926</v>
      </c>
      <c r="K496" cm="1">
        <f t="array" ref="K496" xml:space="preserve"> sentimentCalc(C496)</f>
        <v>0</v>
      </c>
      <c r="L496" t="str" cm="1">
        <f t="array" ref="L496" xml:space="preserve"> sentimentCategory(K496)</f>
        <v>Neutral</v>
      </c>
    </row>
    <row r="497" spans="1:12">
      <c r="A497" t="s">
        <v>2293</v>
      </c>
      <c r="B497" t="s">
        <v>457</v>
      </c>
      <c r="C497" t="str" cm="1">
        <f t="array" ref="C497" xml:space="preserve"> CleanText(B497)</f>
        <v>n</v>
      </c>
      <c r="D497">
        <v>0</v>
      </c>
      <c r="E497">
        <v>0</v>
      </c>
      <c r="F497" t="s">
        <v>0</v>
      </c>
      <c r="G497" t="str" cm="1">
        <f t="array" ref="G497" xml:space="preserve"> FindCountryName(F497)</f>
        <v>None</v>
      </c>
      <c r="H497" s="1">
        <v>45320.282395833332</v>
      </c>
      <c r="I497" s="1">
        <v>45320.282395833332</v>
      </c>
      <c r="J497" s="1">
        <v>43187.634039351855</v>
      </c>
      <c r="K497" cm="1">
        <f t="array" ref="K497" xml:space="preserve"> sentimentCalc(C497)</f>
        <v>0</v>
      </c>
      <c r="L497" t="str" cm="1">
        <f t="array" ref="L497" xml:space="preserve"> sentimentCategory(K497)</f>
        <v>Neutral</v>
      </c>
    </row>
    <row r="498" spans="1:12">
      <c r="A498" t="s">
        <v>938</v>
      </c>
      <c r="B498" t="s">
        <v>4103</v>
      </c>
      <c r="C498" t="str" cm="1">
        <f t="array" ref="C498" xml:space="preserve"> CleanText(B498)</f>
        <v>sper otesi</v>
      </c>
      <c r="D498">
        <v>0</v>
      </c>
      <c r="E498">
        <v>0</v>
      </c>
      <c r="F498" t="s">
        <v>0</v>
      </c>
      <c r="G498" t="str" cm="1">
        <f t="array" ref="G498" xml:space="preserve"> FindCountryName(F498)</f>
        <v>None</v>
      </c>
      <c r="H498" s="1">
        <v>45320.281875000001</v>
      </c>
      <c r="I498" s="1">
        <v>45320.281875000001</v>
      </c>
      <c r="J498" s="1">
        <v>44336.4140625</v>
      </c>
      <c r="K498" cm="1">
        <f t="array" ref="K498" xml:space="preserve"> sentimentCalc(C498)</f>
        <v>0</v>
      </c>
      <c r="L498" t="str" cm="1">
        <f t="array" ref="L498" xml:space="preserve"> sentimentCategory(K498)</f>
        <v>Neutral</v>
      </c>
    </row>
    <row r="499" spans="1:12">
      <c r="A499" t="s">
        <v>938</v>
      </c>
      <c r="B499" t="s">
        <v>4102</v>
      </c>
      <c r="C499" t="str" cm="1">
        <f t="array" ref="C499" xml:space="preserve"> CleanText(B499)</f>
        <v>efsane</v>
      </c>
      <c r="D499">
        <v>0</v>
      </c>
      <c r="E499">
        <v>0</v>
      </c>
      <c r="F499" t="s">
        <v>0</v>
      </c>
      <c r="G499" t="str" cm="1">
        <f t="array" ref="G499" xml:space="preserve"> FindCountryName(F499)</f>
        <v>None</v>
      </c>
      <c r="H499" s="1">
        <v>45320.281759259262</v>
      </c>
      <c r="I499" s="1">
        <v>45320.281759259262</v>
      </c>
      <c r="J499" s="1">
        <v>44336.4140625</v>
      </c>
      <c r="K499" cm="1">
        <f t="array" ref="K499" xml:space="preserve"> sentimentCalc(C499)</f>
        <v>0</v>
      </c>
      <c r="L499" t="str" cm="1">
        <f t="array" ref="L499" xml:space="preserve"> sentimentCategory(K499)</f>
        <v>Neutral</v>
      </c>
    </row>
    <row r="500" spans="1:12">
      <c r="A500" t="s">
        <v>4101</v>
      </c>
      <c r="B500" t="s">
        <v>4100</v>
      </c>
      <c r="C500" t="str" cm="1">
        <f t="array" ref="C500" xml:space="preserve"> CleanText(B500)</f>
        <v>mkemmel</v>
      </c>
      <c r="D500">
        <v>0</v>
      </c>
      <c r="E500">
        <v>0</v>
      </c>
      <c r="F500" t="s">
        <v>0</v>
      </c>
      <c r="G500" t="str" cm="1">
        <f t="array" ref="G500" xml:space="preserve"> FindCountryName(F500)</f>
        <v>None</v>
      </c>
      <c r="H500" s="1">
        <v>45320.281412037039</v>
      </c>
      <c r="I500" s="1">
        <v>45320.281412037039</v>
      </c>
      <c r="J500" s="1">
        <v>45320.251562500001</v>
      </c>
      <c r="K500" cm="1">
        <f t="array" ref="K500" xml:space="preserve"> sentimentCalc(C500)</f>
        <v>0</v>
      </c>
      <c r="L500" t="str" cm="1">
        <f t="array" ref="L500" xml:space="preserve"> sentimentCategory(K500)</f>
        <v>Neutral</v>
      </c>
    </row>
    <row r="501" spans="1:12">
      <c r="A501" t="s">
        <v>367</v>
      </c>
      <c r="B501" t="s">
        <v>4099</v>
      </c>
      <c r="C501" t="str" cm="1">
        <f t="array" ref="C501" xml:space="preserve"> CleanText(B501)</f>
        <v>manzara ve oyunculuk harika herkese izlemeyi neriyorum</v>
      </c>
      <c r="D501">
        <v>0</v>
      </c>
      <c r="E501">
        <v>0</v>
      </c>
      <c r="F501" t="s">
        <v>1523</v>
      </c>
      <c r="G501" t="str" cm="1">
        <f t="array" ref="G501" xml:space="preserve"> FindCountryName(F501)</f>
        <v>Turkey</v>
      </c>
      <c r="H501" s="1">
        <v>45320.280300925922</v>
      </c>
      <c r="I501" s="1">
        <v>45320.280300925922</v>
      </c>
      <c r="J501" s="1">
        <v>42116.526238425926</v>
      </c>
      <c r="K501" cm="1">
        <f t="array" ref="K501" xml:space="preserve"> sentimentCalc(C501)</f>
        <v>0</v>
      </c>
      <c r="L501" t="str" cm="1">
        <f t="array" ref="L501" xml:space="preserve"> sentimentCategory(K501)</f>
        <v>Neutral</v>
      </c>
    </row>
    <row r="502" spans="1:12">
      <c r="A502" t="s">
        <v>566</v>
      </c>
      <c r="B502" t="s">
        <v>4098</v>
      </c>
      <c r="C502" t="str" cm="1">
        <f t="array" ref="C502" xml:space="preserve"> CleanText(B502)</f>
        <v>n</v>
      </c>
      <c r="D502">
        <v>0</v>
      </c>
      <c r="E502">
        <v>0</v>
      </c>
      <c r="F502" t="s">
        <v>0</v>
      </c>
      <c r="G502" t="str" cm="1">
        <f t="array" ref="G502" xml:space="preserve"> FindCountryName(F502)</f>
        <v>None</v>
      </c>
      <c r="H502" s="1">
        <v>45320.279722222222</v>
      </c>
      <c r="I502" s="1">
        <v>45320.279722222222</v>
      </c>
      <c r="J502" s="1">
        <v>42075.901203703703</v>
      </c>
      <c r="K502" cm="1">
        <f t="array" ref="K502" xml:space="preserve"> sentimentCalc(C502)</f>
        <v>0</v>
      </c>
      <c r="L502" t="str" cm="1">
        <f t="array" ref="L502" xml:space="preserve"> sentimentCategory(K502)</f>
        <v>Neutral</v>
      </c>
    </row>
    <row r="503" spans="1:12">
      <c r="A503" t="s">
        <v>369</v>
      </c>
      <c r="B503" t="s">
        <v>4097</v>
      </c>
      <c r="C503" t="str" cm="1">
        <f t="array" ref="C503" xml:space="preserve"> CleanText(B503)</f>
        <v>harika bir film ok beendim</v>
      </c>
      <c r="D503">
        <v>0</v>
      </c>
      <c r="E503">
        <v>0</v>
      </c>
      <c r="F503" t="s">
        <v>0</v>
      </c>
      <c r="G503" t="str" cm="1">
        <f t="array" ref="G503" xml:space="preserve"> FindCountryName(F503)</f>
        <v>None</v>
      </c>
      <c r="H503" s="1">
        <v>45320.279224537036</v>
      </c>
      <c r="I503" s="1">
        <v>45320.279224537036</v>
      </c>
      <c r="J503" s="1">
        <v>42639.239201388889</v>
      </c>
      <c r="K503" cm="1">
        <f t="array" ref="K503" xml:space="preserve"> sentimentCalc(C503)</f>
        <v>0</v>
      </c>
      <c r="L503" t="str" cm="1">
        <f t="array" ref="L503" xml:space="preserve"> sentimentCategory(K503)</f>
        <v>Neutral</v>
      </c>
    </row>
    <row r="504" spans="1:12">
      <c r="A504" t="s">
        <v>148</v>
      </c>
      <c r="B504" t="s">
        <v>4096</v>
      </c>
      <c r="C504" t="str" cm="1">
        <f t="array" ref="C504" xml:space="preserve"> CleanText(B504)</f>
        <v>it looks greatamazing effects _xDC4D_</v>
      </c>
      <c r="D504">
        <v>0</v>
      </c>
      <c r="E504">
        <v>0</v>
      </c>
      <c r="F504" t="s">
        <v>0</v>
      </c>
      <c r="G504" t="str" cm="1">
        <f t="array" ref="G504" xml:space="preserve"> FindCountryName(F504)</f>
        <v>None</v>
      </c>
      <c r="H504" s="1">
        <v>45320.278703703705</v>
      </c>
      <c r="I504" s="1">
        <v>45320.278703703705</v>
      </c>
      <c r="J504" s="1">
        <v>44101.7108912037</v>
      </c>
      <c r="K504" cm="1">
        <f t="array" ref="K504" xml:space="preserve"> sentimentCalc(C504)</f>
        <v>0</v>
      </c>
      <c r="L504" t="str" cm="1">
        <f t="array" ref="L504" xml:space="preserve"> sentimentCategory(K504)</f>
        <v>Neutral</v>
      </c>
    </row>
    <row r="505" spans="1:12">
      <c r="A505" t="s">
        <v>153</v>
      </c>
      <c r="B505" t="s">
        <v>4095</v>
      </c>
      <c r="C505" t="str" cm="1">
        <f t="array" ref="C505" xml:space="preserve"> CleanText(B505)</f>
        <v>herkesin izlemesi gereken bir film tek kelime ile harika</v>
      </c>
      <c r="D505">
        <v>0</v>
      </c>
      <c r="E505">
        <v>0</v>
      </c>
      <c r="F505" t="s">
        <v>0</v>
      </c>
      <c r="G505" t="str" cm="1">
        <f t="array" ref="G505" xml:space="preserve"> FindCountryName(F505)</f>
        <v>None</v>
      </c>
      <c r="H505" s="1">
        <v>45320.278553240743</v>
      </c>
      <c r="I505" s="1">
        <v>45320.278553240743</v>
      </c>
      <c r="J505" s="1">
        <v>43927.908854166664</v>
      </c>
      <c r="K505" cm="1">
        <f t="array" ref="K505" xml:space="preserve"> sentimentCalc(C505)</f>
        <v>0</v>
      </c>
      <c r="L505" t="str" cm="1">
        <f t="array" ref="L505" xml:space="preserve"> sentimentCategory(K505)</f>
        <v>Neutral</v>
      </c>
    </row>
    <row r="506" spans="1:12">
      <c r="A506" t="s">
        <v>407</v>
      </c>
      <c r="B506" t="s">
        <v>4094</v>
      </c>
      <c r="C506" t="str" cm="1">
        <f t="array" ref="C506" xml:space="preserve"> CleanText(B506)</f>
        <v>super otesi bir film</v>
      </c>
      <c r="D506">
        <v>0</v>
      </c>
      <c r="E506">
        <v>0</v>
      </c>
      <c r="F506" t="s">
        <v>0</v>
      </c>
      <c r="G506" t="str" cm="1">
        <f t="array" ref="G506" xml:space="preserve"> FindCountryName(F506)</f>
        <v>None</v>
      </c>
      <c r="H506" s="1">
        <v>45320.278275462966</v>
      </c>
      <c r="I506" s="1">
        <v>45320.278275462966</v>
      </c>
      <c r="J506" s="1">
        <v>41979.394641203704</v>
      </c>
      <c r="K506" cm="1">
        <f t="array" ref="K506" xml:space="preserve"> sentimentCalc(C506)</f>
        <v>3</v>
      </c>
      <c r="L506" t="str" cm="1">
        <f t="array" ref="L506" xml:space="preserve"> sentimentCategory(K506)</f>
        <v>Positive</v>
      </c>
    </row>
    <row r="507" spans="1:12">
      <c r="A507" t="s">
        <v>430</v>
      </c>
      <c r="B507" t="s">
        <v>4093</v>
      </c>
      <c r="C507" t="str" cm="1">
        <f t="array" ref="C507" xml:space="preserve"> CleanText(B507)</f>
        <v>film 00 keke imdi dizisini de yapsalar beklemedeyiz</v>
      </c>
      <c r="D507">
        <v>0</v>
      </c>
      <c r="E507">
        <v>1</v>
      </c>
      <c r="F507" t="s">
        <v>0</v>
      </c>
      <c r="G507" t="str" cm="1">
        <f t="array" ref="G507" xml:space="preserve"> FindCountryName(F507)</f>
        <v>None</v>
      </c>
      <c r="H507" s="1">
        <v>45320.27783564815</v>
      </c>
      <c r="I507" s="1">
        <v>45320.27783564815</v>
      </c>
      <c r="J507" s="1">
        <v>45320.257164351853</v>
      </c>
      <c r="K507" cm="1">
        <f t="array" ref="K507" xml:space="preserve"> sentimentCalc(C507)</f>
        <v>0</v>
      </c>
      <c r="L507" t="str" cm="1">
        <f t="array" ref="L507" xml:space="preserve"> sentimentCategory(K507)</f>
        <v>Neutral</v>
      </c>
    </row>
    <row r="508" spans="1:12">
      <c r="A508" t="s">
        <v>23</v>
      </c>
      <c r="B508" t="s">
        <v>4092</v>
      </c>
      <c r="C508" t="str" cm="1">
        <f t="array" ref="C508" xml:space="preserve"> CleanText(B508)</f>
        <v>film gerekten gzel avatar filmi muhteem olmu tafsiye ederim</v>
      </c>
      <c r="D508">
        <v>0</v>
      </c>
      <c r="E508">
        <v>0</v>
      </c>
      <c r="F508" t="s">
        <v>0</v>
      </c>
      <c r="G508" t="str" cm="1">
        <f t="array" ref="G508" xml:space="preserve"> FindCountryName(F508)</f>
        <v>None</v>
      </c>
      <c r="H508" s="1">
        <v>45320.277673611112</v>
      </c>
      <c r="I508" s="1">
        <v>45320.277673611112</v>
      </c>
      <c r="J508" s="1">
        <v>45320.274189814816</v>
      </c>
      <c r="K508" cm="1">
        <f t="array" ref="K508" xml:space="preserve"> sentimentCalc(C508)</f>
        <v>0</v>
      </c>
      <c r="L508" t="str" cm="1">
        <f t="array" ref="L508" xml:space="preserve"> sentimentCategory(K508)</f>
        <v>Neutral</v>
      </c>
    </row>
    <row r="509" spans="1:12">
      <c r="A509" t="s">
        <v>1613</v>
      </c>
      <c r="B509" t="s">
        <v>4091</v>
      </c>
      <c r="C509" t="str" cm="1">
        <f t="array" ref="C509" xml:space="preserve"> CleanText(B509)</f>
        <v>ok etkileyici ve srkleyici bir film kesinlikle izlemelisiniz ❤❤</v>
      </c>
      <c r="D509">
        <v>0</v>
      </c>
      <c r="E509">
        <v>0</v>
      </c>
      <c r="F509" t="s">
        <v>0</v>
      </c>
      <c r="G509" t="str" cm="1">
        <f t="array" ref="G509" xml:space="preserve"> FindCountryName(F509)</f>
        <v>None</v>
      </c>
      <c r="H509" s="1">
        <v>45320.277002314811</v>
      </c>
      <c r="I509" s="1">
        <v>45320.277002314811</v>
      </c>
      <c r="J509" s="1">
        <v>45214.233449074076</v>
      </c>
      <c r="K509" cm="1">
        <f t="array" ref="K509" xml:space="preserve"> sentimentCalc(C509)</f>
        <v>0</v>
      </c>
      <c r="L509" t="str" cm="1">
        <f t="array" ref="L509" xml:space="preserve"> sentimentCategory(K509)</f>
        <v>Neutral</v>
      </c>
    </row>
    <row r="510" spans="1:12">
      <c r="A510" t="s">
        <v>26</v>
      </c>
      <c r="B510" t="s">
        <v>4090</v>
      </c>
      <c r="C510" t="str" cm="1">
        <f t="array" ref="C510" xml:space="preserve"> CleanText(B510)</f>
        <v>avatarn son filmi efekt ve grsel olarak efsane</v>
      </c>
      <c r="D510">
        <v>0</v>
      </c>
      <c r="E510">
        <v>0</v>
      </c>
      <c r="F510" t="s">
        <v>0</v>
      </c>
      <c r="G510" t="str" cm="1">
        <f t="array" ref="G510" xml:space="preserve"> FindCountryName(F510)</f>
        <v>None</v>
      </c>
      <c r="H510" s="1">
        <v>45320.276539351849</v>
      </c>
      <c r="I510" s="1">
        <v>45320.276539351849</v>
      </c>
      <c r="J510" s="1">
        <v>41545.736030092594</v>
      </c>
      <c r="K510" cm="1">
        <f t="array" ref="K510" xml:space="preserve"> sentimentCalc(C510)</f>
        <v>0</v>
      </c>
      <c r="L510" t="str" cm="1">
        <f t="array" ref="L510" xml:space="preserve"> sentimentCategory(K510)</f>
        <v>Neutral</v>
      </c>
    </row>
    <row r="511" spans="1:12">
      <c r="A511" t="s">
        <v>78</v>
      </c>
      <c r="B511" t="s">
        <v>4089</v>
      </c>
      <c r="C511" t="str" cm="1">
        <f t="array" ref="C511" xml:space="preserve"> CleanText(B511)</f>
        <v>ok beendim ok gzel bir film izlemeye devam edeceim</v>
      </c>
      <c r="D511">
        <v>0</v>
      </c>
      <c r="E511">
        <v>0</v>
      </c>
      <c r="F511" t="s">
        <v>0</v>
      </c>
      <c r="G511" t="str" cm="1">
        <f t="array" ref="G511" xml:space="preserve"> FindCountryName(F511)</f>
        <v>None</v>
      </c>
      <c r="H511" s="1">
        <v>45320.276469907411</v>
      </c>
      <c r="I511" s="1">
        <v>45320.276469907411</v>
      </c>
      <c r="J511" s="1">
        <v>43359.477777777778</v>
      </c>
      <c r="K511" cm="1">
        <f t="array" ref="K511" xml:space="preserve"> sentimentCalc(C511)</f>
        <v>0</v>
      </c>
      <c r="L511" t="str" cm="1">
        <f t="array" ref="L511" xml:space="preserve"> sentimentCategory(K511)</f>
        <v>Neutral</v>
      </c>
    </row>
    <row r="512" spans="1:12">
      <c r="A512" t="s">
        <v>1596</v>
      </c>
      <c r="B512" t="s">
        <v>4088</v>
      </c>
      <c r="C512" t="str" cm="1">
        <f t="array" ref="C512" xml:space="preserve"> CleanText(B512)</f>
        <v>etkileyici manzaralara hayran kaldm</v>
      </c>
      <c r="D512">
        <v>0</v>
      </c>
      <c r="E512">
        <v>0</v>
      </c>
      <c r="F512" t="s">
        <v>0</v>
      </c>
      <c r="G512" t="str" cm="1">
        <f t="array" ref="G512" xml:space="preserve"> FindCountryName(F512)</f>
        <v>None</v>
      </c>
      <c r="H512" s="1">
        <v>45320.275949074072</v>
      </c>
      <c r="I512" s="1">
        <v>45320.275949074072</v>
      </c>
      <c r="J512" s="1">
        <v>43955.761793981481</v>
      </c>
      <c r="K512" cm="1">
        <f t="array" ref="K512" xml:space="preserve"> sentimentCalc(C512)</f>
        <v>0</v>
      </c>
      <c r="L512" t="str" cm="1">
        <f t="array" ref="L512" xml:space="preserve"> sentimentCategory(K512)</f>
        <v>Neutral</v>
      </c>
    </row>
    <row r="513" spans="1:12">
      <c r="A513" t="s">
        <v>153</v>
      </c>
      <c r="B513" t="s">
        <v>4087</v>
      </c>
      <c r="C513" t="str" cm="1">
        <f t="array" ref="C513" xml:space="preserve"> CleanText(B513)</f>
        <v>mkemmel bir video</v>
      </c>
      <c r="D513">
        <v>0</v>
      </c>
      <c r="E513">
        <v>0</v>
      </c>
      <c r="F513" t="s">
        <v>0</v>
      </c>
      <c r="G513" t="str" cm="1">
        <f t="array" ref="G513" xml:space="preserve"> FindCountryName(F513)</f>
        <v>None</v>
      </c>
      <c r="H513" s="1">
        <v>45320.275682870371</v>
      </c>
      <c r="I513" s="1">
        <v>45320.275682870371</v>
      </c>
      <c r="J513" s="1">
        <v>43506.227013888885</v>
      </c>
      <c r="K513" cm="1">
        <f t="array" ref="K513" xml:space="preserve"> sentimentCalc(C513)</f>
        <v>0</v>
      </c>
      <c r="L513" t="str" cm="1">
        <f t="array" ref="L513" xml:space="preserve"> sentimentCategory(K513)</f>
        <v>Neutral</v>
      </c>
    </row>
    <row r="514" spans="1:12">
      <c r="A514" t="s">
        <v>2863</v>
      </c>
      <c r="B514" t="s">
        <v>4086</v>
      </c>
      <c r="C514" t="str" cm="1">
        <f t="array" ref="C514" xml:space="preserve"> CleanText(B514)</f>
        <v>harika bir animasyon olmu heyecanla bekliyoruz</v>
      </c>
      <c r="D514">
        <v>0</v>
      </c>
      <c r="E514">
        <v>0</v>
      </c>
      <c r="F514" t="s">
        <v>0</v>
      </c>
      <c r="G514" t="str" cm="1">
        <f t="array" ref="G514" xml:space="preserve"> FindCountryName(F514)</f>
        <v>None</v>
      </c>
      <c r="H514" s="1">
        <v>45320.27553240741</v>
      </c>
      <c r="I514" s="1">
        <v>45320.27553240741</v>
      </c>
      <c r="J514" s="1">
        <v>44520.303773148145</v>
      </c>
      <c r="K514" cm="1">
        <f t="array" ref="K514" xml:space="preserve"> sentimentCalc(C514)</f>
        <v>0</v>
      </c>
      <c r="L514" t="str" cm="1">
        <f t="array" ref="L514" xml:space="preserve"> sentimentCategory(K514)</f>
        <v>Neutral</v>
      </c>
    </row>
    <row r="515" spans="1:12">
      <c r="A515" t="s">
        <v>47</v>
      </c>
      <c r="B515" t="s">
        <v>4085</v>
      </c>
      <c r="C515" t="str" cm="1">
        <f t="array" ref="C515" xml:space="preserve"> CleanText(B515)</f>
        <v>superb film very nice scenes</v>
      </c>
      <c r="D515">
        <v>0</v>
      </c>
      <c r="E515">
        <v>0</v>
      </c>
      <c r="F515" t="s">
        <v>0</v>
      </c>
      <c r="G515" t="str" cm="1">
        <f t="array" ref="G515" xml:space="preserve"> FindCountryName(F515)</f>
        <v>None</v>
      </c>
      <c r="H515" s="1">
        <v>45320.275497685187</v>
      </c>
      <c r="I515" s="1">
        <v>45320.275497685187</v>
      </c>
      <c r="J515" s="1">
        <v>44186.127060185187</v>
      </c>
      <c r="K515" cm="1">
        <f t="array" ref="K515" xml:space="preserve"> sentimentCalc(C515)</f>
        <v>8</v>
      </c>
      <c r="L515" t="str" cm="1">
        <f t="array" ref="L515" xml:space="preserve"> sentimentCategory(K515)</f>
        <v>Positive</v>
      </c>
    </row>
    <row r="516" spans="1:12">
      <c r="A516" t="s">
        <v>582</v>
      </c>
      <c r="B516" t="s">
        <v>4084</v>
      </c>
      <c r="C516" t="str" cm="1">
        <f t="array" ref="C516" xml:space="preserve"> CleanText(B516)</f>
        <v>gzel</v>
      </c>
      <c r="D516">
        <v>0</v>
      </c>
      <c r="E516">
        <v>0</v>
      </c>
      <c r="F516" t="s">
        <v>1523</v>
      </c>
      <c r="G516" t="str" cm="1">
        <f t="array" ref="G516" xml:space="preserve"> FindCountryName(F516)</f>
        <v>Turkey</v>
      </c>
      <c r="H516" s="1">
        <v>45320.27548611111</v>
      </c>
      <c r="I516" s="1">
        <v>45320.27548611111</v>
      </c>
      <c r="J516" s="1">
        <v>41988.106296296297</v>
      </c>
      <c r="K516" cm="1">
        <f t="array" ref="K516" xml:space="preserve"> sentimentCalc(C516)</f>
        <v>0</v>
      </c>
      <c r="L516" t="str" cm="1">
        <f t="array" ref="L516" xml:space="preserve"> sentimentCategory(K516)</f>
        <v>Neutral</v>
      </c>
    </row>
    <row r="517" spans="1:12">
      <c r="A517" t="s">
        <v>745</v>
      </c>
      <c r="B517" t="s">
        <v>4083</v>
      </c>
      <c r="C517" t="str" cm="1">
        <f t="array" ref="C517" xml:space="preserve"> CleanText(B517)</f>
        <v>n</v>
      </c>
      <c r="D517">
        <v>0</v>
      </c>
      <c r="E517">
        <v>0</v>
      </c>
      <c r="F517" t="s">
        <v>0</v>
      </c>
      <c r="G517" t="str" cm="1">
        <f t="array" ref="G517" xml:space="preserve"> FindCountryName(F517)</f>
        <v>None</v>
      </c>
      <c r="H517" s="1">
        <v>45320.275289351855</v>
      </c>
      <c r="I517" s="1">
        <v>45320.275289351855</v>
      </c>
      <c r="J517" s="1">
        <v>44263.539305555554</v>
      </c>
      <c r="K517" cm="1">
        <f t="array" ref="K517" xml:space="preserve"> sentimentCalc(C517)</f>
        <v>0</v>
      </c>
      <c r="L517" t="str" cm="1">
        <f t="array" ref="L517" xml:space="preserve"> sentimentCategory(K517)</f>
        <v>Neutral</v>
      </c>
    </row>
    <row r="518" spans="1:12">
      <c r="A518" t="s">
        <v>1755</v>
      </c>
      <c r="B518" t="s">
        <v>4082</v>
      </c>
      <c r="C518" t="str" cm="1">
        <f t="array" ref="C518" xml:space="preserve"> CleanText(B518)</f>
        <v>cnbc de animasyonu izlerdim filmi de baarl son derece</v>
      </c>
      <c r="D518">
        <v>0</v>
      </c>
      <c r="E518">
        <v>0</v>
      </c>
      <c r="F518" t="s">
        <v>0</v>
      </c>
      <c r="G518" t="str" cm="1">
        <f t="array" ref="G518" xml:space="preserve"> FindCountryName(F518)</f>
        <v>None</v>
      </c>
      <c r="H518" s="1">
        <v>45320.275138888886</v>
      </c>
      <c r="I518" s="1">
        <v>45320.275138888886</v>
      </c>
      <c r="J518" s="1">
        <v>42413.700173611112</v>
      </c>
      <c r="K518" cm="1">
        <f t="array" ref="K518" xml:space="preserve"> sentimentCalc(C518)</f>
        <v>0</v>
      </c>
      <c r="L518" t="str" cm="1">
        <f t="array" ref="L518" xml:space="preserve"> sentimentCategory(K518)</f>
        <v>Neutral</v>
      </c>
    </row>
    <row r="519" spans="1:12">
      <c r="A519" t="s">
        <v>2712</v>
      </c>
      <c r="B519" t="s">
        <v>4081</v>
      </c>
      <c r="C519" t="str" cm="1">
        <f t="array" ref="C519" xml:space="preserve"> CleanText(B519)</f>
        <v>finally the adaptation weve always been waiting for</v>
      </c>
      <c r="D519">
        <v>0</v>
      </c>
      <c r="E519">
        <v>0</v>
      </c>
      <c r="F519" t="s">
        <v>0</v>
      </c>
      <c r="G519" t="str" cm="1">
        <f t="array" ref="G519" xml:space="preserve"> FindCountryName(F519)</f>
        <v>None</v>
      </c>
      <c r="H519" s="1">
        <v>45320.275069444448</v>
      </c>
      <c r="I519" s="1">
        <v>45320.275069444448</v>
      </c>
      <c r="J519" s="1">
        <v>44664.434953703705</v>
      </c>
      <c r="K519" cm="1">
        <f t="array" ref="K519" xml:space="preserve"> sentimentCalc(C519)</f>
        <v>0</v>
      </c>
      <c r="L519" t="str" cm="1">
        <f t="array" ref="L519" xml:space="preserve"> sentimentCategory(K519)</f>
        <v>Neutral</v>
      </c>
    </row>
    <row r="520" spans="1:12">
      <c r="A520" t="s">
        <v>1065</v>
      </c>
      <c r="B520" t="s">
        <v>4080</v>
      </c>
      <c r="C520" t="str" cm="1">
        <f t="array" ref="C520" xml:space="preserve"> CleanText(B520)</f>
        <v>nihayet insana benzeyen avatar filmini izleyebileceiz</v>
      </c>
      <c r="D520">
        <v>0</v>
      </c>
      <c r="E520">
        <v>0</v>
      </c>
      <c r="F520" t="s">
        <v>0</v>
      </c>
      <c r="G520" t="str" cm="1">
        <f t="array" ref="G520" xml:space="preserve"> FindCountryName(F520)</f>
        <v>None</v>
      </c>
      <c r="H520" s="1">
        <v>45320.274456018517</v>
      </c>
      <c r="I520" s="1">
        <v>45320.274456018517</v>
      </c>
      <c r="J520" s="1">
        <v>41252.507881944446</v>
      </c>
      <c r="K520" cm="1">
        <f t="array" ref="K520" xml:space="preserve"> sentimentCalc(C520)</f>
        <v>0</v>
      </c>
      <c r="L520" t="str" cm="1">
        <f t="array" ref="L520" xml:space="preserve"> sentimentCategory(K520)</f>
        <v>Neutral</v>
      </c>
    </row>
    <row r="521" spans="1:12">
      <c r="A521" t="s">
        <v>640</v>
      </c>
      <c r="B521" t="s">
        <v>4067</v>
      </c>
      <c r="C521" t="str" cm="1">
        <f t="array" ref="C521" xml:space="preserve"> CleanText(B521)</f>
        <v>ok gzel</v>
      </c>
      <c r="D521">
        <v>0</v>
      </c>
      <c r="E521">
        <v>0</v>
      </c>
      <c r="F521" t="s">
        <v>0</v>
      </c>
      <c r="G521" t="str" cm="1">
        <f t="array" ref="G521" xml:space="preserve"> FindCountryName(F521)</f>
        <v>None</v>
      </c>
      <c r="H521" s="1">
        <v>45320.274409722224</v>
      </c>
      <c r="I521" s="1">
        <v>45320.274409722224</v>
      </c>
      <c r="J521" s="1">
        <v>43946.356319444443</v>
      </c>
      <c r="K521" cm="1">
        <f t="array" ref="K521" xml:space="preserve"> sentimentCalc(C521)</f>
        <v>0</v>
      </c>
      <c r="L521" t="str" cm="1">
        <f t="array" ref="L521" xml:space="preserve"> sentimentCategory(K521)</f>
        <v>Neutral</v>
      </c>
    </row>
    <row r="522" spans="1:12">
      <c r="A522" t="s">
        <v>802</v>
      </c>
      <c r="B522" t="s">
        <v>4079</v>
      </c>
      <c r="C522" t="str" cm="1">
        <f t="array" ref="C522" xml:space="preserve"> CleanText(B522)</f>
        <v>gzel bir film emei geen herkese teekkr</v>
      </c>
      <c r="D522">
        <v>0</v>
      </c>
      <c r="E522">
        <v>0</v>
      </c>
      <c r="F522" t="s">
        <v>0</v>
      </c>
      <c r="G522" t="str" cm="1">
        <f t="array" ref="G522" xml:space="preserve"> FindCountryName(F522)</f>
        <v>None</v>
      </c>
      <c r="H522" s="1">
        <v>45320.27416666667</v>
      </c>
      <c r="I522" s="1">
        <v>45320.27416666667</v>
      </c>
      <c r="J522" s="1">
        <v>44990.379571759258</v>
      </c>
      <c r="K522" cm="1">
        <f t="array" ref="K522" xml:space="preserve"> sentimentCalc(C522)</f>
        <v>0</v>
      </c>
      <c r="L522" t="str" cm="1">
        <f t="array" ref="L522" xml:space="preserve"> sentimentCategory(K522)</f>
        <v>Neutral</v>
      </c>
    </row>
    <row r="523" spans="1:12">
      <c r="A523" t="s">
        <v>139</v>
      </c>
      <c r="B523" t="s">
        <v>4078</v>
      </c>
      <c r="C523" t="str" cm="1">
        <f t="array" ref="C523" xml:space="preserve"> CleanText(B523)</f>
        <v>animasyon olarak izlemeye baladğm bu serinin devamn izlemek iin sabrszlanyorum</v>
      </c>
      <c r="D523">
        <v>0</v>
      </c>
      <c r="E523">
        <v>0</v>
      </c>
      <c r="F523" t="s">
        <v>0</v>
      </c>
      <c r="G523" t="str" cm="1">
        <f t="array" ref="G523" xml:space="preserve"> FindCountryName(F523)</f>
        <v>None</v>
      </c>
      <c r="H523" s="1">
        <v>45320.274097222224</v>
      </c>
      <c r="I523" s="1">
        <v>45320.274097222224</v>
      </c>
      <c r="J523" s="1">
        <v>44208.433587962965</v>
      </c>
      <c r="K523" cm="1">
        <f t="array" ref="K523" xml:space="preserve"> sentimentCalc(C523)</f>
        <v>0</v>
      </c>
      <c r="L523" t="str" cm="1">
        <f t="array" ref="L523" xml:space="preserve"> sentimentCategory(K523)</f>
        <v>Neutral</v>
      </c>
    </row>
    <row r="524" spans="1:12">
      <c r="A524" t="s">
        <v>767</v>
      </c>
      <c r="B524" t="s">
        <v>3607</v>
      </c>
      <c r="C524" t="str" cm="1">
        <f t="array" ref="C524" xml:space="preserve"> CleanText(B524)</f>
        <v>ok gzel film</v>
      </c>
      <c r="D524">
        <v>0</v>
      </c>
      <c r="E524">
        <v>0</v>
      </c>
      <c r="F524" t="s">
        <v>0</v>
      </c>
      <c r="G524" t="str" cm="1">
        <f t="array" ref="G524" xml:space="preserve"> FindCountryName(F524)</f>
        <v>None</v>
      </c>
      <c r="H524" s="1">
        <v>45320.273761574077</v>
      </c>
      <c r="I524" s="1">
        <v>45320.273761574077</v>
      </c>
      <c r="J524" s="1">
        <v>45294.42732638889</v>
      </c>
      <c r="K524" cm="1">
        <f t="array" ref="K524" xml:space="preserve"> sentimentCalc(C524)</f>
        <v>0</v>
      </c>
      <c r="L524" t="str" cm="1">
        <f t="array" ref="L524" xml:space="preserve"> sentimentCategory(K524)</f>
        <v>Neutral</v>
      </c>
    </row>
    <row r="525" spans="1:12">
      <c r="A525" t="s">
        <v>56</v>
      </c>
      <c r="B525" t="s">
        <v>4077</v>
      </c>
      <c r="C525" t="str" cm="1">
        <f t="array" ref="C525" xml:space="preserve"> CleanText(B525)</f>
        <v>merakla bekliyorum</v>
      </c>
      <c r="D525">
        <v>0</v>
      </c>
      <c r="E525">
        <v>0</v>
      </c>
      <c r="F525" t="s">
        <v>0</v>
      </c>
      <c r="G525" t="str" cm="1">
        <f t="array" ref="G525" xml:space="preserve"> FindCountryName(F525)</f>
        <v>None</v>
      </c>
      <c r="H525" s="1">
        <v>45320.273761574077</v>
      </c>
      <c r="I525" s="1">
        <v>45320.273761574077</v>
      </c>
      <c r="J525" s="1">
        <v>44193.389374999999</v>
      </c>
      <c r="K525" cm="1">
        <f t="array" ref="K525" xml:space="preserve"> sentimentCalc(C525)</f>
        <v>0</v>
      </c>
      <c r="L525" t="str" cm="1">
        <f t="array" ref="L525" xml:space="preserve"> sentimentCategory(K525)</f>
        <v>Neutral</v>
      </c>
    </row>
    <row r="526" spans="1:12">
      <c r="A526" t="s">
        <v>1338</v>
      </c>
      <c r="B526" t="s">
        <v>4076</v>
      </c>
      <c r="C526" t="str" cm="1">
        <f t="array" ref="C526" xml:space="preserve"> CleanText(B526)</f>
        <v>muhteem bir film</v>
      </c>
      <c r="D526">
        <v>0</v>
      </c>
      <c r="E526">
        <v>0</v>
      </c>
      <c r="F526" t="s">
        <v>0</v>
      </c>
      <c r="G526" t="str" cm="1">
        <f t="array" ref="G526" xml:space="preserve"> FindCountryName(F526)</f>
        <v>None</v>
      </c>
      <c r="H526" s="1">
        <v>45320.273576388892</v>
      </c>
      <c r="I526" s="1">
        <v>45320.273576388892</v>
      </c>
      <c r="J526" s="1">
        <v>45320.270439814813</v>
      </c>
      <c r="K526" cm="1">
        <f t="array" ref="K526" xml:space="preserve"> sentimentCalc(C526)</f>
        <v>0</v>
      </c>
      <c r="L526" t="str" cm="1">
        <f t="array" ref="L526" xml:space="preserve"> sentimentCategory(K526)</f>
        <v>Neutral</v>
      </c>
    </row>
    <row r="527" spans="1:12">
      <c r="A527" t="s">
        <v>4075</v>
      </c>
      <c r="B527" t="s">
        <v>4074</v>
      </c>
      <c r="C527" t="str" cm="1">
        <f t="array" ref="C527" xml:space="preserve"> CleanText(B527)</f>
        <v>heyecanla izlemeyi bekliyorum  sklmadan gnlerce izleyebileceim tek ey</v>
      </c>
      <c r="D527">
        <v>0</v>
      </c>
      <c r="E527">
        <v>0</v>
      </c>
      <c r="F527" t="s">
        <v>0</v>
      </c>
      <c r="G527" t="str" cm="1">
        <f t="array" ref="G527" xml:space="preserve"> FindCountryName(F527)</f>
        <v>None</v>
      </c>
      <c r="H527" s="1">
        <v>45320.273425925923</v>
      </c>
      <c r="I527" s="1">
        <v>45320.273425925923</v>
      </c>
      <c r="J527" s="1">
        <v>44769.447268518517</v>
      </c>
      <c r="K527" cm="1">
        <f t="array" ref="K527" xml:space="preserve"> sentimentCalc(C527)</f>
        <v>0</v>
      </c>
      <c r="L527" t="str" cm="1">
        <f t="array" ref="L527" xml:space="preserve"> sentimentCategory(K527)</f>
        <v>Neutral</v>
      </c>
    </row>
    <row r="528" spans="1:12">
      <c r="A528" t="s">
        <v>2528</v>
      </c>
      <c r="B528" t="s">
        <v>4073</v>
      </c>
      <c r="C528" t="str" cm="1">
        <f t="array" ref="C528" xml:space="preserve"> CleanText(B528)</f>
        <v>gzel bir film izlemeye deer</v>
      </c>
      <c r="D528">
        <v>0</v>
      </c>
      <c r="E528">
        <v>0</v>
      </c>
      <c r="F528" t="s">
        <v>0</v>
      </c>
      <c r="G528" t="str" cm="1">
        <f t="array" ref="G528" xml:space="preserve"> FindCountryName(F528)</f>
        <v>None</v>
      </c>
      <c r="H528" s="1">
        <v>45320.273368055554</v>
      </c>
      <c r="I528" s="1">
        <v>45320.273368055554</v>
      </c>
      <c r="J528" s="1">
        <v>45114.751770833333</v>
      </c>
      <c r="K528" cm="1">
        <f t="array" ref="K528" xml:space="preserve"> sentimentCalc(C528)</f>
        <v>0</v>
      </c>
      <c r="L528" t="str" cm="1">
        <f t="array" ref="L528" xml:space="preserve"> sentimentCategory(K528)</f>
        <v>Neutral</v>
      </c>
    </row>
    <row r="529" spans="1:12">
      <c r="A529" t="s">
        <v>72</v>
      </c>
      <c r="B529" t="s">
        <v>4072</v>
      </c>
      <c r="C529" t="str" cm="1">
        <f t="array" ref="C529" xml:space="preserve"> CleanText(B529)</f>
        <v>harika ok gzel olmu_xD83E_</v>
      </c>
      <c r="D529">
        <v>0</v>
      </c>
      <c r="E529">
        <v>0</v>
      </c>
      <c r="F529" t="s">
        <v>0</v>
      </c>
      <c r="G529" t="str" cm="1">
        <f t="array" ref="G529" xml:space="preserve"> FindCountryName(F529)</f>
        <v>None</v>
      </c>
      <c r="H529" s="1">
        <v>45320.272893518515</v>
      </c>
      <c r="I529" s="1">
        <v>45320.272893518515</v>
      </c>
      <c r="J529" s="1">
        <v>45320.25309027778</v>
      </c>
      <c r="K529" cm="1">
        <f t="array" ref="K529" xml:space="preserve"> sentimentCalc(C529)</f>
        <v>0</v>
      </c>
      <c r="L529" t="str" cm="1">
        <f t="array" ref="L529" xml:space="preserve"> sentimentCategory(K529)</f>
        <v>Neutral</v>
      </c>
    </row>
    <row r="530" spans="1:12">
      <c r="A530" t="s">
        <v>1446</v>
      </c>
      <c r="B530" t="s">
        <v>4071</v>
      </c>
      <c r="C530" t="str" cm="1">
        <f t="array" ref="C530" xml:space="preserve"> CleanText(B530)</f>
        <v>ok gzel bir filim daha nce animasyon versiyonunu izleitim ok keyifli</v>
      </c>
      <c r="D530">
        <v>0</v>
      </c>
      <c r="E530">
        <v>0</v>
      </c>
      <c r="F530" t="s">
        <v>1523</v>
      </c>
      <c r="G530" t="str" cm="1">
        <f t="array" ref="G530" xml:space="preserve"> FindCountryName(F530)</f>
        <v>Turkey</v>
      </c>
      <c r="H530" s="1">
        <v>45320.272870370369</v>
      </c>
      <c r="I530" s="1">
        <v>45320.272870370369</v>
      </c>
      <c r="J530" s="1">
        <v>43656.539189814815</v>
      </c>
      <c r="K530" cm="1">
        <f t="array" ref="K530" xml:space="preserve"> sentimentCalc(C530)</f>
        <v>0</v>
      </c>
      <c r="L530" t="str" cm="1">
        <f t="array" ref="L530" xml:space="preserve"> sentimentCategory(K530)</f>
        <v>Neutral</v>
      </c>
    </row>
    <row r="531" spans="1:12">
      <c r="A531" t="s">
        <v>2202</v>
      </c>
      <c r="B531" t="s">
        <v>4070</v>
      </c>
      <c r="C531" t="str" cm="1">
        <f t="array" ref="C531" xml:space="preserve"> CleanText(B531)</f>
        <v>srekliyici harika bir flim tavsiye ederim</v>
      </c>
      <c r="D531">
        <v>0</v>
      </c>
      <c r="E531">
        <v>0</v>
      </c>
      <c r="F531" t="s">
        <v>0</v>
      </c>
      <c r="G531" t="str" cm="1">
        <f t="array" ref="G531" xml:space="preserve"> FindCountryName(F531)</f>
        <v>None</v>
      </c>
      <c r="H531" s="1">
        <v>45320.27275462963</v>
      </c>
      <c r="I531" s="1">
        <v>45320.27275462963</v>
      </c>
      <c r="J531" s="1">
        <v>41809.353750000002</v>
      </c>
      <c r="K531" cm="1">
        <f t="array" ref="K531" xml:space="preserve"> sentimentCalc(C531)</f>
        <v>0</v>
      </c>
      <c r="L531" t="str" cm="1">
        <f t="array" ref="L531" xml:space="preserve"> sentimentCategory(K531)</f>
        <v>Neutral</v>
      </c>
    </row>
    <row r="532" spans="1:12">
      <c r="A532" t="s">
        <v>3097</v>
      </c>
      <c r="B532" t="s">
        <v>4069</v>
      </c>
      <c r="C532" t="str" cm="1">
        <f t="array" ref="C532" xml:space="preserve"> CleanText(B532)</f>
        <v>ok gzel bir filim gibi gzkyor filimi izleye bilmek iin ok sabrszlanyorum gerekten netflixse ok teekkr ederim _xD83C_</v>
      </c>
      <c r="D532">
        <v>3</v>
      </c>
      <c r="E532">
        <v>0</v>
      </c>
      <c r="F532" t="s">
        <v>0</v>
      </c>
      <c r="G532" t="str" cm="1">
        <f t="array" ref="G532" xml:space="preserve"> FindCountryName(F532)</f>
        <v>None</v>
      </c>
      <c r="H532" s="1">
        <v>45320.272662037038</v>
      </c>
      <c r="I532" s="1">
        <v>45320.272662037038</v>
      </c>
      <c r="J532" s="1">
        <v>44577.526122685187</v>
      </c>
      <c r="K532" cm="1">
        <f t="array" ref="K532" xml:space="preserve"> sentimentCalc(C532)</f>
        <v>0</v>
      </c>
      <c r="L532" t="str" cm="1">
        <f t="array" ref="L532" xml:space="preserve"> sentimentCategory(K532)</f>
        <v>Neutral</v>
      </c>
    </row>
    <row r="533" spans="1:12">
      <c r="A533" t="s">
        <v>36</v>
      </c>
      <c r="B533" t="s">
        <v>4068</v>
      </c>
      <c r="C533" t="str" cm="1">
        <f t="array" ref="C533" xml:space="preserve"> CleanText(B533)</f>
        <v>gzel bir dv filmi</v>
      </c>
      <c r="D533">
        <v>0</v>
      </c>
      <c r="E533">
        <v>0</v>
      </c>
      <c r="F533" t="s">
        <v>0</v>
      </c>
      <c r="G533" t="str" cm="1">
        <f t="array" ref="G533" xml:space="preserve"> FindCountryName(F533)</f>
        <v>None</v>
      </c>
      <c r="H533" s="1">
        <v>45320.272372685184</v>
      </c>
      <c r="I533" s="1">
        <v>45320.272372685184</v>
      </c>
      <c r="J533" s="1">
        <v>45320.251527777778</v>
      </c>
      <c r="K533" cm="1">
        <f t="array" ref="K533" xml:space="preserve"> sentimentCalc(C533)</f>
        <v>0</v>
      </c>
      <c r="L533" t="str" cm="1">
        <f t="array" ref="L533" xml:space="preserve"> sentimentCategory(K533)</f>
        <v>Neutral</v>
      </c>
    </row>
    <row r="534" spans="1:12">
      <c r="A534" t="s">
        <v>1983</v>
      </c>
      <c r="B534" t="s">
        <v>4067</v>
      </c>
      <c r="C534" t="str" cm="1">
        <f t="array" ref="C534" xml:space="preserve"> CleanText(B534)</f>
        <v>ok gzel</v>
      </c>
      <c r="D534">
        <v>0</v>
      </c>
      <c r="E534">
        <v>0</v>
      </c>
      <c r="F534" t="s">
        <v>0</v>
      </c>
      <c r="G534" t="str" cm="1">
        <f t="array" ref="G534" xml:space="preserve"> FindCountryName(F534)</f>
        <v>None</v>
      </c>
      <c r="H534" s="1">
        <v>45320.272303240738</v>
      </c>
      <c r="I534" s="1">
        <v>45320.272303240738</v>
      </c>
      <c r="J534" s="1">
        <v>45035.816724537035</v>
      </c>
      <c r="K534" cm="1">
        <f t="array" ref="K534" xml:space="preserve"> sentimentCalc(C534)</f>
        <v>0</v>
      </c>
      <c r="L534" t="str" cm="1">
        <f t="array" ref="L534" xml:space="preserve"> sentimentCategory(K534)</f>
        <v>Neutral</v>
      </c>
    </row>
    <row r="535" spans="1:12">
      <c r="A535" t="s">
        <v>36</v>
      </c>
      <c r="B535" t="s">
        <v>4066</v>
      </c>
      <c r="C535" t="str" cm="1">
        <f t="array" ref="C535" xml:space="preserve"> CleanText(B535)</f>
        <v>gzel bir dov filmi harika bir film</v>
      </c>
      <c r="D535">
        <v>0</v>
      </c>
      <c r="E535">
        <v>0</v>
      </c>
      <c r="F535" t="s">
        <v>0</v>
      </c>
      <c r="G535" t="str" cm="1">
        <f t="array" ref="G535" xml:space="preserve"> FindCountryName(F535)</f>
        <v>None</v>
      </c>
      <c r="H535" s="1">
        <v>45320.27207175926</v>
      </c>
      <c r="I535" s="1">
        <v>45320.27207175926</v>
      </c>
      <c r="J535" s="1">
        <v>45320.251527777778</v>
      </c>
      <c r="K535" cm="1">
        <f t="array" ref="K535" xml:space="preserve"> sentimentCalc(C535)</f>
        <v>0</v>
      </c>
      <c r="L535" t="str" cm="1">
        <f t="array" ref="L535" xml:space="preserve"> sentimentCategory(K535)</f>
        <v>Neutral</v>
      </c>
    </row>
    <row r="536" spans="1:12">
      <c r="A536" t="s">
        <v>774</v>
      </c>
      <c r="B536" t="s">
        <v>4065</v>
      </c>
      <c r="C536" t="str" cm="1">
        <f t="array" ref="C536" xml:space="preserve"> CleanText(B536)</f>
        <v>mkemmel bir yapm harika</v>
      </c>
      <c r="D536">
        <v>0</v>
      </c>
      <c r="E536">
        <v>0</v>
      </c>
      <c r="F536" t="s">
        <v>0</v>
      </c>
      <c r="G536" t="str" cm="1">
        <f t="array" ref="G536" xml:space="preserve"> FindCountryName(F536)</f>
        <v>None</v>
      </c>
      <c r="H536" s="1">
        <v>45320.272002314814</v>
      </c>
      <c r="I536" s="1">
        <v>45320.272002314814</v>
      </c>
      <c r="J536" s="1">
        <v>44507.212013888886</v>
      </c>
      <c r="K536" cm="1">
        <f t="array" ref="K536" xml:space="preserve"> sentimentCalc(C536)</f>
        <v>0</v>
      </c>
      <c r="L536" t="str" cm="1">
        <f t="array" ref="L536" xml:space="preserve"> sentimentCategory(K536)</f>
        <v>Neutral</v>
      </c>
    </row>
    <row r="537" spans="1:12">
      <c r="A537" t="s">
        <v>72</v>
      </c>
      <c r="B537" t="s">
        <v>4064</v>
      </c>
      <c r="C537" t="str" cm="1">
        <f t="array" ref="C537" xml:space="preserve"> CleanText(B537)</f>
        <v>muhteem kesinlikle izlenlesi lazm</v>
      </c>
      <c r="D537">
        <v>0</v>
      </c>
      <c r="E537">
        <v>0</v>
      </c>
      <c r="F537" t="s">
        <v>0</v>
      </c>
      <c r="G537" t="str" cm="1">
        <f t="array" ref="G537" xml:space="preserve"> FindCountryName(F537)</f>
        <v>None</v>
      </c>
      <c r="H537" s="1">
        <v>45320.271956018521</v>
      </c>
      <c r="I537" s="1">
        <v>45320.271956018521</v>
      </c>
      <c r="J537" s="1">
        <v>45320.252349537041</v>
      </c>
      <c r="K537" cm="1">
        <f t="array" ref="K537" xml:space="preserve"> sentimentCalc(C537)</f>
        <v>0</v>
      </c>
      <c r="L537" t="str" cm="1">
        <f t="array" ref="L537" xml:space="preserve"> sentimentCategory(K537)</f>
        <v>Neutral</v>
      </c>
    </row>
    <row r="538" spans="1:12">
      <c r="A538" t="s">
        <v>4063</v>
      </c>
      <c r="B538" t="s">
        <v>4062</v>
      </c>
      <c r="C538" t="str" cm="1">
        <f t="array" ref="C538" xml:space="preserve"> CleanText(B538)</f>
        <v>ok beendim mkemmel_xDE0A_</v>
      </c>
      <c r="D538">
        <v>0</v>
      </c>
      <c r="E538">
        <v>0</v>
      </c>
      <c r="F538" t="s">
        <v>1523</v>
      </c>
      <c r="G538" t="str" cm="1">
        <f t="array" ref="G538" xml:space="preserve"> FindCountryName(F538)</f>
        <v>Turkey</v>
      </c>
      <c r="H538" s="1">
        <v>45320.271921296298</v>
      </c>
      <c r="I538" s="1">
        <v>45320.271921296298</v>
      </c>
      <c r="J538" s="1">
        <v>42754.756689814814</v>
      </c>
      <c r="K538" cm="1">
        <f t="array" ref="K538" xml:space="preserve"> sentimentCalc(C538)</f>
        <v>0</v>
      </c>
      <c r="L538" t="str" cm="1">
        <f t="array" ref="L538" xml:space="preserve"> sentimentCategory(K538)</f>
        <v>Neutral</v>
      </c>
    </row>
    <row r="539" spans="1:12">
      <c r="A539" t="s">
        <v>1839</v>
      </c>
      <c r="B539" t="s">
        <v>4061</v>
      </c>
      <c r="C539" t="str" cm="1">
        <f t="array" ref="C539" xml:space="preserve"> CleanText(B539)</f>
        <v>very good scene</v>
      </c>
      <c r="D539">
        <v>0</v>
      </c>
      <c r="E539">
        <v>0</v>
      </c>
      <c r="F539" t="s">
        <v>0</v>
      </c>
      <c r="G539" t="str" cm="1">
        <f t="array" ref="G539" xml:space="preserve"> FindCountryName(F539)</f>
        <v>None</v>
      </c>
      <c r="H539" s="1">
        <v>45320.271921296298</v>
      </c>
      <c r="I539" s="1">
        <v>45320.271921296298</v>
      </c>
      <c r="J539" s="1">
        <v>43149.539861111109</v>
      </c>
      <c r="K539" cm="1">
        <f t="array" ref="K539" xml:space="preserve"> sentimentCalc(C539)</f>
        <v>3</v>
      </c>
      <c r="L539" t="str" cm="1">
        <f t="array" ref="L539" xml:space="preserve"> sentimentCategory(K539)</f>
        <v>Positive</v>
      </c>
    </row>
    <row r="540" spans="1:12">
      <c r="A540" t="s">
        <v>1361</v>
      </c>
      <c r="B540" t="s">
        <v>4060</v>
      </c>
      <c r="C540" t="str" cm="1">
        <f t="array" ref="C540" xml:space="preserve"> CleanText(B540)</f>
        <v>ok gzel olmu ellerinize salk</v>
      </c>
      <c r="D540">
        <v>0</v>
      </c>
      <c r="E540">
        <v>0</v>
      </c>
      <c r="F540" t="s">
        <v>0</v>
      </c>
      <c r="G540" t="str" cm="1">
        <f t="array" ref="G540" xml:space="preserve"> FindCountryName(F540)</f>
        <v>None</v>
      </c>
      <c r="H540" s="1">
        <v>45320.271909722222</v>
      </c>
      <c r="I540" s="1">
        <v>45320.271909722222</v>
      </c>
      <c r="J540" s="1">
        <v>42904.23196759259</v>
      </c>
      <c r="K540" cm="1">
        <f t="array" ref="K540" xml:space="preserve"> sentimentCalc(C540)</f>
        <v>0</v>
      </c>
      <c r="L540" t="str" cm="1">
        <f t="array" ref="L540" xml:space="preserve"> sentimentCategory(K540)</f>
        <v>Neutral</v>
      </c>
    </row>
    <row r="541" spans="1:12">
      <c r="A541" t="s">
        <v>4059</v>
      </c>
      <c r="B541" t="s">
        <v>4058</v>
      </c>
      <c r="C541" t="str" cm="1">
        <f t="array" ref="C541" xml:space="preserve"> CleanText(B541)</f>
        <v>merakla bekliyorum  gzel bir fragman tam benim kalemim</v>
      </c>
      <c r="D541">
        <v>0</v>
      </c>
      <c r="E541">
        <v>0</v>
      </c>
      <c r="F541" t="s">
        <v>0</v>
      </c>
      <c r="G541" t="str" cm="1">
        <f t="array" ref="G541" xml:space="preserve"> FindCountryName(F541)</f>
        <v>None</v>
      </c>
      <c r="H541" s="1">
        <v>45320.271840277775</v>
      </c>
      <c r="I541" s="1">
        <v>45320.271840277775</v>
      </c>
      <c r="J541" s="1">
        <v>40837.680451388886</v>
      </c>
      <c r="K541" cm="1">
        <f t="array" ref="K541" xml:space="preserve"> sentimentCalc(C541)</f>
        <v>0</v>
      </c>
      <c r="L541" t="str" cm="1">
        <f t="array" ref="L541" xml:space="preserve"> sentimentCategory(K541)</f>
        <v>Neutral</v>
      </c>
    </row>
    <row r="542" spans="1:12">
      <c r="A542" t="s">
        <v>4057</v>
      </c>
      <c r="B542" t="s">
        <v>4056</v>
      </c>
      <c r="C542" t="str" cm="1">
        <f t="array" ref="C542" xml:space="preserve"> CleanText(B542)</f>
        <v>fragman ok baarl buldum izlerkende keyif alcama inanyorum</v>
      </c>
      <c r="D542">
        <v>0</v>
      </c>
      <c r="E542">
        <v>0</v>
      </c>
      <c r="F542" t="s">
        <v>0</v>
      </c>
      <c r="G542" t="str" cm="1">
        <f t="array" ref="G542" xml:space="preserve"> FindCountryName(F542)</f>
        <v>None</v>
      </c>
      <c r="H542" s="1">
        <v>45320.271793981483</v>
      </c>
      <c r="I542" s="1">
        <v>45320.271793981483</v>
      </c>
      <c r="J542" s="1">
        <v>41373.709814814814</v>
      </c>
      <c r="K542" cm="1">
        <f t="array" ref="K542" xml:space="preserve"> sentimentCalc(C542)</f>
        <v>0</v>
      </c>
      <c r="L542" t="str" cm="1">
        <f t="array" ref="L542" xml:space="preserve"> sentimentCategory(K542)</f>
        <v>Neutral</v>
      </c>
    </row>
    <row r="543" spans="1:12">
      <c r="A543" t="s">
        <v>2329</v>
      </c>
      <c r="B543" t="s">
        <v>4055</v>
      </c>
      <c r="C543" t="str" cm="1">
        <f t="array" ref="C543" xml:space="preserve"> CleanText(B543)</f>
        <v>harika bi flim olmus  izlenmeye deer fazlasyla</v>
      </c>
      <c r="D543">
        <v>0</v>
      </c>
      <c r="E543">
        <v>0</v>
      </c>
      <c r="F543" t="s">
        <v>0</v>
      </c>
      <c r="G543" t="str" cm="1">
        <f t="array" ref="G543" xml:space="preserve"> FindCountryName(F543)</f>
        <v>None</v>
      </c>
      <c r="H543" s="1">
        <v>45320.27171296296</v>
      </c>
      <c r="I543" s="1">
        <v>45320.27171296296</v>
      </c>
      <c r="J543" s="1">
        <v>42009.272511574076</v>
      </c>
      <c r="K543" cm="1">
        <f t="array" ref="K543" xml:space="preserve"> sentimentCalc(C543)</f>
        <v>0</v>
      </c>
      <c r="L543" t="str" cm="1">
        <f t="array" ref="L543" xml:space="preserve"> sentimentCategory(K543)</f>
        <v>Neutral</v>
      </c>
    </row>
    <row r="544" spans="1:12">
      <c r="A544" t="s">
        <v>680</v>
      </c>
      <c r="B544" t="s">
        <v>4054</v>
      </c>
      <c r="C544" t="str" cm="1">
        <f t="array" ref="C544" xml:space="preserve"> CleanText(B544)</f>
        <v>i cant wait _xDE2E_</v>
      </c>
      <c r="D544">
        <v>0</v>
      </c>
      <c r="E544">
        <v>0</v>
      </c>
      <c r="F544" t="s">
        <v>0</v>
      </c>
      <c r="G544" t="str" cm="1">
        <f t="array" ref="G544" xml:space="preserve"> FindCountryName(F544)</f>
        <v>None</v>
      </c>
      <c r="H544" s="1">
        <v>45320.271678240744</v>
      </c>
      <c r="I544" s="1">
        <v>45320.271678240744</v>
      </c>
      <c r="J544" s="1">
        <v>42228.524560185186</v>
      </c>
      <c r="K544" cm="1">
        <f t="array" ref="K544" xml:space="preserve"> sentimentCalc(C544)</f>
        <v>0</v>
      </c>
      <c r="L544" t="str" cm="1">
        <f t="array" ref="L544" xml:space="preserve"> sentimentCategory(K544)</f>
        <v>Neutral</v>
      </c>
    </row>
    <row r="545" spans="1:12">
      <c r="A545" t="s">
        <v>826</v>
      </c>
      <c r="B545" t="s">
        <v>4053</v>
      </c>
      <c r="C545" t="str" cm="1">
        <f t="array" ref="C545" xml:space="preserve"> CleanText(B545)</f>
        <v>ok beendiim ve severek izledim hafika</v>
      </c>
      <c r="D545">
        <v>1</v>
      </c>
      <c r="E545">
        <v>0</v>
      </c>
      <c r="F545" t="s">
        <v>0</v>
      </c>
      <c r="G545" t="str" cm="1">
        <f t="array" ref="G545" xml:space="preserve"> FindCountryName(F545)</f>
        <v>None</v>
      </c>
      <c r="H545" s="1">
        <v>45320.271527777775</v>
      </c>
      <c r="I545" s="1">
        <v>45320.271527777775</v>
      </c>
      <c r="J545" s="1">
        <v>43411.448472222219</v>
      </c>
      <c r="K545" cm="1">
        <f t="array" ref="K545" xml:space="preserve"> sentimentCalc(C545)</f>
        <v>0</v>
      </c>
      <c r="L545" t="str" cm="1">
        <f t="array" ref="L545" xml:space="preserve"> sentimentCategory(K545)</f>
        <v>Neutral</v>
      </c>
    </row>
    <row r="546" spans="1:12">
      <c r="A546" t="s">
        <v>36</v>
      </c>
      <c r="B546" t="s">
        <v>4052</v>
      </c>
      <c r="C546" t="str" cm="1">
        <f t="array" ref="C546" xml:space="preserve"> CleanText(B546)</f>
        <v>gzel bir dov filmi cok gzell</v>
      </c>
      <c r="D546">
        <v>0</v>
      </c>
      <c r="E546">
        <v>0</v>
      </c>
      <c r="F546" t="s">
        <v>0</v>
      </c>
      <c r="G546" t="str" cm="1">
        <f t="array" ref="G546" xml:space="preserve"> FindCountryName(F546)</f>
        <v>None</v>
      </c>
      <c r="H546" s="1">
        <v>45320.271516203706</v>
      </c>
      <c r="I546" s="1">
        <v>45320.271516203706</v>
      </c>
      <c r="J546" s="1">
        <v>45320.251527777778</v>
      </c>
      <c r="K546" cm="1">
        <f t="array" ref="K546" xml:space="preserve"> sentimentCalc(C546)</f>
        <v>0</v>
      </c>
      <c r="L546" t="str" cm="1">
        <f t="array" ref="L546" xml:space="preserve"> sentimentCategory(K546)</f>
        <v>Neutral</v>
      </c>
    </row>
    <row r="547" spans="1:12">
      <c r="A547" t="s">
        <v>361</v>
      </c>
      <c r="B547" t="s">
        <v>4051</v>
      </c>
      <c r="C547" t="str" cm="1">
        <f t="array" ref="C547" xml:space="preserve"> CleanText(B547)</f>
        <v>i cant believe it its really a beautiful animation</v>
      </c>
      <c r="D547">
        <v>0</v>
      </c>
      <c r="E547">
        <v>0</v>
      </c>
      <c r="F547" t="s">
        <v>0</v>
      </c>
      <c r="G547" t="str" cm="1">
        <f t="array" ref="G547" xml:space="preserve"> FindCountryName(F547)</f>
        <v>None</v>
      </c>
      <c r="H547" s="1">
        <v>45320.271458333336</v>
      </c>
      <c r="I547" s="1">
        <v>45320.271458333336</v>
      </c>
      <c r="J547" s="1">
        <v>42692.603865740741</v>
      </c>
      <c r="K547" cm="1">
        <f t="array" ref="K547" xml:space="preserve"> sentimentCalc(C547)</f>
        <v>3</v>
      </c>
      <c r="L547" t="str" cm="1">
        <f t="array" ref="L547" xml:space="preserve"> sentimentCategory(K547)</f>
        <v>Positive</v>
      </c>
    </row>
    <row r="548" spans="1:12">
      <c r="A548" t="s">
        <v>562</v>
      </c>
      <c r="B548" t="s">
        <v>4050</v>
      </c>
      <c r="C548" t="str" cm="1">
        <f t="array" ref="C548" xml:space="preserve"> CleanText(B548)</f>
        <v>avatar</v>
      </c>
      <c r="D548">
        <v>0</v>
      </c>
      <c r="E548">
        <v>0</v>
      </c>
      <c r="F548" t="s">
        <v>1523</v>
      </c>
      <c r="G548" t="str" cm="1">
        <f t="array" ref="G548" xml:space="preserve"> FindCountryName(F548)</f>
        <v>Turkey</v>
      </c>
      <c r="H548" s="1">
        <v>45320.27134259259</v>
      </c>
      <c r="I548" s="1">
        <v>45320.27134259259</v>
      </c>
      <c r="J548" s="1">
        <v>41648.428263888891</v>
      </c>
      <c r="K548" cm="1">
        <f t="array" ref="K548" xml:space="preserve"> sentimentCalc(C548)</f>
        <v>0</v>
      </c>
      <c r="L548" t="str" cm="1">
        <f t="array" ref="L548" xml:space="preserve"> sentimentCategory(K548)</f>
        <v>Neutral</v>
      </c>
    </row>
    <row r="549" spans="1:12">
      <c r="A549" t="s">
        <v>460</v>
      </c>
      <c r="B549" t="s">
        <v>4049</v>
      </c>
      <c r="C549" t="str" cm="1">
        <f t="array" ref="C549" xml:space="preserve"> CleanText(B549)</f>
        <v>i am so excited for this series cant wait to watch</v>
      </c>
      <c r="D549">
        <v>0</v>
      </c>
      <c r="E549">
        <v>0</v>
      </c>
      <c r="F549" t="s">
        <v>0</v>
      </c>
      <c r="G549" t="str" cm="1">
        <f t="array" ref="G549" xml:space="preserve"> FindCountryName(F549)</f>
        <v>None</v>
      </c>
      <c r="H549" s="1">
        <v>45320.27134259259</v>
      </c>
      <c r="I549" s="1">
        <v>45320.27134259259</v>
      </c>
      <c r="J549" s="1">
        <v>43584.439328703702</v>
      </c>
      <c r="K549" cm="1">
        <f t="array" ref="K549" xml:space="preserve"> sentimentCalc(C549)</f>
        <v>3</v>
      </c>
      <c r="L549" t="str" cm="1">
        <f t="array" ref="L549" xml:space="preserve"> sentimentCategory(K549)</f>
        <v>Positive</v>
      </c>
    </row>
    <row r="550" spans="1:12">
      <c r="A550" t="s">
        <v>710</v>
      </c>
      <c r="B550" t="s">
        <v>4048</v>
      </c>
      <c r="C550" t="str" cm="1">
        <f t="array" ref="C550" xml:space="preserve"> CleanText(B550)</f>
        <v>finally a  new</v>
      </c>
      <c r="D550">
        <v>0</v>
      </c>
      <c r="E550">
        <v>1</v>
      </c>
      <c r="F550" t="s">
        <v>0</v>
      </c>
      <c r="G550" t="str" cm="1">
        <f t="array" ref="G550" xml:space="preserve"> FindCountryName(F550)</f>
        <v>None</v>
      </c>
      <c r="H550" s="1">
        <v>45320.271331018521</v>
      </c>
      <c r="I550" s="1">
        <v>45320.271331018521</v>
      </c>
      <c r="J550" s="1">
        <v>42263.365671296298</v>
      </c>
      <c r="K550" cm="1">
        <f t="array" ref="K550" xml:space="preserve"> sentimentCalc(C550)</f>
        <v>0</v>
      </c>
      <c r="L550" t="str" cm="1">
        <f t="array" ref="L550" xml:space="preserve"> sentimentCategory(K550)</f>
        <v>Neutral</v>
      </c>
    </row>
    <row r="551" spans="1:12">
      <c r="A551" t="s">
        <v>4047</v>
      </c>
      <c r="B551" t="s">
        <v>4046</v>
      </c>
      <c r="C551" t="str" cm="1">
        <f t="array" ref="C551" xml:space="preserve"> CleanText(B551)</f>
        <v>very good</v>
      </c>
      <c r="D551">
        <v>0</v>
      </c>
      <c r="E551">
        <v>0</v>
      </c>
      <c r="F551" t="s">
        <v>0</v>
      </c>
      <c r="G551" t="str" cm="1">
        <f t="array" ref="G551" xml:space="preserve"> FindCountryName(F551)</f>
        <v>None</v>
      </c>
      <c r="H551" s="1">
        <v>45320.271319444444</v>
      </c>
      <c r="I551" s="1">
        <v>45320.271319444444</v>
      </c>
      <c r="J551" s="1">
        <v>44912.504317129627</v>
      </c>
      <c r="K551" cm="1">
        <f t="array" ref="K551" xml:space="preserve"> sentimentCalc(C551)</f>
        <v>3</v>
      </c>
      <c r="L551" t="str" cm="1">
        <f t="array" ref="L551" xml:space="preserve"> sentimentCategory(K551)</f>
        <v>Positive</v>
      </c>
    </row>
    <row r="552" spans="1:12">
      <c r="A552" t="s">
        <v>104</v>
      </c>
      <c r="B552" t="s">
        <v>3365</v>
      </c>
      <c r="C552" t="str" cm="1">
        <f t="array" ref="C552" xml:space="preserve"> CleanText(B552)</f>
        <v>n</v>
      </c>
      <c r="D552">
        <v>0</v>
      </c>
      <c r="E552">
        <v>0</v>
      </c>
      <c r="F552" t="s">
        <v>0</v>
      </c>
      <c r="G552" t="str" cm="1">
        <f t="array" ref="G552" xml:space="preserve"> FindCountryName(F552)</f>
        <v>None</v>
      </c>
      <c r="H552" s="1">
        <v>45320.271307870367</v>
      </c>
      <c r="I552" s="1">
        <v>45320.271307870367</v>
      </c>
      <c r="J552" s="1">
        <v>42750.084965277776</v>
      </c>
      <c r="K552" cm="1">
        <f t="array" ref="K552" xml:space="preserve"> sentimentCalc(C552)</f>
        <v>0</v>
      </c>
      <c r="L552" t="str" cm="1">
        <f t="array" ref="L552" xml:space="preserve"> sentimentCategory(K552)</f>
        <v>Neutral</v>
      </c>
    </row>
    <row r="553" spans="1:12">
      <c r="A553" t="s">
        <v>735</v>
      </c>
      <c r="B553" t="s">
        <v>4045</v>
      </c>
      <c r="C553" t="str" cm="1">
        <f t="array" ref="C553" xml:space="preserve"> CleanText(B553)</f>
        <v>ل  تع تى ضت n</v>
      </c>
      <c r="D553">
        <v>0</v>
      </c>
      <c r="E553">
        <v>0</v>
      </c>
      <c r="F553" t="s">
        <v>1523</v>
      </c>
      <c r="G553" t="str" cm="1">
        <f t="array" ref="G553" xml:space="preserve"> FindCountryName(F553)</f>
        <v>Turkey</v>
      </c>
      <c r="H553" s="1">
        <v>45320.271273148152</v>
      </c>
      <c r="I553" s="1">
        <v>45320.271273148152</v>
      </c>
      <c r="J553" s="1">
        <v>41303.171724537038</v>
      </c>
      <c r="K553" cm="1">
        <f t="array" ref="K553" xml:space="preserve"> sentimentCalc(C553)</f>
        <v>0</v>
      </c>
      <c r="L553" t="str" cm="1">
        <f t="array" ref="L553" xml:space="preserve"> sentimentCategory(K553)</f>
        <v>Neutral</v>
      </c>
    </row>
    <row r="554" spans="1:12">
      <c r="A554" t="s">
        <v>562</v>
      </c>
      <c r="B554" t="s">
        <v>4044</v>
      </c>
      <c r="C554" t="str" cm="1">
        <f t="array" ref="C554" xml:space="preserve"> CleanText(B554)</f>
        <v>sper</v>
      </c>
      <c r="D554">
        <v>0</v>
      </c>
      <c r="E554">
        <v>0</v>
      </c>
      <c r="F554" t="s">
        <v>1523</v>
      </c>
      <c r="G554" t="str" cm="1">
        <f t="array" ref="G554" xml:space="preserve"> FindCountryName(F554)</f>
        <v>Turkey</v>
      </c>
      <c r="H554" s="1">
        <v>45320.271249999998</v>
      </c>
      <c r="I554" s="1">
        <v>45320.271249999998</v>
      </c>
      <c r="J554" s="1">
        <v>41648.428263888891</v>
      </c>
      <c r="K554" cm="1">
        <f t="array" ref="K554" xml:space="preserve"> sentimentCalc(C554)</f>
        <v>0</v>
      </c>
      <c r="L554" t="str" cm="1">
        <f t="array" ref="L554" xml:space="preserve"> sentimentCategory(K554)</f>
        <v>Neutral</v>
      </c>
    </row>
    <row r="555" spans="1:12">
      <c r="A555" t="s">
        <v>1710</v>
      </c>
      <c r="B555" t="s">
        <v>4043</v>
      </c>
      <c r="C555" t="str" cm="1">
        <f t="array" ref="C555" xml:space="preserve"> CleanText(B555)</f>
        <v>bunu sylemek iin erken ama  uzun zamandir grdğm en iyi animasyon</v>
      </c>
      <c r="D555">
        <v>0</v>
      </c>
      <c r="E555">
        <v>0</v>
      </c>
      <c r="F555" t="s">
        <v>0</v>
      </c>
      <c r="G555" t="str" cm="1">
        <f t="array" ref="G555" xml:space="preserve"> FindCountryName(F555)</f>
        <v>None</v>
      </c>
      <c r="H555" s="1">
        <v>45320.271249999998</v>
      </c>
      <c r="I555" s="1">
        <v>45320.271249999998</v>
      </c>
      <c r="J555" s="1">
        <v>45320.251574074071</v>
      </c>
      <c r="K555" cm="1">
        <f t="array" ref="K555" xml:space="preserve"> sentimentCalc(C555)</f>
        <v>0</v>
      </c>
      <c r="L555" t="str" cm="1">
        <f t="array" ref="L555" xml:space="preserve"> sentimentCategory(K555)</f>
        <v>Neutral</v>
      </c>
    </row>
    <row r="556" spans="1:12">
      <c r="A556" t="s">
        <v>3633</v>
      </c>
      <c r="B556" t="s">
        <v>4042</v>
      </c>
      <c r="C556" t="str" cm="1">
        <f t="array" ref="C556" xml:space="preserve"> CleanText(B556)</f>
        <v>gercekten felaket bir sey mutlaka izleyim</v>
      </c>
      <c r="D556">
        <v>0</v>
      </c>
      <c r="E556">
        <v>0</v>
      </c>
      <c r="F556" t="s">
        <v>0</v>
      </c>
      <c r="G556" t="str" cm="1">
        <f t="array" ref="G556" xml:space="preserve"> FindCountryName(F556)</f>
        <v>None</v>
      </c>
      <c r="H556" s="1">
        <v>45320.271087962959</v>
      </c>
      <c r="I556" s="1">
        <v>45320.271087962959</v>
      </c>
      <c r="J556" s="1">
        <v>42465.498715277776</v>
      </c>
      <c r="K556" cm="1">
        <f t="array" ref="K556" xml:space="preserve"> sentimentCalc(C556)</f>
        <v>0</v>
      </c>
      <c r="L556" t="str" cm="1">
        <f t="array" ref="L556" xml:space="preserve"> sentimentCategory(K556)</f>
        <v>Neutral</v>
      </c>
    </row>
    <row r="557" spans="1:12">
      <c r="A557" t="s">
        <v>710</v>
      </c>
      <c r="B557" t="s">
        <v>4041</v>
      </c>
      <c r="C557" t="str" cm="1">
        <f t="array" ref="C557" xml:space="preserve"> CleanText(B557)</f>
        <v>nice teaser</v>
      </c>
      <c r="D557">
        <v>0</v>
      </c>
      <c r="E557">
        <v>0</v>
      </c>
      <c r="F557" t="s">
        <v>0</v>
      </c>
      <c r="G557" t="str" cm="1">
        <f t="array" ref="G557" xml:space="preserve"> FindCountryName(F557)</f>
        <v>None</v>
      </c>
      <c r="H557" s="1">
        <v>45320.270914351851</v>
      </c>
      <c r="I557" s="1">
        <v>45320.270914351851</v>
      </c>
      <c r="J557" s="1">
        <v>42263.365671296298</v>
      </c>
      <c r="K557" cm="1">
        <f t="array" ref="K557" xml:space="preserve"> sentimentCalc(C557)</f>
        <v>3</v>
      </c>
      <c r="L557" t="str" cm="1">
        <f t="array" ref="L557" xml:space="preserve"> sentimentCategory(K557)</f>
        <v>Positive</v>
      </c>
    </row>
    <row r="558" spans="1:12">
      <c r="A558" t="s">
        <v>329</v>
      </c>
      <c r="B558" t="s">
        <v>4040</v>
      </c>
      <c r="C558" t="str" cm="1">
        <f t="array" ref="C558" xml:space="preserve"> CleanText(B558)</f>
        <v>n</v>
      </c>
      <c r="D558">
        <v>0</v>
      </c>
      <c r="E558">
        <v>0</v>
      </c>
      <c r="F558" t="s">
        <v>0</v>
      </c>
      <c r="G558" t="str" cm="1">
        <f t="array" ref="G558" xml:space="preserve"> FindCountryName(F558)</f>
        <v>None</v>
      </c>
      <c r="H558" s="1">
        <v>45320.270879629628</v>
      </c>
      <c r="I558" s="1">
        <v>45320.270879629628</v>
      </c>
      <c r="J558" s="1">
        <v>43960.015219907407</v>
      </c>
      <c r="K558" cm="1">
        <f t="array" ref="K558" xml:space="preserve"> sentimentCalc(C558)</f>
        <v>0</v>
      </c>
      <c r="L558" t="str" cm="1">
        <f t="array" ref="L558" xml:space="preserve"> sentimentCategory(K558)</f>
        <v>Neutral</v>
      </c>
    </row>
    <row r="559" spans="1:12">
      <c r="A559" t="s">
        <v>786</v>
      </c>
      <c r="B559" t="s">
        <v>457</v>
      </c>
      <c r="C559" t="str" cm="1">
        <f t="array" ref="C559" xml:space="preserve"> CleanText(B559)</f>
        <v>n</v>
      </c>
      <c r="D559">
        <v>0</v>
      </c>
      <c r="E559">
        <v>0</v>
      </c>
      <c r="F559" t="s">
        <v>0</v>
      </c>
      <c r="G559" t="str" cm="1">
        <f t="array" ref="G559" xml:space="preserve"> FindCountryName(F559)</f>
        <v>None</v>
      </c>
      <c r="H559" s="1">
        <v>45320.27076388889</v>
      </c>
      <c r="I559" s="1">
        <v>45320.27076388889</v>
      </c>
      <c r="J559" s="1">
        <v>42482.48741898148</v>
      </c>
      <c r="K559" cm="1">
        <f t="array" ref="K559" xml:space="preserve"> sentimentCalc(C559)</f>
        <v>0</v>
      </c>
      <c r="L559" t="str" cm="1">
        <f t="array" ref="L559" xml:space="preserve"> sentimentCategory(K559)</f>
        <v>Neutral</v>
      </c>
    </row>
    <row r="560" spans="1:12">
      <c r="A560" t="s">
        <v>460</v>
      </c>
      <c r="B560" t="s">
        <v>4039</v>
      </c>
      <c r="C560" t="str" cm="1">
        <f t="array" ref="C560" xml:space="preserve"> CleanText(B560)</f>
        <v>here comes my favorite guy at 5 hes so cute momo</v>
      </c>
      <c r="D560">
        <v>0</v>
      </c>
      <c r="E560">
        <v>0</v>
      </c>
      <c r="F560" t="s">
        <v>0</v>
      </c>
      <c r="G560" t="str" cm="1">
        <f t="array" ref="G560" xml:space="preserve"> FindCountryName(F560)</f>
        <v>None</v>
      </c>
      <c r="H560" s="1">
        <v>45320.202256944445</v>
      </c>
      <c r="I560" s="1">
        <v>45320.202256944445</v>
      </c>
      <c r="J560" s="1">
        <v>40963.094814814816</v>
      </c>
      <c r="K560" cm="1">
        <f t="array" ref="K560" xml:space="preserve"> sentimentCalc(C560)</f>
        <v>4</v>
      </c>
      <c r="L560" t="str" cm="1">
        <f t="array" ref="L560" xml:space="preserve"> sentimentCategory(K560)</f>
        <v>Positive</v>
      </c>
    </row>
    <row r="561" spans="1:12">
      <c r="A561" t="s">
        <v>210</v>
      </c>
      <c r="B561" t="s">
        <v>4038</v>
      </c>
      <c r="C561" t="str" cm="1">
        <f t="array" ref="C561" xml:space="preserve"> CleanText(B561)</f>
        <v>this looks good im hopeful _xDE01_</v>
      </c>
      <c r="D561">
        <v>0</v>
      </c>
      <c r="E561">
        <v>0</v>
      </c>
      <c r="F561" t="s">
        <v>0</v>
      </c>
      <c r="G561" t="str" cm="1">
        <f t="array" ref="G561" xml:space="preserve"> FindCountryName(F561)</f>
        <v>None</v>
      </c>
      <c r="H561" s="1">
        <v>45320.195509259262</v>
      </c>
      <c r="I561" s="1">
        <v>45320.195509259262</v>
      </c>
      <c r="J561" s="1">
        <v>41313.840127314812</v>
      </c>
      <c r="K561" cm="1">
        <f t="array" ref="K561" xml:space="preserve"> sentimentCalc(C561)</f>
        <v>5</v>
      </c>
      <c r="L561" t="str" cm="1">
        <f t="array" ref="L561" xml:space="preserve"> sentimentCategory(K561)</f>
        <v>Positive</v>
      </c>
    </row>
    <row r="562" spans="1:12">
      <c r="A562" t="s">
        <v>413</v>
      </c>
      <c r="B562" t="s">
        <v>3544</v>
      </c>
      <c r="C562" t="str" cm="1">
        <f t="array" ref="C562" xml:space="preserve"> CleanText(B562)</f>
        <v>i hope they havent lost the comedic element to it they are kids afterall and soka and ang being funny was great to watch as a kid i hope they dont make soka the serious one</v>
      </c>
      <c r="D562">
        <v>0</v>
      </c>
      <c r="E562">
        <v>0</v>
      </c>
      <c r="F562" t="s">
        <v>0</v>
      </c>
      <c r="G562" t="str" cm="1">
        <f t="array" ref="G562" xml:space="preserve"> FindCountryName(F562)</f>
        <v>None</v>
      </c>
      <c r="H562" s="1">
        <v>45320.125752314816</v>
      </c>
      <c r="I562" s="1">
        <v>45320.125752314816</v>
      </c>
      <c r="J562" s="1">
        <v>45320.125740740739</v>
      </c>
      <c r="K562" cm="1">
        <f t="array" ref="K562" xml:space="preserve"> sentimentCalc(C562)</f>
        <v>8</v>
      </c>
      <c r="L562" t="str" cm="1">
        <f t="array" ref="L562" xml:space="preserve"> sentimentCategory(K562)</f>
        <v>Positive</v>
      </c>
    </row>
    <row r="563" spans="1:12">
      <c r="A563" t="s">
        <v>1009</v>
      </c>
      <c r="B563" t="s">
        <v>4037</v>
      </c>
      <c r="C563" t="str" cm="1">
        <f t="array" ref="C563" xml:space="preserve"> CleanText(B563)</f>
        <v>we are gonna enjoy avatar storys once again from  to 7 our childhood will be back on track _xDE0A_</v>
      </c>
      <c r="D563">
        <v>0</v>
      </c>
      <c r="E563">
        <v>0</v>
      </c>
      <c r="F563" t="s">
        <v>0</v>
      </c>
      <c r="G563" t="str" cm="1">
        <f t="array" ref="G563" xml:space="preserve"> FindCountryName(F563)</f>
        <v>None</v>
      </c>
      <c r="H563" s="1">
        <v>45319.917986111112</v>
      </c>
      <c r="I563" s="1">
        <v>45319.917986111112</v>
      </c>
      <c r="J563" s="1">
        <v>42794.569062499999</v>
      </c>
      <c r="K563" cm="1">
        <f t="array" ref="K563" xml:space="preserve"> sentimentCalc(C563)</f>
        <v>2</v>
      </c>
      <c r="L563" t="str" cm="1">
        <f t="array" ref="L563" xml:space="preserve"> sentimentCategory(K563)</f>
        <v>Positive</v>
      </c>
    </row>
    <row r="564" spans="1:12">
      <c r="A564" t="s">
        <v>4036</v>
      </c>
      <c r="B564" t="s">
        <v>4035</v>
      </c>
      <c r="C564" t="str" cm="1">
        <f t="array" ref="C564" xml:space="preserve"> CleanText(B564)</f>
        <v>animatedartificial</v>
      </c>
      <c r="D564">
        <v>0</v>
      </c>
      <c r="E564">
        <v>0</v>
      </c>
      <c r="F564" t="s">
        <v>0</v>
      </c>
      <c r="G564" t="str" cm="1">
        <f t="array" ref="G564" xml:space="preserve"> FindCountryName(F564)</f>
        <v>None</v>
      </c>
      <c r="H564" s="1">
        <v>45319.902604166666</v>
      </c>
      <c r="I564" s="1">
        <v>45319.902604166666</v>
      </c>
      <c r="J564" s="1">
        <v>45011.914722222224</v>
      </c>
      <c r="K564" cm="1">
        <f t="array" ref="K564" xml:space="preserve"> sentimentCalc(C564)</f>
        <v>0</v>
      </c>
      <c r="L564" t="str" cm="1">
        <f t="array" ref="L564" xml:space="preserve"> sentimentCategory(K564)</f>
        <v>Neutral</v>
      </c>
    </row>
    <row r="565" spans="1:12">
      <c r="A565" t="s">
        <v>180</v>
      </c>
      <c r="B565" t="s">
        <v>4034</v>
      </c>
      <c r="C565" t="str" cm="1">
        <f t="array" ref="C565" xml:space="preserve"> CleanText(B565)</f>
        <v>with their experience with one piece netflix get it right this time</v>
      </c>
      <c r="D565">
        <v>0</v>
      </c>
      <c r="E565">
        <v>0</v>
      </c>
      <c r="F565" t="s">
        <v>64</v>
      </c>
      <c r="G565" t="str" cm="1">
        <f t="array" ref="G565" xml:space="preserve"> FindCountryName(F565)</f>
        <v>Philippines (the)</v>
      </c>
      <c r="H565" s="1">
        <v>45319.877511574072</v>
      </c>
      <c r="I565" s="1">
        <v>45319.877511574072</v>
      </c>
      <c r="J565" s="1">
        <v>44861.106782407405</v>
      </c>
      <c r="K565" cm="1">
        <f t="array" ref="K565" xml:space="preserve"> sentimentCalc(C565)</f>
        <v>0</v>
      </c>
      <c r="L565" t="str" cm="1">
        <f t="array" ref="L565" xml:space="preserve"> sentimentCategory(K565)</f>
        <v>Neutral</v>
      </c>
    </row>
    <row r="566" spans="1:12">
      <c r="A566" t="s">
        <v>4033</v>
      </c>
      <c r="B566" t="s">
        <v>4032</v>
      </c>
      <c r="C566" t="str" cm="1">
        <f t="array" ref="C566" xml:space="preserve"> CleanText(B566)</f>
        <v>i wonder if we would this series if m night didnt f it up im glad he did netflix killing it</v>
      </c>
      <c r="D566">
        <v>0</v>
      </c>
      <c r="E566">
        <v>0</v>
      </c>
      <c r="F566" t="s">
        <v>0</v>
      </c>
      <c r="G566" t="str" cm="1">
        <f t="array" ref="G566" xml:space="preserve"> FindCountryName(F566)</f>
        <v>None</v>
      </c>
      <c r="H566" s="1">
        <v>45319.860972222225</v>
      </c>
      <c r="I566" s="1">
        <v>45319.860972222225</v>
      </c>
      <c r="J566" s="1">
        <v>40810.093159722222</v>
      </c>
      <c r="K566" cm="1">
        <f t="array" ref="K566" xml:space="preserve"> sentimentCalc(C566)</f>
        <v>0</v>
      </c>
      <c r="L566" t="str" cm="1">
        <f t="array" ref="L566" xml:space="preserve"> sentimentCategory(K566)</f>
        <v>Neutral</v>
      </c>
    </row>
    <row r="567" spans="1:12">
      <c r="A567" t="s">
        <v>1198</v>
      </c>
      <c r="B567" t="s">
        <v>4031</v>
      </c>
      <c r="C567" t="str" cm="1">
        <f t="array" ref="C567" xml:space="preserve"> CleanText(B567)</f>
        <v>dan they got his name wrong its ong not ang smh</v>
      </c>
      <c r="D567">
        <v>1</v>
      </c>
      <c r="E567">
        <v>0</v>
      </c>
      <c r="F567" t="s">
        <v>0</v>
      </c>
      <c r="G567" t="str" cm="1">
        <f t="array" ref="G567" xml:space="preserve"> FindCountryName(F567)</f>
        <v>None</v>
      </c>
      <c r="H567" s="1">
        <v>45319.672002314815</v>
      </c>
      <c r="I567" s="1">
        <v>45319.672002314815</v>
      </c>
      <c r="J567" s="1">
        <v>45310.018611111111</v>
      </c>
      <c r="K567" cm="1">
        <f t="array" ref="K567" xml:space="preserve"> sentimentCalc(C567)</f>
        <v>-2</v>
      </c>
      <c r="L567" t="str" cm="1">
        <f t="array" ref="L567" xml:space="preserve"> sentimentCategory(K567)</f>
        <v>Negative</v>
      </c>
    </row>
    <row r="568" spans="1:12">
      <c r="A568" t="s">
        <v>483</v>
      </c>
      <c r="B568" t="s">
        <v>4030</v>
      </c>
      <c r="C568" t="str" cm="1">
        <f t="array" ref="C568" xml:space="preserve"> CleanText(B568)</f>
        <v>i might even subscribe back to netflix just for this</v>
      </c>
      <c r="D568">
        <v>1</v>
      </c>
      <c r="E568">
        <v>0</v>
      </c>
      <c r="F568" t="s">
        <v>0</v>
      </c>
      <c r="G568" t="str" cm="1">
        <f t="array" ref="G568" xml:space="preserve"> FindCountryName(F568)</f>
        <v>None</v>
      </c>
      <c r="H568" s="1">
        <v>45319.588263888887</v>
      </c>
      <c r="I568" s="1">
        <v>45319.588263888887</v>
      </c>
      <c r="J568" s="1">
        <v>41511.795775462961</v>
      </c>
      <c r="K568" cm="1">
        <f t="array" ref="K568" xml:space="preserve"> sentimentCalc(C568)</f>
        <v>0</v>
      </c>
      <c r="L568" t="str" cm="1">
        <f t="array" ref="L568" xml:space="preserve"> sentimentCategory(K568)</f>
        <v>Neutral</v>
      </c>
    </row>
    <row r="569" spans="1:12">
      <c r="A569" t="s">
        <v>510</v>
      </c>
      <c r="B569" t="s">
        <v>4029</v>
      </c>
      <c r="C569" t="str" cm="1">
        <f t="array" ref="C569" xml:space="preserve"> CleanText(B569)</f>
        <v>please dont let one piece be a fluke</v>
      </c>
      <c r="D569">
        <v>1</v>
      </c>
      <c r="E569">
        <v>0</v>
      </c>
      <c r="F569" t="s">
        <v>0</v>
      </c>
      <c r="G569" t="str" cm="1">
        <f t="array" ref="G569" xml:space="preserve"> FindCountryName(F569)</f>
        <v>None</v>
      </c>
      <c r="H569" s="1">
        <v>45319.465717592589</v>
      </c>
      <c r="I569" s="1">
        <v>45319.465717592589</v>
      </c>
      <c r="J569" s="1">
        <v>41377.494097222225</v>
      </c>
      <c r="K569" cm="1">
        <f t="array" ref="K569" xml:space="preserve"> sentimentCalc(C569)</f>
        <v>1</v>
      </c>
      <c r="L569" t="str" cm="1">
        <f t="array" ref="L569" xml:space="preserve"> sentimentCategory(K569)</f>
        <v>Positive</v>
      </c>
    </row>
    <row r="570" spans="1:12">
      <c r="A570" t="s">
        <v>382</v>
      </c>
      <c r="B570" t="s">
        <v>4028</v>
      </c>
      <c r="C570" t="str" cm="1">
        <f t="array" ref="C570" xml:space="preserve"> CleanText(B570)</f>
        <v>if you ever watch avatar aang sokka is comical characters i can expect a laugh just looking at the character this live action looks like he is sub characters from twilight its a mockery to the cgi people that did great job and work hard for this trim your sides sokka actor you are showing disrespect to the original characters by accepting the role how hard is mm side trim</v>
      </c>
      <c r="D570">
        <v>2</v>
      </c>
      <c r="E570">
        <v>2</v>
      </c>
      <c r="F570" t="s">
        <v>633</v>
      </c>
      <c r="G570" t="str" cm="1">
        <f t="array" ref="G570" xml:space="preserve"> FindCountryName(F570)</f>
        <v>Indonesia</v>
      </c>
      <c r="H570" s="1">
        <v>45319.26462962963</v>
      </c>
      <c r="I570" s="1">
        <v>45319.275405092594</v>
      </c>
      <c r="J570" s="1">
        <v>41619.309282407405</v>
      </c>
      <c r="K570" cm="1">
        <f t="array" ref="K570" xml:space="preserve"> sentimentCalc(C570)</f>
        <v>3</v>
      </c>
      <c r="L570" t="str" cm="1">
        <f t="array" ref="L570" xml:space="preserve"> sentimentCategory(K570)</f>
        <v>Positive</v>
      </c>
    </row>
    <row r="571" spans="1:12">
      <c r="A571" t="s">
        <v>382</v>
      </c>
      <c r="B571" t="s">
        <v>4027</v>
      </c>
      <c r="C571" t="str" cm="1">
        <f t="array" ref="C571" xml:space="preserve"> CleanText(B571)</f>
        <v>jeez dark skinned waterbender is reference to inuit indigenous people native in arctic this is a simple stuff that get past netflix as always they dont learn anything from  live action / i dont see passion by the production team if they cant even force sokka actor to trim sides into mm</v>
      </c>
      <c r="D571">
        <v>2</v>
      </c>
      <c r="E571">
        <v>1</v>
      </c>
      <c r="F571" t="s">
        <v>633</v>
      </c>
      <c r="G571" t="str" cm="1">
        <f t="array" ref="G571" xml:space="preserve"> FindCountryName(F571)</f>
        <v>Indonesia</v>
      </c>
      <c r="H571" s="1">
        <v>45319.258553240739</v>
      </c>
      <c r="I571" s="1">
        <v>45319.263101851851</v>
      </c>
      <c r="J571" s="1">
        <v>41619.309282407405</v>
      </c>
      <c r="K571" cm="1">
        <f t="array" ref="K571" xml:space="preserve"> sentimentCalc(C571)</f>
        <v>0</v>
      </c>
      <c r="L571" t="str" cm="1">
        <f t="array" ref="L571" xml:space="preserve"> sentimentCategory(K571)</f>
        <v>Neutral</v>
      </c>
    </row>
    <row r="572" spans="1:12">
      <c r="A572" t="s">
        <v>382</v>
      </c>
      <c r="B572" t="s">
        <v>4026</v>
      </c>
      <c r="C572" t="str" cm="1">
        <f t="array" ref="C572" xml:space="preserve"> CleanText(B572)</f>
        <v>also sokka and katara is inuit dark skinned native reference they really do reverse velma bring up white people into everything</v>
      </c>
      <c r="D572">
        <v>1</v>
      </c>
      <c r="E572">
        <v>1</v>
      </c>
      <c r="F572" t="s">
        <v>633</v>
      </c>
      <c r="G572" t="str" cm="1">
        <f t="array" ref="G572" xml:space="preserve"> FindCountryName(F572)</f>
        <v>Indonesia</v>
      </c>
      <c r="H572" s="1">
        <v>45319.250891203701</v>
      </c>
      <c r="I572" s="1">
        <v>45319.259872685187</v>
      </c>
      <c r="J572" s="1">
        <v>41619.309282407405</v>
      </c>
      <c r="K572" cm="1">
        <f t="array" ref="K572" xml:space="preserve"> sentimentCalc(C572)</f>
        <v>0</v>
      </c>
      <c r="L572" t="str" cm="1">
        <f t="array" ref="L572" xml:space="preserve"> sentimentCategory(K572)</f>
        <v>Neutral</v>
      </c>
    </row>
    <row r="573" spans="1:12">
      <c r="A573" t="s">
        <v>382</v>
      </c>
      <c r="B573" t="s">
        <v>4025</v>
      </c>
      <c r="C573" t="str" cm="1">
        <f t="array" ref="C573" xml:space="preserve"> CleanText(B573)</f>
        <v>should have select sokka actor that willing to trim sides hollywood kid is disappointment</v>
      </c>
      <c r="D573">
        <v>0</v>
      </c>
      <c r="E573">
        <v>0</v>
      </c>
      <c r="F573" t="s">
        <v>633</v>
      </c>
      <c r="G573" t="str" cm="1">
        <f t="array" ref="G573" xml:space="preserve"> FindCountryName(F573)</f>
        <v>Indonesia</v>
      </c>
      <c r="H573" s="1">
        <v>45319.249131944445</v>
      </c>
      <c r="I573" s="1">
        <v>45319.249131944445</v>
      </c>
      <c r="J573" s="1">
        <v>41619.309282407405</v>
      </c>
      <c r="K573" cm="1">
        <f t="array" ref="K573" xml:space="preserve"> sentimentCalc(C573)</f>
        <v>-2</v>
      </c>
      <c r="L573" t="str" cm="1">
        <f t="array" ref="L573" xml:space="preserve"> sentimentCategory(K573)</f>
        <v>Negative</v>
      </c>
    </row>
    <row r="574" spans="1:12">
      <c r="A574" t="s">
        <v>382</v>
      </c>
      <c r="B574" t="s">
        <v>4024</v>
      </c>
      <c r="C574" t="str" cm="1">
        <f t="array" ref="C574" xml:space="preserve"> CleanText(B574)</f>
        <v>tch my man sokka didnt trim sides disappointed its very simple mm losing an iconic cartoon characters already</v>
      </c>
      <c r="D574">
        <v>0</v>
      </c>
      <c r="E574">
        <v>0</v>
      </c>
      <c r="F574" t="s">
        <v>633</v>
      </c>
      <c r="G574" t="str" cm="1">
        <f t="array" ref="G574" xml:space="preserve"> FindCountryName(F574)</f>
        <v>Indonesia</v>
      </c>
      <c r="H574" s="1">
        <v>45319.240208333336</v>
      </c>
      <c r="I574" s="1">
        <v>45319.247997685183</v>
      </c>
      <c r="J574" s="1">
        <v>41619.309282407405</v>
      </c>
      <c r="K574" cm="1">
        <f t="array" ref="K574" xml:space="preserve"> sentimentCalc(C574)</f>
        <v>-5</v>
      </c>
      <c r="L574" t="str" cm="1">
        <f t="array" ref="L574" xml:space="preserve"> sentimentCategory(K574)</f>
        <v>Negative</v>
      </c>
    </row>
    <row r="575" spans="1:12">
      <c r="A575" t="s">
        <v>1613</v>
      </c>
      <c r="B575" t="s">
        <v>4023</v>
      </c>
      <c r="C575" t="str" cm="1">
        <f t="array" ref="C575" xml:space="preserve"> CleanText(B575)</f>
        <v>ылдт нбю n</v>
      </c>
      <c r="D575">
        <v>0</v>
      </c>
      <c r="E575">
        <v>0</v>
      </c>
      <c r="F575" t="s">
        <v>0</v>
      </c>
      <c r="G575" t="str" cm="1">
        <f t="array" ref="G575" xml:space="preserve"> FindCountryName(F575)</f>
        <v>None</v>
      </c>
      <c r="H575" s="1">
        <v>45319.131979166668</v>
      </c>
      <c r="I575" s="1">
        <v>45319.131979166668</v>
      </c>
      <c r="J575" s="1">
        <v>41533.064189814817</v>
      </c>
      <c r="K575" cm="1">
        <f t="array" ref="K575" xml:space="preserve"> sentimentCalc(C575)</f>
        <v>0</v>
      </c>
      <c r="L575" t="str" cm="1">
        <f t="array" ref="L575" xml:space="preserve"> sentimentCategory(K575)</f>
        <v>Neutral</v>
      </c>
    </row>
    <row r="576" spans="1:12">
      <c r="A576" t="s">
        <v>3357</v>
      </c>
      <c r="B576" t="s">
        <v>4022</v>
      </c>
      <c r="C576" t="str" cm="1">
        <f t="array" ref="C576" xml:space="preserve"> CleanText(B576)</f>
        <v>the soundtrack yall</v>
      </c>
      <c r="D576">
        <v>1</v>
      </c>
      <c r="E576">
        <v>0</v>
      </c>
      <c r="F576" t="s">
        <v>0</v>
      </c>
      <c r="G576" t="str" cm="1">
        <f t="array" ref="G576" xml:space="preserve"> FindCountryName(F576)</f>
        <v>None</v>
      </c>
      <c r="H576" s="1">
        <v>45319.006493055553</v>
      </c>
      <c r="I576" s="1">
        <v>45319.006493055553</v>
      </c>
      <c r="J576" s="1">
        <v>41563.728125000001</v>
      </c>
      <c r="K576" cm="1">
        <f t="array" ref="K576" xml:space="preserve"> sentimentCalc(C576)</f>
        <v>0</v>
      </c>
      <c r="L576" t="str" cm="1">
        <f t="array" ref="L576" xml:space="preserve"> sentimentCategory(K576)</f>
        <v>Neutral</v>
      </c>
    </row>
    <row r="577" spans="1:12">
      <c r="A577" t="s">
        <v>180</v>
      </c>
      <c r="B577" t="s">
        <v>4021</v>
      </c>
      <c r="C577" t="str" cm="1">
        <f t="array" ref="C577" xml:space="preserve"> CleanText(B577)</f>
        <v>avatar the last airbender is one of the greatest nickelodeon shows this looks amazing too</v>
      </c>
      <c r="D577">
        <v>14</v>
      </c>
      <c r="E577">
        <v>0</v>
      </c>
      <c r="F577" t="s">
        <v>0</v>
      </c>
      <c r="G577" t="str" cm="1">
        <f t="array" ref="G577" xml:space="preserve"> FindCountryName(F577)</f>
        <v>None</v>
      </c>
      <c r="H577" s="1">
        <v>45319.004849537036</v>
      </c>
      <c r="I577" s="1">
        <v>45319.004849537036</v>
      </c>
      <c r="J577" s="1">
        <v>43822.947442129633</v>
      </c>
      <c r="K577" cm="1">
        <f t="array" ref="K577" xml:space="preserve"> sentimentCalc(C577)</f>
        <v>7</v>
      </c>
      <c r="L577" t="str" cm="1">
        <f t="array" ref="L577" xml:space="preserve"> sentimentCategory(K577)</f>
        <v>Positive</v>
      </c>
    </row>
    <row r="578" spans="1:12">
      <c r="A578" t="s">
        <v>1769</v>
      </c>
      <c r="B578" t="s">
        <v>4020</v>
      </c>
      <c r="C578" t="str" cm="1">
        <f t="array" ref="C578" xml:space="preserve"> CleanText(B578)</f>
        <v>i love how this already have 0m views we really are excited</v>
      </c>
      <c r="D578">
        <v>7</v>
      </c>
      <c r="E578">
        <v>0</v>
      </c>
      <c r="F578" t="s">
        <v>0</v>
      </c>
      <c r="G578" t="str" cm="1">
        <f t="array" ref="G578" xml:space="preserve"> FindCountryName(F578)</f>
        <v>None</v>
      </c>
      <c r="H578" s="1">
        <v>45318.922094907408</v>
      </c>
      <c r="I578" s="1">
        <v>45318.922094907408</v>
      </c>
      <c r="J578" s="1">
        <v>44112.261423611111</v>
      </c>
      <c r="K578" cm="1">
        <f t="array" ref="K578" xml:space="preserve"> sentimentCalc(C578)</f>
        <v>6</v>
      </c>
      <c r="L578" t="str" cm="1">
        <f t="array" ref="L578" xml:space="preserve"> sentimentCategory(K578)</f>
        <v>Positive</v>
      </c>
    </row>
    <row r="579" spans="1:12">
      <c r="A579" t="s">
        <v>335</v>
      </c>
      <c r="B579" t="s">
        <v>4019</v>
      </c>
      <c r="C579" t="str" cm="1">
        <f t="array" ref="C579" xml:space="preserve"> CleanText(B579)</f>
        <v>looks like shit</v>
      </c>
      <c r="D579">
        <v>0</v>
      </c>
      <c r="E579">
        <v>2</v>
      </c>
      <c r="F579" t="s">
        <v>0</v>
      </c>
      <c r="G579" t="str" cm="1">
        <f t="array" ref="G579" xml:space="preserve"> FindCountryName(F579)</f>
        <v>None</v>
      </c>
      <c r="H579" s="1">
        <v>45318.918506944443</v>
      </c>
      <c r="I579" s="1">
        <v>45318.918506944443</v>
      </c>
      <c r="J579" s="1">
        <v>40783.648229166669</v>
      </c>
      <c r="K579" cm="1">
        <f t="array" ref="K579" xml:space="preserve"> sentimentCalc(C579)</f>
        <v>2</v>
      </c>
      <c r="L579" t="str" cm="1">
        <f t="array" ref="L579" xml:space="preserve"> sentimentCategory(K579)</f>
        <v>Positive</v>
      </c>
    </row>
    <row r="580" spans="1:12">
      <c r="A580" t="s">
        <v>347</v>
      </c>
      <c r="B580" t="s">
        <v>4018</v>
      </c>
      <c r="C580" t="str" cm="1">
        <f t="array" ref="C580" xml:space="preserve"> CleanText(B580)</f>
        <v>_xDD0D_ n</v>
      </c>
      <c r="D580">
        <v>0</v>
      </c>
      <c r="E580">
        <v>0</v>
      </c>
      <c r="F580" t="s">
        <v>0</v>
      </c>
      <c r="G580" t="str" cm="1">
        <f t="array" ref="G580" xml:space="preserve"> FindCountryName(F580)</f>
        <v>None</v>
      </c>
      <c r="H580" s="1">
        <v>45318.867037037038</v>
      </c>
      <c r="I580" s="1">
        <v>45318.867037037038</v>
      </c>
      <c r="J580" s="1">
        <v>42367.212268518517</v>
      </c>
      <c r="K580" cm="1">
        <f t="array" ref="K580" xml:space="preserve"> sentimentCalc(C580)</f>
        <v>0</v>
      </c>
      <c r="L580" t="str" cm="1">
        <f t="array" ref="L580" xml:space="preserve"> sentimentCategory(K580)</f>
        <v>Neutral</v>
      </c>
    </row>
    <row r="581" spans="1:12">
      <c r="A581" t="s">
        <v>347</v>
      </c>
      <c r="B581" t="s">
        <v>4017</v>
      </c>
      <c r="C581" t="str" cm="1">
        <f t="array" ref="C581" xml:space="preserve"> CleanText(B581)</f>
        <v>n</v>
      </c>
      <c r="D581">
        <v>0</v>
      </c>
      <c r="E581">
        <v>0</v>
      </c>
      <c r="F581" t="s">
        <v>0</v>
      </c>
      <c r="G581" t="str" cm="1">
        <f t="array" ref="G581" xml:space="preserve"> FindCountryName(F581)</f>
        <v>None</v>
      </c>
      <c r="H581" s="1">
        <v>45318.866979166669</v>
      </c>
      <c r="I581" s="1">
        <v>45318.866979166669</v>
      </c>
      <c r="J581" s="1">
        <v>42367.212268518517</v>
      </c>
      <c r="K581" cm="1">
        <f t="array" ref="K581" xml:space="preserve"> sentimentCalc(C581)</f>
        <v>0</v>
      </c>
      <c r="L581" t="str" cm="1">
        <f t="array" ref="L581" xml:space="preserve"> sentimentCategory(K581)</f>
        <v>Neutral</v>
      </c>
    </row>
    <row r="582" spans="1:12">
      <c r="A582" t="s">
        <v>284</v>
      </c>
      <c r="B582" t="s">
        <v>4016</v>
      </c>
      <c r="C582" t="str" cm="1">
        <f t="array" ref="C582" xml:space="preserve"> CleanText(B582)</f>
        <v>this is an apology video from the previous movie and i accept it just this trailer is already better than the movie</v>
      </c>
      <c r="D582">
        <v>0</v>
      </c>
      <c r="E582">
        <v>0</v>
      </c>
      <c r="F582" t="s">
        <v>0</v>
      </c>
      <c r="G582" t="str" cm="1">
        <f t="array" ref="G582" xml:space="preserve"> FindCountryName(F582)</f>
        <v>None</v>
      </c>
      <c r="H582" s="1">
        <v>45318.823414351849</v>
      </c>
      <c r="I582" s="1">
        <v>45318.823414351849</v>
      </c>
      <c r="J582" s="1">
        <v>44407.893287037034</v>
      </c>
      <c r="K582" cm="1">
        <f t="array" ref="K582" xml:space="preserve"> sentimentCalc(C582)</f>
        <v>2</v>
      </c>
      <c r="L582" t="str" cm="1">
        <f t="array" ref="L582" xml:space="preserve"> sentimentCategory(K582)</f>
        <v>Positive</v>
      </c>
    </row>
    <row r="583" spans="1:12">
      <c r="A583" t="s">
        <v>4015</v>
      </c>
      <c r="B583" t="s">
        <v>4014</v>
      </c>
      <c r="C583" t="str" cm="1">
        <f t="array" ref="C583" xml:space="preserve"> CleanText(B583)</f>
        <v>i love the shot of azula with the flames reflected in her eyes _xDE0D_</v>
      </c>
      <c r="D583">
        <v>55</v>
      </c>
      <c r="E583">
        <v>0</v>
      </c>
      <c r="F583" t="s">
        <v>0</v>
      </c>
      <c r="G583" t="str" cm="1">
        <f t="array" ref="G583" xml:space="preserve"> FindCountryName(F583)</f>
        <v>None</v>
      </c>
      <c r="H583" s="1">
        <v>45318.78292824074</v>
      </c>
      <c r="I583" s="1">
        <v>45318.78292824074</v>
      </c>
      <c r="J583" s="1">
        <v>39212.686099537037</v>
      </c>
      <c r="K583" cm="1">
        <f t="array" ref="K583" xml:space="preserve"> sentimentCalc(C583)</f>
        <v>3</v>
      </c>
      <c r="L583" t="str" cm="1">
        <f t="array" ref="L583" xml:space="preserve"> sentimentCategory(K583)</f>
        <v>Positive</v>
      </c>
    </row>
    <row r="584" spans="1:12">
      <c r="A584" t="s">
        <v>1345</v>
      </c>
      <c r="B584" t="s">
        <v>4013</v>
      </c>
      <c r="C584" t="str" cm="1">
        <f t="array" ref="C584" xml:space="preserve"> CleanText(B584)</f>
        <v>netflix has so much budget im glad its a series and not a movie you cannot fit the whole series into a movie theres not wayi want netflix to continue into the badlands for just one more season to give the series a closure</v>
      </c>
      <c r="D584">
        <v>0</v>
      </c>
      <c r="E584">
        <v>0</v>
      </c>
      <c r="F584" t="s">
        <v>0</v>
      </c>
      <c r="G584" t="str" cm="1">
        <f t="array" ref="G584" xml:space="preserve"> FindCountryName(F584)</f>
        <v>None</v>
      </c>
      <c r="H584" s="1">
        <v>45318.775347222225</v>
      </c>
      <c r="I584" s="1">
        <v>45318.775347222225</v>
      </c>
      <c r="J584" s="1">
        <v>39505.591990740744</v>
      </c>
      <c r="K584" cm="1">
        <f t="array" ref="K584" xml:space="preserve"> sentimentCalc(C584)</f>
        <v>5</v>
      </c>
      <c r="L584" t="str" cm="1">
        <f t="array" ref="L584" xml:space="preserve"> sentimentCategory(K584)</f>
        <v>Positive</v>
      </c>
    </row>
    <row r="585" spans="1:12">
      <c r="A585" t="s">
        <v>1067</v>
      </c>
      <c r="B585" t="s">
        <v>4012</v>
      </c>
      <c r="C585" t="str" cm="1">
        <f t="array" ref="C585" xml:space="preserve"> CleanText(B585)</f>
        <v>no god not this again</v>
      </c>
      <c r="D585">
        <v>0</v>
      </c>
      <c r="E585">
        <v>1</v>
      </c>
      <c r="F585" t="s">
        <v>0</v>
      </c>
      <c r="G585" t="str" cm="1">
        <f t="array" ref="G585" xml:space="preserve"> FindCountryName(F585)</f>
        <v>None</v>
      </c>
      <c r="H585" s="1">
        <v>45318.607951388891</v>
      </c>
      <c r="I585" s="1">
        <v>45318.607951388891</v>
      </c>
      <c r="J585" s="1">
        <v>44061.852708333332</v>
      </c>
      <c r="K585" cm="1">
        <f t="array" ref="K585" xml:space="preserve"> sentimentCalc(C585)</f>
        <v>0</v>
      </c>
      <c r="L585" t="str" cm="1">
        <f t="array" ref="L585" xml:space="preserve"> sentimentCategory(K585)</f>
        <v>Neutral</v>
      </c>
    </row>
    <row r="586" spans="1:12">
      <c r="A586" t="s">
        <v>233</v>
      </c>
      <c r="B586" t="s">
        <v>4011</v>
      </c>
      <c r="C586" t="str" cm="1">
        <f t="array" ref="C586" xml:space="preserve"> CleanText(B586)</f>
        <v>my name is ong</v>
      </c>
      <c r="D586">
        <v>1</v>
      </c>
      <c r="E586">
        <v>0</v>
      </c>
      <c r="F586" t="s">
        <v>0</v>
      </c>
      <c r="G586" t="str" cm="1">
        <f t="array" ref="G586" xml:space="preserve"> FindCountryName(F586)</f>
        <v>None</v>
      </c>
      <c r="H586" s="1">
        <v>45318.590949074074</v>
      </c>
      <c r="I586" s="1">
        <v>45318.590949074074</v>
      </c>
      <c r="J586" s="1">
        <v>41250.941527777781</v>
      </c>
      <c r="K586" cm="1">
        <f t="array" ref="K586" xml:space="preserve"> sentimentCalc(C586)</f>
        <v>0</v>
      </c>
      <c r="L586" t="str" cm="1">
        <f t="array" ref="L586" xml:space="preserve"> sentimentCategory(K586)</f>
        <v>Neutral</v>
      </c>
    </row>
    <row r="587" spans="1:12">
      <c r="A587" t="s">
        <v>1200</v>
      </c>
      <c r="B587" t="s">
        <v>4010</v>
      </c>
      <c r="C587" t="str" cm="1">
        <f t="array" ref="C587" xml:space="preserve"> CleanText(B587)</f>
        <v>i wonder has creators of avatar the last airbender inspired by vietnamese myth sn tinh  thy tinh</v>
      </c>
      <c r="D587">
        <v>0</v>
      </c>
      <c r="E587">
        <v>0</v>
      </c>
      <c r="F587" t="s">
        <v>0</v>
      </c>
      <c r="G587" t="str" cm="1">
        <f t="array" ref="G587" xml:space="preserve"> FindCountryName(F587)</f>
        <v>None</v>
      </c>
      <c r="H587" s="1">
        <v>45318.555937500001</v>
      </c>
      <c r="I587" s="1">
        <v>45318.555937500001</v>
      </c>
      <c r="J587" s="1">
        <v>39334.146851851852</v>
      </c>
      <c r="K587" cm="1">
        <f t="array" ref="K587" xml:space="preserve"> sentimentCalc(C587)</f>
        <v>1</v>
      </c>
      <c r="L587" t="str" cm="1">
        <f t="array" ref="L587" xml:space="preserve"> sentimentCategory(K587)</f>
        <v>Positive</v>
      </c>
    </row>
    <row r="588" spans="1:12">
      <c r="A588" t="s">
        <v>3324</v>
      </c>
      <c r="B588" t="s">
        <v>4009</v>
      </c>
      <c r="C588" t="str" cm="1">
        <f t="array" ref="C588" xml:space="preserve"> CleanText(B588)</f>
        <v>am horny rn _xDE02_</v>
      </c>
      <c r="D588">
        <v>0</v>
      </c>
      <c r="E588">
        <v>1</v>
      </c>
      <c r="F588" t="s">
        <v>4008</v>
      </c>
      <c r="G588" t="str" cm="1">
        <f t="array" ref="G588" xml:space="preserve"> FindCountryName(F588)</f>
        <v>Poland</v>
      </c>
      <c r="H588" s="1">
        <v>45318.530243055553</v>
      </c>
      <c r="I588" s="1">
        <v>45318.530243055553</v>
      </c>
      <c r="J588" s="1">
        <v>44947.418391203704</v>
      </c>
      <c r="K588" cm="1">
        <f t="array" ref="K588" xml:space="preserve"> sentimentCalc(C588)</f>
        <v>0</v>
      </c>
      <c r="L588" t="str" cm="1">
        <f t="array" ref="L588" xml:space="preserve"> sentimentCategory(K588)</f>
        <v>Neutral</v>
      </c>
    </row>
    <row r="589" spans="1:12">
      <c r="A589" t="s">
        <v>1087</v>
      </c>
      <c r="B589" t="s">
        <v>4007</v>
      </c>
      <c r="C589" t="str" cm="1">
        <f t="array" ref="C589" xml:space="preserve"> CleanText(B589)</f>
        <v>good film  real</v>
      </c>
      <c r="D589">
        <v>0</v>
      </c>
      <c r="E589">
        <v>0</v>
      </c>
      <c r="F589" t="s">
        <v>0</v>
      </c>
      <c r="G589" t="str" cm="1">
        <f t="array" ref="G589" xml:space="preserve"> FindCountryName(F589)</f>
        <v>None</v>
      </c>
      <c r="H589" s="1">
        <v>45318.323576388888</v>
      </c>
      <c r="I589" s="1">
        <v>45318.323576388888</v>
      </c>
      <c r="J589" s="1">
        <v>43052.276435185187</v>
      </c>
      <c r="K589" cm="1">
        <f t="array" ref="K589" xml:space="preserve"> sentimentCalc(C589)</f>
        <v>3</v>
      </c>
      <c r="L589" t="str" cm="1">
        <f t="array" ref="L589" xml:space="preserve"> sentimentCategory(K589)</f>
        <v>Positive</v>
      </c>
    </row>
    <row r="590" spans="1:12">
      <c r="A590" t="s">
        <v>460</v>
      </c>
      <c r="B590" t="s">
        <v>4006</v>
      </c>
      <c r="C590" t="str" cm="1">
        <f t="array" ref="C590" xml:space="preserve"> CleanText(B590)</f>
        <v>kapattm yeliimi yeniden aabilirm srf bu dizi iin</v>
      </c>
      <c r="D590">
        <v>0</v>
      </c>
      <c r="E590">
        <v>0</v>
      </c>
      <c r="F590" t="s">
        <v>0</v>
      </c>
      <c r="G590" t="str" cm="1">
        <f t="array" ref="G590" xml:space="preserve"> FindCountryName(F590)</f>
        <v>None</v>
      </c>
      <c r="H590" s="1">
        <v>45318.25037037037</v>
      </c>
      <c r="I590" s="1">
        <v>45318.25037037037</v>
      </c>
      <c r="J590" s="1">
        <v>41619.52851851852</v>
      </c>
      <c r="K590" cm="1">
        <f t="array" ref="K590" xml:space="preserve"> sentimentCalc(C590)</f>
        <v>0</v>
      </c>
      <c r="L590" t="str" cm="1">
        <f t="array" ref="L590" xml:space="preserve"> sentimentCategory(K590)</f>
        <v>Neutral</v>
      </c>
    </row>
    <row r="591" spans="1:12">
      <c r="A591" t="s">
        <v>4005</v>
      </c>
      <c r="B591" t="s">
        <v>4004</v>
      </c>
      <c r="C591" t="str" cm="1">
        <f t="array" ref="C591" xml:space="preserve"> CleanText(B591)</f>
        <v>my name is ong</v>
      </c>
      <c r="D591">
        <v>0</v>
      </c>
      <c r="E591">
        <v>0</v>
      </c>
      <c r="F591" t="s">
        <v>0</v>
      </c>
      <c r="G591" t="str" cm="1">
        <f t="array" ref="G591" xml:space="preserve"> FindCountryName(F591)</f>
        <v>None</v>
      </c>
      <c r="H591" s="1">
        <v>45317.997071759259</v>
      </c>
      <c r="I591" s="1">
        <v>45317.997071759259</v>
      </c>
      <c r="J591" s="1">
        <v>42959.911782407406</v>
      </c>
      <c r="K591" cm="1">
        <f t="array" ref="K591" xml:space="preserve"> sentimentCalc(C591)</f>
        <v>0</v>
      </c>
      <c r="L591" t="str" cm="1">
        <f t="array" ref="L591" xml:space="preserve"> sentimentCategory(K591)</f>
        <v>Neutral</v>
      </c>
    </row>
    <row r="592" spans="1:12">
      <c r="A592" t="s">
        <v>730</v>
      </c>
      <c r="B592" t="s">
        <v>4003</v>
      </c>
      <c r="C592" t="str" cm="1">
        <f t="array" ref="C592" xml:space="preserve"> CleanText(B592)</f>
        <v>im willing to give this a try but if it takes  earth benders to move a rock the size of a watermelon in the show im leaving</v>
      </c>
      <c r="D592">
        <v>1</v>
      </c>
      <c r="E592">
        <v>0</v>
      </c>
      <c r="F592" t="s">
        <v>0</v>
      </c>
      <c r="G592" t="str" cm="1">
        <f t="array" ref="G592" xml:space="preserve"> FindCountryName(F592)</f>
        <v>None</v>
      </c>
      <c r="H592" s="1">
        <v>45317.95349537037</v>
      </c>
      <c r="I592" s="1">
        <v>45317.95349537037</v>
      </c>
      <c r="J592" s="1">
        <v>42375.667407407411</v>
      </c>
      <c r="K592" cm="1">
        <f t="array" ref="K592" xml:space="preserve"> sentimentCalc(C592)</f>
        <v>0</v>
      </c>
      <c r="L592" t="str" cm="1">
        <f t="array" ref="L592" xml:space="preserve"> sentimentCategory(K592)</f>
        <v>Neutral</v>
      </c>
    </row>
    <row r="593" spans="1:12">
      <c r="A593" t="s">
        <v>367</v>
      </c>
      <c r="B593" t="s">
        <v>4002</v>
      </c>
      <c r="C593" t="str" cm="1">
        <f t="array" ref="C593" xml:space="preserve"> CleanText(B593)</f>
        <v>so excited</v>
      </c>
      <c r="D593">
        <v>0</v>
      </c>
      <c r="E593">
        <v>0</v>
      </c>
      <c r="F593" t="s">
        <v>0</v>
      </c>
      <c r="G593" t="str" cm="1">
        <f t="array" ref="G593" xml:space="preserve"> FindCountryName(F593)</f>
        <v>None</v>
      </c>
      <c r="H593" s="1">
        <v>45317.932152777779</v>
      </c>
      <c r="I593" s="1">
        <v>45317.932152777779</v>
      </c>
      <c r="J593" s="1">
        <v>41374.043564814812</v>
      </c>
      <c r="K593" cm="1">
        <f t="array" ref="K593" xml:space="preserve"> sentimentCalc(C593)</f>
        <v>3</v>
      </c>
      <c r="L593" t="str" cm="1">
        <f t="array" ref="L593" xml:space="preserve"> sentimentCategory(K593)</f>
        <v>Positive</v>
      </c>
    </row>
    <row r="594" spans="1:12">
      <c r="A594" t="s">
        <v>415</v>
      </c>
      <c r="B594" t="s">
        <v>4001</v>
      </c>
      <c r="C594" t="str" cm="1">
        <f t="array" ref="C594" xml:space="preserve"> CleanText(B594)</f>
        <v>i tear bended during the trailer</v>
      </c>
      <c r="D594">
        <v>0</v>
      </c>
      <c r="E594">
        <v>0</v>
      </c>
      <c r="F594" t="s">
        <v>0</v>
      </c>
      <c r="G594" t="str" cm="1">
        <f t="array" ref="G594" xml:space="preserve"> FindCountryName(F594)</f>
        <v>None</v>
      </c>
      <c r="H594" s="1">
        <v>45317.801620370374</v>
      </c>
      <c r="I594" s="1">
        <v>45317.801620370374</v>
      </c>
      <c r="J594" s="1">
        <v>41162.459768518522</v>
      </c>
      <c r="K594" cm="1">
        <f t="array" ref="K594" xml:space="preserve"> sentimentCalc(C594)</f>
        <v>0</v>
      </c>
      <c r="L594" t="str" cm="1">
        <f t="array" ref="L594" xml:space="preserve"> sentimentCategory(K594)</f>
        <v>Neutral</v>
      </c>
    </row>
    <row r="595" spans="1:12">
      <c r="A595" t="s">
        <v>359</v>
      </c>
      <c r="B595" t="s">
        <v>4000</v>
      </c>
      <c r="C595" t="str" cm="1">
        <f t="array" ref="C595" xml:space="preserve"> CleanText(B595)</f>
        <v>oh yeah i got a good feeling about this one boys</v>
      </c>
      <c r="D595">
        <v>1</v>
      </c>
      <c r="E595">
        <v>0</v>
      </c>
      <c r="F595" t="s">
        <v>0</v>
      </c>
      <c r="G595" t="str" cm="1">
        <f t="array" ref="G595" xml:space="preserve"> FindCountryName(F595)</f>
        <v>None</v>
      </c>
      <c r="H595" s="1">
        <v>45317.758622685185</v>
      </c>
      <c r="I595" s="1">
        <v>45317.758622685185</v>
      </c>
      <c r="J595" s="1">
        <v>41553.975729166668</v>
      </c>
      <c r="K595" cm="1">
        <f t="array" ref="K595" xml:space="preserve"> sentimentCalc(C595)</f>
        <v>5</v>
      </c>
      <c r="L595" t="str" cm="1">
        <f t="array" ref="L595" xml:space="preserve"> sentimentCategory(K595)</f>
        <v>Positive</v>
      </c>
    </row>
    <row r="596" spans="1:12">
      <c r="A596" t="s">
        <v>2607</v>
      </c>
      <c r="B596" t="s">
        <v>3999</v>
      </c>
      <c r="C596" t="str" cm="1">
        <f t="array" ref="C596" xml:space="preserve"> CleanText(B596)</f>
        <v>if nothing else this should at least be eye candy</v>
      </c>
      <c r="D596">
        <v>0</v>
      </c>
      <c r="E596">
        <v>0</v>
      </c>
      <c r="F596" t="s">
        <v>0</v>
      </c>
      <c r="G596" t="str" cm="1">
        <f t="array" ref="G596" xml:space="preserve"> FindCountryName(F596)</f>
        <v>None</v>
      </c>
      <c r="H596" s="1">
        <v>45317.725347222222</v>
      </c>
      <c r="I596" s="1">
        <v>45317.725347222222</v>
      </c>
      <c r="J596" s="1">
        <v>39903.916863425926</v>
      </c>
      <c r="K596" cm="1">
        <f t="array" ref="K596" xml:space="preserve"> sentimentCalc(C596)</f>
        <v>0</v>
      </c>
      <c r="L596" t="str" cm="1">
        <f t="array" ref="L596" xml:space="preserve"> sentimentCategory(K596)</f>
        <v>Neutral</v>
      </c>
    </row>
    <row r="597" spans="1:12">
      <c r="A597" t="s">
        <v>3998</v>
      </c>
      <c r="B597" t="s">
        <v>3997</v>
      </c>
      <c r="C597" t="str" cm="1">
        <f t="array" ref="C597" xml:space="preserve"> CleanText(B597)</f>
        <v>i just realised the producers made a mistake in making the assault on the air temple at night firebenders draw their power from the sunget powered up by comet waterbenders get powered up by the moonnight in this situation the fire nation attacked when they were weakest against fully powered air benders</v>
      </c>
      <c r="D597">
        <v>0</v>
      </c>
      <c r="E597">
        <v>1</v>
      </c>
      <c r="F597" t="s">
        <v>0</v>
      </c>
      <c r="G597" t="str" cm="1">
        <f t="array" ref="G597" xml:space="preserve"> FindCountryName(F597)</f>
        <v>None</v>
      </c>
      <c r="H597" s="1">
        <v>45317.694618055553</v>
      </c>
      <c r="I597" s="1">
        <v>45317.694618055553</v>
      </c>
      <c r="J597" s="1">
        <v>40809.790162037039</v>
      </c>
      <c r="K597" cm="1">
        <f t="array" ref="K597" xml:space="preserve"> sentimentCalc(C597)</f>
        <v>-5</v>
      </c>
      <c r="L597" t="str" cm="1">
        <f t="array" ref="L597" xml:space="preserve"> sentimentCategory(K597)</f>
        <v>Negative</v>
      </c>
    </row>
    <row r="598" spans="1:12">
      <c r="A598" t="s">
        <v>2467</v>
      </c>
      <c r="B598" t="s">
        <v>3996</v>
      </c>
      <c r="C598" t="str" cm="1">
        <f t="array" ref="C598" xml:space="preserve"> CleanText(B598)</f>
        <v>brothers and sisters we gather here long very long overdue the last airbender will get its due netflix better not fail us</v>
      </c>
      <c r="D598">
        <v>1</v>
      </c>
      <c r="E598">
        <v>0</v>
      </c>
      <c r="F598" t="s">
        <v>0</v>
      </c>
      <c r="G598" t="str" cm="1">
        <f t="array" ref="G598" xml:space="preserve"> FindCountryName(F598)</f>
        <v>None</v>
      </c>
      <c r="H598" s="1">
        <v>45317.686481481483</v>
      </c>
      <c r="I598" s="1">
        <v>45317.686481481483</v>
      </c>
      <c r="J598" s="1">
        <v>40159.927314814813</v>
      </c>
      <c r="K598" cm="1">
        <f t="array" ref="K598" xml:space="preserve"> sentimentCalc(C598)</f>
        <v>0</v>
      </c>
      <c r="L598" t="str" cm="1">
        <f t="array" ref="L598" xml:space="preserve"> sentimentCategory(K598)</f>
        <v>Neutral</v>
      </c>
    </row>
    <row r="599" spans="1:12">
      <c r="A599" t="s">
        <v>3995</v>
      </c>
      <c r="B599" t="s">
        <v>3994</v>
      </c>
      <c r="C599" t="str" cm="1">
        <f t="array" ref="C599" xml:space="preserve"> CleanText(B599)</f>
        <v>_xDF89__xDF0E__xDC41__xDE4F__xDCAF__xDD6F__xDE9D_ n</v>
      </c>
      <c r="D599">
        <v>0</v>
      </c>
      <c r="E599">
        <v>0</v>
      </c>
      <c r="F599" t="s">
        <v>0</v>
      </c>
      <c r="G599" t="str" cm="1">
        <f t="array" ref="G599" xml:space="preserve"> FindCountryName(F599)</f>
        <v>None</v>
      </c>
      <c r="H599" s="1">
        <v>45317.643148148149</v>
      </c>
      <c r="I599" s="1">
        <v>45317.643148148149</v>
      </c>
      <c r="J599" s="1">
        <v>44235.962233796294</v>
      </c>
      <c r="K599" cm="1">
        <f t="array" ref="K599" xml:space="preserve"> sentimentCalc(C599)</f>
        <v>0</v>
      </c>
      <c r="L599" t="str" cm="1">
        <f t="array" ref="L599" xml:space="preserve"> sentimentCategory(K599)</f>
        <v>Neutral</v>
      </c>
    </row>
    <row r="600" spans="1:12">
      <c r="A600" t="s">
        <v>830</v>
      </c>
      <c r="B600" t="s">
        <v>3993</v>
      </c>
      <c r="C600" t="str" cm="1">
        <f t="array" ref="C600" xml:space="preserve"> CleanText(B600)</f>
        <v>im dissapointed their friend toph is not here shes my favorite _xDE22_</v>
      </c>
      <c r="D600">
        <v>0</v>
      </c>
      <c r="E600">
        <v>1</v>
      </c>
      <c r="F600" t="s">
        <v>0</v>
      </c>
      <c r="G600" t="str" cm="1">
        <f t="array" ref="G600" xml:space="preserve"> FindCountryName(F600)</f>
        <v>None</v>
      </c>
      <c r="H600" s="1">
        <v>45317.590081018519</v>
      </c>
      <c r="I600" s="1">
        <v>45317.590081018519</v>
      </c>
      <c r="J600" s="1">
        <v>44565.895046296297</v>
      </c>
      <c r="K600" cm="1">
        <f t="array" ref="K600" xml:space="preserve"> sentimentCalc(C600)</f>
        <v>2</v>
      </c>
      <c r="L600" t="str" cm="1">
        <f t="array" ref="L600" xml:space="preserve"> sentimentCategory(K600)</f>
        <v>Positive</v>
      </c>
    </row>
    <row r="601" spans="1:12">
      <c r="A601" t="s">
        <v>710</v>
      </c>
      <c r="B601" t="s">
        <v>3992</v>
      </c>
      <c r="C601" t="str" cm="1">
        <f t="array" ref="C601" xml:space="preserve"> CleanText(B601)</f>
        <v>stop saying netflix one piece was good it wasnt</v>
      </c>
      <c r="D601">
        <v>0</v>
      </c>
      <c r="E601">
        <v>0</v>
      </c>
      <c r="F601" t="s">
        <v>0</v>
      </c>
      <c r="G601" t="str" cm="1">
        <f t="array" ref="G601" xml:space="preserve"> FindCountryName(F601)</f>
        <v>None</v>
      </c>
      <c r="H601" s="1">
        <v>45317.542569444442</v>
      </c>
      <c r="I601" s="1">
        <v>45317.542569444442</v>
      </c>
      <c r="J601" s="1">
        <v>41562.810706018521</v>
      </c>
      <c r="K601" cm="1">
        <f t="array" ref="K601" xml:space="preserve"> sentimentCalc(C601)</f>
        <v>2</v>
      </c>
      <c r="L601" t="str" cm="1">
        <f t="array" ref="L601" xml:space="preserve"> sentimentCategory(K601)</f>
        <v>Positive</v>
      </c>
    </row>
    <row r="602" spans="1:12">
      <c r="A602" t="s">
        <v>2048</v>
      </c>
      <c r="B602" t="s">
        <v>3991</v>
      </c>
      <c r="C602" t="str" cm="1">
        <f t="array" ref="C602" xml:space="preserve"> CleanText(B602)</f>
        <v>finally some good bending _xDD25_    _xDEA8_ so hyped</v>
      </c>
      <c r="D602">
        <v>0</v>
      </c>
      <c r="E602">
        <v>0</v>
      </c>
      <c r="F602" t="s">
        <v>0</v>
      </c>
      <c r="G602" t="str" cm="1">
        <f t="array" ref="G602" xml:space="preserve"> FindCountryName(F602)</f>
        <v>None</v>
      </c>
      <c r="H602" s="1">
        <v>45317.520624999997</v>
      </c>
      <c r="I602" s="1">
        <v>45317.520624999997</v>
      </c>
      <c r="J602" s="1">
        <v>44801.99150462963</v>
      </c>
      <c r="K602" cm="1">
        <f t="array" ref="K602" xml:space="preserve"> sentimentCalc(C602)</f>
        <v>3</v>
      </c>
      <c r="L602" t="str" cm="1">
        <f t="array" ref="L602" xml:space="preserve"> sentimentCategory(K602)</f>
        <v>Positive</v>
      </c>
    </row>
    <row r="603" spans="1:12">
      <c r="A603" t="s">
        <v>2307</v>
      </c>
      <c r="B603" t="s">
        <v>3990</v>
      </c>
      <c r="C603" t="str" cm="1">
        <f t="array" ref="C603" xml:space="preserve"> CleanText(B603)</f>
        <v>no one needs a effing remake just continue from korra jesus christ</v>
      </c>
      <c r="D603">
        <v>0</v>
      </c>
      <c r="E603">
        <v>0</v>
      </c>
      <c r="F603" t="s">
        <v>0</v>
      </c>
      <c r="G603" t="str" cm="1">
        <f t="array" ref="G603" xml:space="preserve"> FindCountryName(F603)</f>
        <v>None</v>
      </c>
      <c r="H603" s="1">
        <v>45317.502546296295</v>
      </c>
      <c r="I603" s="1">
        <v>45317.502546296295</v>
      </c>
      <c r="J603" s="1">
        <v>41960.281828703701</v>
      </c>
      <c r="K603" cm="1">
        <f t="array" ref="K603" xml:space="preserve"> sentimentCalc(C603)</f>
        <v>0</v>
      </c>
      <c r="L603" t="str" cm="1">
        <f t="array" ref="L603" xml:space="preserve"> sentimentCategory(K603)</f>
        <v>Neutral</v>
      </c>
    </row>
    <row r="604" spans="1:12">
      <c r="A604" t="s">
        <v>82</v>
      </c>
      <c r="B604" t="s">
        <v>3989</v>
      </c>
      <c r="C604" t="str" cm="1">
        <f t="array" ref="C604" xml:space="preserve"> CleanText(B604)</f>
        <v>im not crying im not crying im crying</v>
      </c>
      <c r="D604">
        <v>0</v>
      </c>
      <c r="E604">
        <v>0</v>
      </c>
      <c r="F604" t="s">
        <v>0</v>
      </c>
      <c r="G604" t="str" cm="1">
        <f t="array" ref="G604" xml:space="preserve"> FindCountryName(F604)</f>
        <v>None</v>
      </c>
      <c r="H604" s="1">
        <v>45317.469444444447</v>
      </c>
      <c r="I604" s="1">
        <v>45317.469444444447</v>
      </c>
      <c r="J604" s="1">
        <v>41218.632164351853</v>
      </c>
      <c r="K604" cm="1">
        <f t="array" ref="K604" xml:space="preserve"> sentimentCalc(C604)</f>
        <v>-6</v>
      </c>
      <c r="L604" t="str" cm="1">
        <f t="array" ref="L604" xml:space="preserve"> sentimentCategory(K604)</f>
        <v>Negative</v>
      </c>
    </row>
    <row r="605" spans="1:12">
      <c r="A605" t="s">
        <v>1769</v>
      </c>
      <c r="B605" t="s">
        <v>3988</v>
      </c>
      <c r="C605" t="str" cm="1">
        <f t="array" ref="C605" xml:space="preserve"> CleanText(B605)</f>
        <v>_xDE21_ kaz mi jen dobr seril kter miluji</v>
      </c>
      <c r="D605">
        <v>0</v>
      </c>
      <c r="E605">
        <v>0</v>
      </c>
      <c r="F605" t="s">
        <v>0</v>
      </c>
      <c r="G605" t="str" cm="1">
        <f t="array" ref="G605" xml:space="preserve"> FindCountryName(F605)</f>
        <v>None</v>
      </c>
      <c r="H605" s="1">
        <v>45317.463055555556</v>
      </c>
      <c r="I605" s="1">
        <v>45317.463055555556</v>
      </c>
      <c r="J605" s="1">
        <v>43093.580243055556</v>
      </c>
      <c r="K605" cm="1">
        <f t="array" ref="K605" xml:space="preserve"> sentimentCalc(C605)</f>
        <v>0</v>
      </c>
      <c r="L605" t="str" cm="1">
        <f t="array" ref="L605" xml:space="preserve"> sentimentCategory(K605)</f>
        <v>Neutral</v>
      </c>
    </row>
    <row r="606" spans="1:12">
      <c r="A606" t="s">
        <v>779</v>
      </c>
      <c r="B606" t="s">
        <v>3987</v>
      </c>
      <c r="C606" t="str" cm="1">
        <f t="array" ref="C606" xml:space="preserve"> CleanText(B606)</f>
        <v>very nice _xDC4C_</v>
      </c>
      <c r="D606">
        <v>0</v>
      </c>
      <c r="E606">
        <v>0</v>
      </c>
      <c r="F606" t="s">
        <v>0</v>
      </c>
      <c r="G606" t="str" cm="1">
        <f t="array" ref="G606" xml:space="preserve"> FindCountryName(F606)</f>
        <v>None</v>
      </c>
      <c r="H606" s="1">
        <v>45317.430405092593</v>
      </c>
      <c r="I606" s="1">
        <v>45317.430405092593</v>
      </c>
      <c r="J606" s="1">
        <v>39289.24900462963</v>
      </c>
      <c r="K606" cm="1">
        <f t="array" ref="K606" xml:space="preserve"> sentimentCalc(C606)</f>
        <v>3</v>
      </c>
      <c r="L606" t="str" cm="1">
        <f t="array" ref="L606" xml:space="preserve"> sentimentCategory(K606)</f>
        <v>Positive</v>
      </c>
    </row>
    <row r="607" spans="1:12">
      <c r="A607" t="s">
        <v>361</v>
      </c>
      <c r="B607" t="s">
        <v>3986</v>
      </c>
      <c r="C607" t="str" cm="1">
        <f t="array" ref="C607" xml:space="preserve"> CleanText(B607)</f>
        <v>cant wait for this</v>
      </c>
      <c r="D607">
        <v>0</v>
      </c>
      <c r="E607">
        <v>0</v>
      </c>
      <c r="F607" t="s">
        <v>0</v>
      </c>
      <c r="G607" t="str" cm="1">
        <f t="array" ref="G607" xml:space="preserve"> FindCountryName(F607)</f>
        <v>None</v>
      </c>
      <c r="H607" s="1">
        <v>45317.389837962961</v>
      </c>
      <c r="I607" s="1">
        <v>45317.389837962961</v>
      </c>
      <c r="J607" s="1">
        <v>42460.07203703704</v>
      </c>
      <c r="K607" cm="1">
        <f t="array" ref="K607" xml:space="preserve"> sentimentCalc(C607)</f>
        <v>0</v>
      </c>
      <c r="L607" t="str" cm="1">
        <f t="array" ref="L607" xml:space="preserve"> sentimentCategory(K607)</f>
        <v>Neutral</v>
      </c>
    </row>
    <row r="608" spans="1:12">
      <c r="A608" t="s">
        <v>887</v>
      </c>
      <c r="B608" t="s">
        <v>3985</v>
      </c>
      <c r="C608" t="str" cm="1">
        <f t="array" ref="C608" xml:space="preserve"> CleanText(B608)</f>
        <v>didnt this movie come out in 00   lol</v>
      </c>
      <c r="D608">
        <v>0</v>
      </c>
      <c r="E608">
        <v>0</v>
      </c>
      <c r="F608" t="s">
        <v>0</v>
      </c>
      <c r="G608" t="str" cm="1">
        <f t="array" ref="G608" xml:space="preserve"> FindCountryName(F608)</f>
        <v>None</v>
      </c>
      <c r="H608" s="1">
        <v>45317.380520833336</v>
      </c>
      <c r="I608" s="1">
        <v>45317.380520833336</v>
      </c>
      <c r="J608" s="1">
        <v>41649.69259259259</v>
      </c>
      <c r="K608" cm="1">
        <f t="array" ref="K608" xml:space="preserve"> sentimentCalc(C608)</f>
        <v>0</v>
      </c>
      <c r="L608" t="str" cm="1">
        <f t="array" ref="L608" xml:space="preserve"> sentimentCategory(K608)</f>
        <v>Neutral</v>
      </c>
    </row>
    <row r="609" spans="1:12">
      <c r="A609" t="s">
        <v>3984</v>
      </c>
      <c r="B609" t="s">
        <v>3983</v>
      </c>
      <c r="C609" t="str" cm="1">
        <f t="array" ref="C609" xml:space="preserve"> CleanText(B609)</f>
        <v>im crying</v>
      </c>
      <c r="D609">
        <v>0</v>
      </c>
      <c r="E609">
        <v>0</v>
      </c>
      <c r="F609" t="s">
        <v>0</v>
      </c>
      <c r="G609" t="str" cm="1">
        <f t="array" ref="G609" xml:space="preserve"> FindCountryName(F609)</f>
        <v>None</v>
      </c>
      <c r="H609" s="1">
        <v>45317.316018518519</v>
      </c>
      <c r="I609" s="1">
        <v>45317.316018518519</v>
      </c>
      <c r="J609" s="1">
        <v>40645.867256944446</v>
      </c>
      <c r="K609" cm="1">
        <f t="array" ref="K609" xml:space="preserve"> sentimentCalc(C609)</f>
        <v>-2</v>
      </c>
      <c r="L609" t="str" cm="1">
        <f t="array" ref="L609" xml:space="preserve"> sentimentCategory(K609)</f>
        <v>Negative</v>
      </c>
    </row>
    <row r="610" spans="1:12">
      <c r="A610" t="s">
        <v>28</v>
      </c>
      <c r="B610" t="s">
        <v>3982</v>
      </c>
      <c r="C610" t="str" cm="1">
        <f t="array" ref="C610" xml:space="preserve"> CleanText(B610)</f>
        <v>will there be mr cabbage</v>
      </c>
      <c r="D610">
        <v>0</v>
      </c>
      <c r="E610">
        <v>0</v>
      </c>
      <c r="F610" t="s">
        <v>0</v>
      </c>
      <c r="G610" t="str" cm="1">
        <f t="array" ref="G610" xml:space="preserve"> FindCountryName(F610)</f>
        <v>None</v>
      </c>
      <c r="H610" s="1">
        <v>45317.3125</v>
      </c>
      <c r="I610" s="1">
        <v>45317.3125</v>
      </c>
      <c r="J610" s="1">
        <v>41174.232025462959</v>
      </c>
      <c r="K610" cm="1">
        <f t="array" ref="K610" xml:space="preserve"> sentimentCalc(C610)</f>
        <v>0</v>
      </c>
      <c r="L610" t="str" cm="1">
        <f t="array" ref="L610" xml:space="preserve"> sentimentCategory(K610)</f>
        <v>Neutral</v>
      </c>
    </row>
    <row r="611" spans="1:12">
      <c r="A611" t="s">
        <v>141</v>
      </c>
      <c r="B611" t="s">
        <v>3981</v>
      </c>
      <c r="C611" t="str" cm="1">
        <f t="array" ref="C611" xml:space="preserve"> CleanText(B611)</f>
        <v>at last china is making copy of name avatar_xDE02_</v>
      </c>
      <c r="D611">
        <v>0</v>
      </c>
      <c r="E611">
        <v>0</v>
      </c>
      <c r="F611" t="s">
        <v>0</v>
      </c>
      <c r="G611" t="str" cm="1">
        <f t="array" ref="G611" xml:space="preserve"> FindCountryName(F611)</f>
        <v>None</v>
      </c>
      <c r="H611" s="1">
        <v>45317.310844907406</v>
      </c>
      <c r="I611" s="1">
        <v>45317.310844907406</v>
      </c>
      <c r="J611" s="1">
        <v>41820.866886574076</v>
      </c>
      <c r="K611" cm="1">
        <f t="array" ref="K611" xml:space="preserve"> sentimentCalc(C611)</f>
        <v>0</v>
      </c>
      <c r="L611" t="str" cm="1">
        <f t="array" ref="L611" xml:space="preserve"> sentimentCategory(K611)</f>
        <v>Neutral</v>
      </c>
    </row>
    <row r="612" spans="1:12">
      <c r="A612" t="s">
        <v>38</v>
      </c>
      <c r="B612" t="s">
        <v>3980</v>
      </c>
      <c r="C612" t="str" cm="1">
        <f t="array" ref="C612" xml:space="preserve"> CleanText(B612)</f>
        <v>finaly a trailer that doesnt show all the movie</v>
      </c>
      <c r="D612">
        <v>0</v>
      </c>
      <c r="E612">
        <v>0</v>
      </c>
      <c r="F612" t="s">
        <v>0</v>
      </c>
      <c r="G612" t="str" cm="1">
        <f t="array" ref="G612" xml:space="preserve"> FindCountryName(F612)</f>
        <v>None</v>
      </c>
      <c r="H612" s="1">
        <v>45317.16578703704</v>
      </c>
      <c r="I612" s="1">
        <v>45317.16578703704</v>
      </c>
      <c r="J612" s="1">
        <v>41267.427129629628</v>
      </c>
      <c r="K612" cm="1">
        <f t="array" ref="K612" xml:space="preserve"> sentimentCalc(C612)</f>
        <v>0</v>
      </c>
      <c r="L612" t="str" cm="1">
        <f t="array" ref="L612" xml:space="preserve"> sentimentCategory(K612)</f>
        <v>Neutral</v>
      </c>
    </row>
    <row r="613" spans="1:12">
      <c r="A613" t="s">
        <v>3979</v>
      </c>
      <c r="B613" t="s">
        <v>3978</v>
      </c>
      <c r="C613" t="str" cm="1">
        <f t="array" ref="C613" xml:space="preserve"> CleanText(B613)</f>
        <v>this looks shitty thats not how katara  and sokka look like</v>
      </c>
      <c r="D613">
        <v>0</v>
      </c>
      <c r="E613">
        <v>0</v>
      </c>
      <c r="F613" t="s">
        <v>0</v>
      </c>
      <c r="G613" t="str" cm="1">
        <f t="array" ref="G613" xml:space="preserve"> FindCountryName(F613)</f>
        <v>None</v>
      </c>
      <c r="H613" s="1">
        <v>45317.162546296298</v>
      </c>
      <c r="I613" s="1">
        <v>45317.162546296298</v>
      </c>
      <c r="J613" s="1">
        <v>41556.747361111113</v>
      </c>
      <c r="K613" cm="1">
        <f t="array" ref="K613" xml:space="preserve"> sentimentCalc(C613)</f>
        <v>2</v>
      </c>
      <c r="L613" t="str" cm="1">
        <f t="array" ref="L613" xml:space="preserve"> sentimentCategory(K613)</f>
        <v>Positive</v>
      </c>
    </row>
    <row r="614" spans="1:12">
      <c r="A614" t="s">
        <v>3977</v>
      </c>
      <c r="B614" t="s">
        <v>3976</v>
      </c>
      <c r="C614" t="str" cm="1">
        <f t="array" ref="C614" xml:space="preserve"> CleanText(B614)</f>
        <v>рдт n</v>
      </c>
      <c r="D614">
        <v>1</v>
      </c>
      <c r="E614">
        <v>0</v>
      </c>
      <c r="F614" t="s">
        <v>0</v>
      </c>
      <c r="G614" t="str" cm="1">
        <f t="array" ref="G614" xml:space="preserve"> FindCountryName(F614)</f>
        <v>None</v>
      </c>
      <c r="H614" s="1">
        <v>45317.145694444444</v>
      </c>
      <c r="I614" s="1">
        <v>45317.145694444444</v>
      </c>
      <c r="J614" s="1">
        <v>43943.47148148148</v>
      </c>
      <c r="K614" cm="1">
        <f t="array" ref="K614" xml:space="preserve"> sentimentCalc(C614)</f>
        <v>0</v>
      </c>
      <c r="L614" t="str" cm="1">
        <f t="array" ref="L614" xml:space="preserve"> sentimentCategory(K614)</f>
        <v>Neutral</v>
      </c>
    </row>
    <row r="615" spans="1:12">
      <c r="A615" t="s">
        <v>82</v>
      </c>
      <c r="B615" t="s">
        <v>3975</v>
      </c>
      <c r="C615" t="str" cm="1">
        <f t="array" ref="C615" xml:space="preserve"> CleanText(B615)</f>
        <v>why not in k</v>
      </c>
      <c r="D615">
        <v>0</v>
      </c>
      <c r="E615">
        <v>0</v>
      </c>
      <c r="F615" t="s">
        <v>0</v>
      </c>
      <c r="G615" t="str" cm="1">
        <f t="array" ref="G615" xml:space="preserve"> FindCountryName(F615)</f>
        <v>None</v>
      </c>
      <c r="H615" s="1">
        <v>45317.088946759257</v>
      </c>
      <c r="I615" s="1">
        <v>45317.088946759257</v>
      </c>
      <c r="J615" s="1">
        <v>40837.137141203704</v>
      </c>
      <c r="K615" cm="1">
        <f t="array" ref="K615" xml:space="preserve"> sentimentCalc(C615)</f>
        <v>0</v>
      </c>
      <c r="L615" t="str" cm="1">
        <f t="array" ref="L615" xml:space="preserve"> sentimentCategory(K615)</f>
        <v>Neutral</v>
      </c>
    </row>
    <row r="616" spans="1:12">
      <c r="A616" t="s">
        <v>896</v>
      </c>
      <c r="B616" t="s">
        <v>1239</v>
      </c>
      <c r="C616" t="str" cm="1">
        <f t="array" ref="C616" xml:space="preserve"> CleanText(B616)</f>
        <v>my name is ong</v>
      </c>
      <c r="D616">
        <v>0</v>
      </c>
      <c r="E616">
        <v>0</v>
      </c>
      <c r="F616" t="s">
        <v>0</v>
      </c>
      <c r="G616" t="str" cm="1">
        <f t="array" ref="G616" xml:space="preserve"> FindCountryName(F616)</f>
        <v>None</v>
      </c>
      <c r="H616" s="1">
        <v>45317.083425925928</v>
      </c>
      <c r="I616" s="1">
        <v>45317.083425925928</v>
      </c>
      <c r="J616" s="1">
        <v>42651.071180555555</v>
      </c>
      <c r="K616" cm="1">
        <f t="array" ref="K616" xml:space="preserve"> sentimentCalc(C616)</f>
        <v>0</v>
      </c>
      <c r="L616" t="str" cm="1">
        <f t="array" ref="L616" xml:space="preserve"> sentimentCategory(K616)</f>
        <v>Neutral</v>
      </c>
    </row>
    <row r="617" spans="1:12">
      <c r="A617" t="s">
        <v>1000</v>
      </c>
      <c r="B617" t="s">
        <v>3974</v>
      </c>
      <c r="C617" t="str" cm="1">
        <f t="array" ref="C617" xml:space="preserve"> CleanText(B617)</f>
        <v>i want to br excited but last time i was m knightshambustah shitted on my feelings with his ong adaptation bullcrap</v>
      </c>
      <c r="D617">
        <v>0</v>
      </c>
      <c r="E617">
        <v>0</v>
      </c>
      <c r="F617" t="s">
        <v>0</v>
      </c>
      <c r="G617" t="str" cm="1">
        <f t="array" ref="G617" xml:space="preserve"> FindCountryName(F617)</f>
        <v>None</v>
      </c>
      <c r="H617" s="1">
        <v>45317.05300925926</v>
      </c>
      <c r="I617" s="1">
        <v>45317.05300925926</v>
      </c>
      <c r="J617" s="1">
        <v>44917.854768518519</v>
      </c>
      <c r="K617" cm="1">
        <f t="array" ref="K617" xml:space="preserve"> sentimentCalc(C617)</f>
        <v>4</v>
      </c>
      <c r="L617" t="str" cm="1">
        <f t="array" ref="L617" xml:space="preserve"> sentimentCategory(K617)</f>
        <v>Positive</v>
      </c>
    </row>
    <row r="618" spans="1:12">
      <c r="A618" t="s">
        <v>2712</v>
      </c>
      <c r="B618" t="s">
        <v>3973</v>
      </c>
      <c r="C618" t="str" cm="1">
        <f t="array" ref="C618" xml:space="preserve"> CleanText(B618)</f>
        <v>netflix you dont own this so dont tale credit</v>
      </c>
      <c r="D618">
        <v>0</v>
      </c>
      <c r="E618">
        <v>1</v>
      </c>
      <c r="F618" t="s">
        <v>0</v>
      </c>
      <c r="G618" t="str" cm="1">
        <f t="array" ref="G618" xml:space="preserve"> FindCountryName(F618)</f>
        <v>None</v>
      </c>
      <c r="H618" s="1">
        <v>45317.008101851854</v>
      </c>
      <c r="I618" s="1">
        <v>45317.008101851854</v>
      </c>
      <c r="J618" s="1">
        <v>40963.720729166664</v>
      </c>
      <c r="K618" cm="1">
        <f t="array" ref="K618" xml:space="preserve"> sentimentCalc(C618)</f>
        <v>0</v>
      </c>
      <c r="L618" t="str" cm="1">
        <f t="array" ref="L618" xml:space="preserve"> sentimentCategory(K618)</f>
        <v>Neutral</v>
      </c>
    </row>
    <row r="619" spans="1:12">
      <c r="A619" t="s">
        <v>320</v>
      </c>
      <c r="B619" t="s">
        <v>3972</v>
      </c>
      <c r="C619" t="str" cm="1">
        <f t="array" ref="C619" xml:space="preserve"> CleanText(B619)</f>
        <v>this looks freaking amazing</v>
      </c>
      <c r="D619">
        <v>0</v>
      </c>
      <c r="E619">
        <v>0</v>
      </c>
      <c r="F619" t="s">
        <v>0</v>
      </c>
      <c r="G619" t="str" cm="1">
        <f t="array" ref="G619" xml:space="preserve"> FindCountryName(F619)</f>
        <v>None</v>
      </c>
      <c r="H619" s="1">
        <v>45316.968611111108</v>
      </c>
      <c r="I619" s="1">
        <v>45316.968611111108</v>
      </c>
      <c r="J619" s="1">
        <v>42788.448078703703</v>
      </c>
      <c r="K619" cm="1">
        <f t="array" ref="K619" xml:space="preserve"> sentimentCalc(C619)</f>
        <v>4</v>
      </c>
      <c r="L619" t="str" cm="1">
        <f t="array" ref="L619" xml:space="preserve"> sentimentCategory(K619)</f>
        <v>Positive</v>
      </c>
    </row>
    <row r="620" spans="1:12">
      <c r="A620" t="s">
        <v>3971</v>
      </c>
      <c r="B620" t="s">
        <v>3970</v>
      </c>
      <c r="C620" t="str" cm="1">
        <f t="array" ref="C620" xml:space="preserve"> CleanText(B620)</f>
        <v>im not sure this can be made better than m shamylan bwahahaha</v>
      </c>
      <c r="D620">
        <v>0</v>
      </c>
      <c r="E620">
        <v>0</v>
      </c>
      <c r="F620" t="s">
        <v>0</v>
      </c>
      <c r="G620" t="str" cm="1">
        <f t="array" ref="G620" xml:space="preserve"> FindCountryName(F620)</f>
        <v>None</v>
      </c>
      <c r="H620" s="1">
        <v>45316.960960648146</v>
      </c>
      <c r="I620" s="1">
        <v>45316.960960648146</v>
      </c>
      <c r="J620" s="1">
        <v>44230.017789351848</v>
      </c>
      <c r="K620" cm="1">
        <f t="array" ref="K620" xml:space="preserve"> sentimentCalc(C620)</f>
        <v>2</v>
      </c>
      <c r="L620" t="str" cm="1">
        <f t="array" ref="L620" xml:space="preserve"> sentimentCategory(K620)</f>
        <v>Positive</v>
      </c>
    </row>
    <row r="621" spans="1:12">
      <c r="A621" t="s">
        <v>462</v>
      </c>
      <c r="B621" t="s">
        <v>3969</v>
      </c>
      <c r="C621" t="str" cm="1">
        <f t="array" ref="C621" xml:space="preserve"> CleanText(B621)</f>
        <v>wheres toph</v>
      </c>
      <c r="D621">
        <v>1</v>
      </c>
      <c r="E621">
        <v>1</v>
      </c>
      <c r="F621" t="s">
        <v>0</v>
      </c>
      <c r="G621" t="str" cm="1">
        <f t="array" ref="G621" xml:space="preserve"> FindCountryName(F621)</f>
        <v>None</v>
      </c>
      <c r="H621" s="1">
        <v>45316.937754629631</v>
      </c>
      <c r="I621" s="1">
        <v>45316.937754629631</v>
      </c>
      <c r="J621" s="1">
        <v>42843.201817129629</v>
      </c>
      <c r="K621" cm="1">
        <f t="array" ref="K621" xml:space="preserve"> sentimentCalc(C621)</f>
        <v>0</v>
      </c>
      <c r="L621" t="str" cm="1">
        <f t="array" ref="L621" xml:space="preserve"> sentimentCategory(K621)</f>
        <v>Neutral</v>
      </c>
    </row>
    <row r="622" spans="1:12">
      <c r="A622" t="s">
        <v>2015</v>
      </c>
      <c r="B622" t="s">
        <v>3968</v>
      </c>
      <c r="C622" t="str" cm="1">
        <f t="array" ref="C622" xml:space="preserve"> CleanText(B622)</f>
        <v>alright netflix i see you i see you gonna just put this on my list to watch  anddddd done</v>
      </c>
      <c r="D622">
        <v>0</v>
      </c>
      <c r="E622">
        <v>0</v>
      </c>
      <c r="F622" t="s">
        <v>0</v>
      </c>
      <c r="G622" t="str" cm="1">
        <f t="array" ref="G622" xml:space="preserve"> FindCountryName(F622)</f>
        <v>None</v>
      </c>
      <c r="H622" s="1">
        <v>45316.897997685184</v>
      </c>
      <c r="I622" s="1">
        <v>45316.897997685184</v>
      </c>
      <c r="J622" s="1">
        <v>41716.729085648149</v>
      </c>
      <c r="K622" cm="1">
        <f t="array" ref="K622" xml:space="preserve"> sentimentCalc(C622)</f>
        <v>0</v>
      </c>
      <c r="L622" t="str" cm="1">
        <f t="array" ref="L622" xml:space="preserve"> sentimentCategory(K622)</f>
        <v>Neutral</v>
      </c>
    </row>
    <row r="623" spans="1:12">
      <c r="A623" t="s">
        <v>2375</v>
      </c>
      <c r="B623" t="s">
        <v>3967</v>
      </c>
      <c r="C623" t="str" cm="1">
        <f t="array" ref="C623" xml:space="preserve"> CleanText(B623)</f>
        <v>i cant wait for this to get cancelled after  season</v>
      </c>
      <c r="D623">
        <v>1</v>
      </c>
      <c r="E623">
        <v>0</v>
      </c>
      <c r="F623" t="s">
        <v>0</v>
      </c>
      <c r="G623" t="str" cm="1">
        <f t="array" ref="G623" xml:space="preserve"> FindCountryName(F623)</f>
        <v>None</v>
      </c>
      <c r="H623" s="1">
        <v>45316.895729166667</v>
      </c>
      <c r="I623" s="1">
        <v>45316.895729166667</v>
      </c>
      <c r="J623" s="1">
        <v>41071.825740740744</v>
      </c>
      <c r="K623" cm="1">
        <f t="array" ref="K623" xml:space="preserve"> sentimentCalc(C623)</f>
        <v>-1</v>
      </c>
      <c r="L623" t="str" cm="1">
        <f t="array" ref="L623" xml:space="preserve"> sentimentCategory(K623)</f>
        <v>Negative</v>
      </c>
    </row>
    <row r="624" spans="1:12">
      <c r="A624" t="s">
        <v>816</v>
      </c>
      <c r="B624" t="s">
        <v>3966</v>
      </c>
      <c r="C624" t="str" cm="1">
        <f t="array" ref="C624" xml:space="preserve"> CleanText(B624)</f>
        <v>i hope they wont change the classic opening</v>
      </c>
      <c r="D624">
        <v>0</v>
      </c>
      <c r="E624">
        <v>0</v>
      </c>
      <c r="F624" t="s">
        <v>0</v>
      </c>
      <c r="G624" t="str" cm="1">
        <f t="array" ref="G624" xml:space="preserve"> FindCountryName(F624)</f>
        <v>None</v>
      </c>
      <c r="H624" s="1">
        <v>45316.881886574076</v>
      </c>
      <c r="I624" s="1">
        <v>45316.881886574076</v>
      </c>
      <c r="J624" s="1">
        <v>43197.389502314814</v>
      </c>
      <c r="K624" cm="1">
        <f t="array" ref="K624" xml:space="preserve"> sentimentCalc(C624)</f>
        <v>2</v>
      </c>
      <c r="L624" t="str" cm="1">
        <f t="array" ref="L624" xml:space="preserve"> sentimentCategory(K624)</f>
        <v>Positive</v>
      </c>
    </row>
    <row r="625" spans="1:12">
      <c r="A625" t="s">
        <v>3965</v>
      </c>
      <c r="B625" t="s">
        <v>3964</v>
      </c>
      <c r="C625" t="str" cm="1">
        <f t="array" ref="C625" xml:space="preserve"> CleanText(B625)</f>
        <v>no more racewashing of the original race and ethnicity of the character</v>
      </c>
      <c r="D625">
        <v>1</v>
      </c>
      <c r="E625">
        <v>0</v>
      </c>
      <c r="F625" t="s">
        <v>0</v>
      </c>
      <c r="G625" t="str" cm="1">
        <f t="array" ref="G625" xml:space="preserve"> FindCountryName(F625)</f>
        <v>None</v>
      </c>
      <c r="H625" s="1">
        <v>45316.864131944443</v>
      </c>
      <c r="I625" s="1">
        <v>45316.864131944443</v>
      </c>
      <c r="J625" s="1">
        <v>44757.995486111111</v>
      </c>
      <c r="K625" cm="1">
        <f t="array" ref="K625" xml:space="preserve"> sentimentCalc(C625)</f>
        <v>-1</v>
      </c>
      <c r="L625" t="str" cm="1">
        <f t="array" ref="L625" xml:space="preserve"> sentimentCategory(K625)</f>
        <v>Negative</v>
      </c>
    </row>
    <row r="626" spans="1:12">
      <c r="A626" t="s">
        <v>2324</v>
      </c>
      <c r="B626" t="s">
        <v>3963</v>
      </c>
      <c r="C626" t="str" cm="1">
        <f t="array" ref="C626" xml:space="preserve"> CleanText(B626)</f>
        <v>пи т е ер n</v>
      </c>
      <c r="D626">
        <v>0</v>
      </c>
      <c r="E626">
        <v>0</v>
      </c>
      <c r="F626" t="s">
        <v>0</v>
      </c>
      <c r="G626" t="str" cm="1">
        <f t="array" ref="G626" xml:space="preserve"> FindCountryName(F626)</f>
        <v>None</v>
      </c>
      <c r="H626" s="1">
        <v>45316.860300925924</v>
      </c>
      <c r="I626" s="1">
        <v>45316.860300925924</v>
      </c>
      <c r="J626" s="1">
        <v>41948.577696759261</v>
      </c>
      <c r="K626" cm="1">
        <f t="array" ref="K626" xml:space="preserve"> sentimentCalc(C626)</f>
        <v>0</v>
      </c>
      <c r="L626" t="str" cm="1">
        <f t="array" ref="L626" xml:space="preserve"> sentimentCategory(K626)</f>
        <v>Neutral</v>
      </c>
    </row>
    <row r="627" spans="1:12">
      <c r="A627" t="s">
        <v>175</v>
      </c>
      <c r="B627" t="s">
        <v>3962</v>
      </c>
      <c r="C627" t="str" cm="1">
        <f t="array" ref="C627" xml:space="preserve"> CleanText(B627)</f>
        <v>they should have ended this trailer with cabbage man imagine the hype</v>
      </c>
      <c r="D627">
        <v>0</v>
      </c>
      <c r="E627">
        <v>0</v>
      </c>
      <c r="F627" t="s">
        <v>0</v>
      </c>
      <c r="G627" t="str" cm="1">
        <f t="array" ref="G627" xml:space="preserve"> FindCountryName(F627)</f>
        <v>None</v>
      </c>
      <c r="H627" s="1">
        <v>45316.859733796293</v>
      </c>
      <c r="I627" s="1">
        <v>45316.859733796293</v>
      </c>
      <c r="J627" s="1">
        <v>42233.088877314818</v>
      </c>
      <c r="K627" cm="1">
        <f t="array" ref="K627" xml:space="preserve"> sentimentCalc(C627)</f>
        <v>0</v>
      </c>
      <c r="L627" t="str" cm="1">
        <f t="array" ref="L627" xml:space="preserve"> sentimentCategory(K627)</f>
        <v>Neutral</v>
      </c>
    </row>
    <row r="628" spans="1:12">
      <c r="A628" t="s">
        <v>175</v>
      </c>
      <c r="B628" t="s">
        <v>3961</v>
      </c>
      <c r="C628" t="str" cm="1">
        <f t="array" ref="C628" xml:space="preserve"> CleanText(B628)</f>
        <v>if cabbage man wont be here this is all for naught</v>
      </c>
      <c r="D628">
        <v>0</v>
      </c>
      <c r="E628">
        <v>1</v>
      </c>
      <c r="F628" t="s">
        <v>0</v>
      </c>
      <c r="G628" t="str" cm="1">
        <f t="array" ref="G628" xml:space="preserve"> FindCountryName(F628)</f>
        <v>None</v>
      </c>
      <c r="H628" s="1">
        <v>45316.859351851854</v>
      </c>
      <c r="I628" s="1">
        <v>45316.859351851854</v>
      </c>
      <c r="J628" s="1">
        <v>42233.088877314818</v>
      </c>
      <c r="K628" cm="1">
        <f t="array" ref="K628" xml:space="preserve"> sentimentCalc(C628)</f>
        <v>0</v>
      </c>
      <c r="L628" t="str" cm="1">
        <f t="array" ref="L628" xml:space="preserve"> sentimentCategory(K628)</f>
        <v>Neutral</v>
      </c>
    </row>
    <row r="629" spans="1:12">
      <c r="A629" t="s">
        <v>3045</v>
      </c>
      <c r="B629" t="s">
        <v>3960</v>
      </c>
      <c r="C629" t="str" cm="1">
        <f t="array" ref="C629" xml:space="preserve"> CleanText(B629)</f>
        <v>looks too serious the original avatar is so lighthearted yet wonderful i dont understand why people claim to like this new version</v>
      </c>
      <c r="D629">
        <v>0</v>
      </c>
      <c r="E629">
        <v>4</v>
      </c>
      <c r="F629" t="s">
        <v>0</v>
      </c>
      <c r="G629" t="str" cm="1">
        <f t="array" ref="G629" xml:space="preserve"> FindCountryName(F629)</f>
        <v>None</v>
      </c>
      <c r="H629" s="1">
        <v>45316.853321759256</v>
      </c>
      <c r="I629" s="1">
        <v>45316.853321759256</v>
      </c>
      <c r="J629" s="1">
        <v>41522.602500000001</v>
      </c>
      <c r="K629" cm="1">
        <f t="array" ref="K629" xml:space="preserve"> sentimentCalc(C629)</f>
        <v>7</v>
      </c>
      <c r="L629" t="str" cm="1">
        <f t="array" ref="L629" xml:space="preserve"> sentimentCategory(K629)</f>
        <v>Positive</v>
      </c>
    </row>
    <row r="630" spans="1:12">
      <c r="A630" t="s">
        <v>3601</v>
      </c>
      <c r="B630" t="s">
        <v>3959</v>
      </c>
      <c r="C630" t="str" cm="1">
        <f t="array" ref="C630" xml:space="preserve"> CleanText(B630)</f>
        <v>it looks like a  game  but  i waiting for it</v>
      </c>
      <c r="D630">
        <v>0</v>
      </c>
      <c r="E630">
        <v>0</v>
      </c>
      <c r="F630" t="s">
        <v>0</v>
      </c>
      <c r="G630" t="str" cm="1">
        <f t="array" ref="G630" xml:space="preserve"> FindCountryName(F630)</f>
        <v>None</v>
      </c>
      <c r="H630" s="1">
        <v>45316.849502314813</v>
      </c>
      <c r="I630" s="1">
        <v>45316.849502314813</v>
      </c>
      <c r="J630" s="1">
        <v>45290.517210648148</v>
      </c>
      <c r="K630" cm="1">
        <f t="array" ref="K630" xml:space="preserve"> sentimentCalc(C630)</f>
        <v>2</v>
      </c>
      <c r="L630" t="str" cm="1">
        <f t="array" ref="L630" xml:space="preserve"> sentimentCategory(K630)</f>
        <v>Positive</v>
      </c>
    </row>
    <row r="631" spans="1:12">
      <c r="A631" t="s">
        <v>494</v>
      </c>
      <c r="B631" t="s">
        <v>3958</v>
      </c>
      <c r="C631" t="str" cm="1">
        <f t="array" ref="C631" xml:space="preserve"> CleanText(B631)</f>
        <v>americans pov on asians when they do the casting is only koreanschinesejapanese basically all the cat eyed asians only</v>
      </c>
      <c r="D631">
        <v>0</v>
      </c>
      <c r="E631">
        <v>1</v>
      </c>
      <c r="F631" t="s">
        <v>0</v>
      </c>
      <c r="G631" t="str" cm="1">
        <f t="array" ref="G631" xml:space="preserve"> FindCountryName(F631)</f>
        <v>None</v>
      </c>
      <c r="H631" s="1">
        <v>45316.843495370369</v>
      </c>
      <c r="I631" s="1">
        <v>45316.843495370369</v>
      </c>
      <c r="J631" s="1">
        <v>44301.510555555556</v>
      </c>
      <c r="K631" cm="1">
        <f t="array" ref="K631" xml:space="preserve"> sentimentCalc(C631)</f>
        <v>0</v>
      </c>
      <c r="L631" t="str" cm="1">
        <f t="array" ref="L631" xml:space="preserve"> sentimentCategory(K631)</f>
        <v>Neutral</v>
      </c>
    </row>
    <row r="632" spans="1:12">
      <c r="A632" t="s">
        <v>3957</v>
      </c>
      <c r="B632" t="s">
        <v>3956</v>
      </c>
      <c r="C632" t="str" cm="1">
        <f t="array" ref="C632" xml:space="preserve"> CleanText(B632)</f>
        <v>who knows why netflix closed the comments under the of trailer atla)</v>
      </c>
      <c r="D632">
        <v>0</v>
      </c>
      <c r="E632">
        <v>0</v>
      </c>
      <c r="F632" t="s">
        <v>0</v>
      </c>
      <c r="G632" t="str" cm="1">
        <f t="array" ref="G632" xml:space="preserve"> FindCountryName(F632)</f>
        <v>None</v>
      </c>
      <c r="H632" s="1">
        <v>45316.839282407411</v>
      </c>
      <c r="I632" s="1">
        <v>45316.839282407411</v>
      </c>
      <c r="J632" s="1">
        <v>41741.42491898148</v>
      </c>
      <c r="K632" cm="1">
        <f t="array" ref="K632" xml:space="preserve"> sentimentCalc(C632)</f>
        <v>0</v>
      </c>
      <c r="L632" t="str" cm="1">
        <f t="array" ref="L632" xml:space="preserve"> sentimentCategory(K632)</f>
        <v>Neutral</v>
      </c>
    </row>
    <row r="633" spans="1:12">
      <c r="A633" t="s">
        <v>1594</v>
      </c>
      <c r="B633" t="s">
        <v>3955</v>
      </c>
      <c r="C633" t="str" cm="1">
        <f t="array" ref="C633" xml:space="preserve"> CleanText(B633)</f>
        <v>omg its real im crying _xDE2D_</v>
      </c>
      <c r="D633">
        <v>0</v>
      </c>
      <c r="E633">
        <v>0</v>
      </c>
      <c r="F633" t="s">
        <v>633</v>
      </c>
      <c r="G633" t="str" cm="1">
        <f t="array" ref="G633" xml:space="preserve"> FindCountryName(F633)</f>
        <v>Indonesia</v>
      </c>
      <c r="H633" s="1">
        <v>45316.81177083333</v>
      </c>
      <c r="I633" s="1">
        <v>45316.81177083333</v>
      </c>
      <c r="J633" s="1">
        <v>42194.041435185187</v>
      </c>
      <c r="K633" cm="1">
        <f t="array" ref="K633" xml:space="preserve"> sentimentCalc(C633)</f>
        <v>-2</v>
      </c>
      <c r="L633" t="str" cm="1">
        <f t="array" ref="L633" xml:space="preserve"> sentimentCategory(K633)</f>
        <v>Negative</v>
      </c>
    </row>
    <row r="634" spans="1:12">
      <c r="A634" t="s">
        <v>612</v>
      </c>
      <c r="B634" t="s">
        <v>3954</v>
      </c>
      <c r="C634" t="str" cm="1">
        <f t="array" ref="C634" xml:space="preserve"> CleanText(B634)</f>
        <v>thats how its done</v>
      </c>
      <c r="D634">
        <v>0</v>
      </c>
      <c r="E634">
        <v>0</v>
      </c>
      <c r="F634" t="s">
        <v>0</v>
      </c>
      <c r="G634" t="str" cm="1">
        <f t="array" ref="G634" xml:space="preserve"> FindCountryName(F634)</f>
        <v>None</v>
      </c>
      <c r="H634" s="1">
        <v>45316.809363425928</v>
      </c>
      <c r="I634" s="1">
        <v>45316.809363425928</v>
      </c>
      <c r="J634" s="1">
        <v>40910.365046296298</v>
      </c>
      <c r="K634" cm="1">
        <f t="array" ref="K634" xml:space="preserve"> sentimentCalc(C634)</f>
        <v>0</v>
      </c>
      <c r="L634" t="str" cm="1">
        <f t="array" ref="L634" xml:space="preserve"> sentimentCategory(K634)</f>
        <v>Neutral</v>
      </c>
    </row>
    <row r="635" spans="1:12">
      <c r="A635" t="s">
        <v>821</v>
      </c>
      <c r="B635" t="s">
        <v>3953</v>
      </c>
      <c r="C635" t="str" cm="1">
        <f t="array" ref="C635" xml:space="preserve"> CleanText(B635)</f>
        <v>looks great</v>
      </c>
      <c r="D635">
        <v>0</v>
      </c>
      <c r="E635">
        <v>0</v>
      </c>
      <c r="F635" t="s">
        <v>0</v>
      </c>
      <c r="G635" t="str" cm="1">
        <f t="array" ref="G635" xml:space="preserve"> FindCountryName(F635)</f>
        <v>None</v>
      </c>
      <c r="H635" s="1">
        <v>45316.768171296295</v>
      </c>
      <c r="I635" s="1">
        <v>45316.768171296295</v>
      </c>
      <c r="J635" s="1">
        <v>41186.0934837963</v>
      </c>
      <c r="K635" cm="1">
        <f t="array" ref="K635" xml:space="preserve"> sentimentCalc(C635)</f>
        <v>3</v>
      </c>
      <c r="L635" t="str" cm="1">
        <f t="array" ref="L635" xml:space="preserve"> sentimentCategory(K635)</f>
        <v>Positive</v>
      </c>
    </row>
    <row r="636" spans="1:12">
      <c r="A636" t="s">
        <v>293</v>
      </c>
      <c r="B636" t="s">
        <v>3952</v>
      </c>
      <c r="C636" t="str" cm="1">
        <f t="array" ref="C636" xml:space="preserve"> CleanText(B636)</f>
        <v>netflix porque no   apareceu um o silver do sonic prime na terceira temporada</v>
      </c>
      <c r="D636">
        <v>0</v>
      </c>
      <c r="E636">
        <v>0</v>
      </c>
      <c r="F636" t="s">
        <v>0</v>
      </c>
      <c r="G636" t="str" cm="1">
        <f t="array" ref="G636" xml:space="preserve"> FindCountryName(F636)</f>
        <v>None</v>
      </c>
      <c r="H636" s="1">
        <v>45316.72923611111</v>
      </c>
      <c r="I636" s="1">
        <v>45316.72923611111</v>
      </c>
      <c r="J636" s="1">
        <v>42378.618206018517</v>
      </c>
      <c r="K636" cm="1">
        <f t="array" ref="K636" xml:space="preserve"> sentimentCalc(C636)</f>
        <v>-1</v>
      </c>
      <c r="L636" t="str" cm="1">
        <f t="array" ref="L636" xml:space="preserve"> sentimentCategory(K636)</f>
        <v>Negative</v>
      </c>
    </row>
    <row r="637" spans="1:12">
      <c r="A637" t="s">
        <v>3951</v>
      </c>
      <c r="B637" t="s">
        <v>3950</v>
      </c>
      <c r="C637" t="str" cm="1">
        <f t="array" ref="C637" xml:space="preserve"> CleanText(B637)</f>
        <v>the elements actually look realistic here as long as they dont change the story i am so very excited</v>
      </c>
      <c r="D637">
        <v>0</v>
      </c>
      <c r="E637">
        <v>0</v>
      </c>
      <c r="F637" t="s">
        <v>0</v>
      </c>
      <c r="G637" t="str" cm="1">
        <f t="array" ref="G637" xml:space="preserve"> FindCountryName(F637)</f>
        <v>None</v>
      </c>
      <c r="H637" s="1">
        <v>45316.724317129629</v>
      </c>
      <c r="I637" s="1">
        <v>45316.724317129629</v>
      </c>
      <c r="J637" s="1">
        <v>40829.945231481484</v>
      </c>
      <c r="K637" cm="1">
        <f t="array" ref="K637" xml:space="preserve"> sentimentCalc(C637)</f>
        <v>3</v>
      </c>
      <c r="L637" t="str" cm="1">
        <f t="array" ref="L637" xml:space="preserve"> sentimentCategory(K637)</f>
        <v>Positive</v>
      </c>
    </row>
    <row r="638" spans="1:12">
      <c r="A638" t="s">
        <v>317</v>
      </c>
      <c r="B638" t="s">
        <v>3949</v>
      </c>
      <c r="C638" t="str" cm="1">
        <f t="array" ref="C638" xml:space="preserve"> CleanText(B638)</f>
        <v>fail actors</v>
      </c>
      <c r="D638">
        <v>0</v>
      </c>
      <c r="E638">
        <v>0</v>
      </c>
      <c r="F638" t="s">
        <v>0</v>
      </c>
      <c r="G638" t="str" cm="1">
        <f t="array" ref="G638" xml:space="preserve"> FindCountryName(F638)</f>
        <v>None</v>
      </c>
      <c r="H638" s="1">
        <v>45316.722777777781</v>
      </c>
      <c r="I638" s="1">
        <v>45316.722777777781</v>
      </c>
      <c r="J638" s="1">
        <v>43653.852025462962</v>
      </c>
      <c r="K638" cm="1">
        <f t="array" ref="K638" xml:space="preserve"> sentimentCalc(C638)</f>
        <v>-2</v>
      </c>
      <c r="L638" t="str" cm="1">
        <f t="array" ref="L638" xml:space="preserve"> sentimentCategory(K638)</f>
        <v>Negative</v>
      </c>
    </row>
    <row r="639" spans="1:12">
      <c r="A639" t="s">
        <v>1525</v>
      </c>
      <c r="B639" t="s">
        <v>3948</v>
      </c>
      <c r="C639" t="str" cm="1">
        <f t="array" ref="C639" xml:space="preserve"> CleanText(B639)</f>
        <v>please be like the one piece live action please be like the one piece live action</v>
      </c>
      <c r="D639">
        <v>0</v>
      </c>
      <c r="E639">
        <v>0</v>
      </c>
      <c r="F639" t="s">
        <v>0</v>
      </c>
      <c r="G639" t="str" cm="1">
        <f t="array" ref="G639" xml:space="preserve"> FindCountryName(F639)</f>
        <v>None</v>
      </c>
      <c r="H639" s="1">
        <v>45316.722754629627</v>
      </c>
      <c r="I639" s="1">
        <v>45316.722754629627</v>
      </c>
      <c r="J639" s="1">
        <v>39410.814918981479</v>
      </c>
      <c r="K639" cm="1">
        <f t="array" ref="K639" xml:space="preserve"> sentimentCalc(C639)</f>
        <v>6</v>
      </c>
      <c r="L639" t="str" cm="1">
        <f t="array" ref="L639" xml:space="preserve"> sentimentCategory(K639)</f>
        <v>Positive</v>
      </c>
    </row>
    <row r="640" spans="1:12">
      <c r="A640" t="s">
        <v>1696</v>
      </c>
      <c r="B640" t="s">
        <v>3947</v>
      </c>
      <c r="C640" t="str" cm="1">
        <f t="array" ref="C640" xml:space="preserve"> CleanText(B640)</f>
        <v>momo  sonic</v>
      </c>
      <c r="D640">
        <v>1</v>
      </c>
      <c r="E640">
        <v>0</v>
      </c>
      <c r="F640" t="s">
        <v>0</v>
      </c>
      <c r="G640" t="str" cm="1">
        <f t="array" ref="G640" xml:space="preserve"> FindCountryName(F640)</f>
        <v>None</v>
      </c>
      <c r="H640" s="1">
        <v>45316.715381944443</v>
      </c>
      <c r="I640" s="1">
        <v>45316.715381944443</v>
      </c>
      <c r="J640" s="1">
        <v>40885.520486111112</v>
      </c>
      <c r="K640" cm="1">
        <f t="array" ref="K640" xml:space="preserve"> sentimentCalc(C640)</f>
        <v>0</v>
      </c>
      <c r="L640" t="str" cm="1">
        <f t="array" ref="L640" xml:space="preserve"> sentimentCategory(K640)</f>
        <v>Neutral</v>
      </c>
    </row>
    <row r="641" spans="1:12">
      <c r="A641" t="s">
        <v>902</v>
      </c>
      <c r="B641" t="s">
        <v>3946</v>
      </c>
      <c r="C641" t="str" cm="1">
        <f t="array" ref="C641" xml:space="preserve"> CleanText(B641)</f>
        <v>cant wait  looks fantastic</v>
      </c>
      <c r="D641">
        <v>0</v>
      </c>
      <c r="E641">
        <v>0</v>
      </c>
      <c r="F641" t="s">
        <v>0</v>
      </c>
      <c r="G641" t="str" cm="1">
        <f t="array" ref="G641" xml:space="preserve"> FindCountryName(F641)</f>
        <v>None</v>
      </c>
      <c r="H641" s="1">
        <v>45316.694699074076</v>
      </c>
      <c r="I641" s="1">
        <v>45316.694699074076</v>
      </c>
      <c r="J641" s="1">
        <v>41549.620185185187</v>
      </c>
      <c r="K641" cm="1">
        <f t="array" ref="K641" xml:space="preserve"> sentimentCalc(C641)</f>
        <v>4</v>
      </c>
      <c r="L641" t="str" cm="1">
        <f t="array" ref="L641" xml:space="preserve"> sentimentCategory(K641)</f>
        <v>Positive</v>
      </c>
    </row>
    <row r="642" spans="1:12">
      <c r="A642" t="s">
        <v>255</v>
      </c>
      <c r="B642" t="s">
        <v>3945</v>
      </c>
      <c r="C642" t="str" cm="1">
        <f t="array" ref="C642" xml:space="preserve"> CleanText(B642)</f>
        <v>its such a small detail but i am hyperfixating on the fact that blue contacts would make katara and sokka pop so much in the water kingdom color scheme</v>
      </c>
      <c r="D642">
        <v>0</v>
      </c>
      <c r="E642">
        <v>1</v>
      </c>
      <c r="F642" t="s">
        <v>0</v>
      </c>
      <c r="G642" t="str" cm="1">
        <f t="array" ref="G642" xml:space="preserve"> FindCountryName(F642)</f>
        <v>None</v>
      </c>
      <c r="H642" s="1">
        <v>45316.666967592595</v>
      </c>
      <c r="I642" s="1">
        <v>45316.666967592595</v>
      </c>
      <c r="J642" s="1">
        <v>42384.063032407408</v>
      </c>
      <c r="K642" cm="1">
        <f t="array" ref="K642" xml:space="preserve"> sentimentCalc(C642)</f>
        <v>0</v>
      </c>
      <c r="L642" t="str" cm="1">
        <f t="array" ref="L642" xml:space="preserve"> sentimentCategory(K642)</f>
        <v>Neutral</v>
      </c>
    </row>
    <row r="643" spans="1:12">
      <c r="A643" t="s">
        <v>223</v>
      </c>
      <c r="B643" t="s">
        <v>3944</v>
      </c>
      <c r="C643" t="str" cm="1">
        <f t="array" ref="C643" xml:space="preserve"> CleanText(B643)</f>
        <v>why were the comments turned off on the official trailer though _xDE22_</v>
      </c>
      <c r="D643">
        <v>0</v>
      </c>
      <c r="E643">
        <v>0</v>
      </c>
      <c r="F643" t="s">
        <v>0</v>
      </c>
      <c r="G643" t="str" cm="1">
        <f t="array" ref="G643" xml:space="preserve"> FindCountryName(F643)</f>
        <v>None</v>
      </c>
      <c r="H643" s="1">
        <v>45316.64335648148</v>
      </c>
      <c r="I643" s="1">
        <v>45316.64335648148</v>
      </c>
      <c r="J643" s="1">
        <v>41721.080196759256</v>
      </c>
      <c r="K643" cm="1">
        <f t="array" ref="K643" xml:space="preserve"> sentimentCalc(C643)</f>
        <v>0</v>
      </c>
      <c r="L643" t="str" cm="1">
        <f t="array" ref="L643" xml:space="preserve"> sentimentCategory(K643)</f>
        <v>Neutral</v>
      </c>
    </row>
    <row r="644" spans="1:12">
      <c r="A644" t="s">
        <v>340</v>
      </c>
      <c r="B644" t="s">
        <v>3943</v>
      </c>
      <c r="C644" t="str" cm="1">
        <f t="array" ref="C644" xml:space="preserve"> CleanText(B644)</f>
        <v>thanks netflix</v>
      </c>
      <c r="D644">
        <v>0</v>
      </c>
      <c r="E644">
        <v>0</v>
      </c>
      <c r="F644" t="s">
        <v>0</v>
      </c>
      <c r="G644" t="str" cm="1">
        <f t="array" ref="G644" xml:space="preserve"> FindCountryName(F644)</f>
        <v>None</v>
      </c>
      <c r="H644" s="1">
        <v>45316.642916666664</v>
      </c>
      <c r="I644" s="1">
        <v>45316.642916666664</v>
      </c>
      <c r="J644" s="1">
        <v>40979.286273148151</v>
      </c>
      <c r="K644" cm="1">
        <f t="array" ref="K644" xml:space="preserve"> sentimentCalc(C644)</f>
        <v>2</v>
      </c>
      <c r="L644" t="str" cm="1">
        <f t="array" ref="L644" xml:space="preserve"> sentimentCategory(K644)</f>
        <v>Positive</v>
      </c>
    </row>
    <row r="645" spans="1:12">
      <c r="A645" t="s">
        <v>3942</v>
      </c>
      <c r="B645" t="s">
        <v>3941</v>
      </c>
      <c r="C645" t="str" cm="1">
        <f t="array" ref="C645" xml:space="preserve"> CleanText(B645)</f>
        <v>kengan ashura esperamos este principio de ao la segunda parte de la segunda temporada de kengan ashura</v>
      </c>
      <c r="D645">
        <v>0</v>
      </c>
      <c r="E645">
        <v>0</v>
      </c>
      <c r="F645" t="s">
        <v>0</v>
      </c>
      <c r="G645" t="str" cm="1">
        <f t="array" ref="G645" xml:space="preserve"> FindCountryName(F645)</f>
        <v>None</v>
      </c>
      <c r="H645" s="1">
        <v>45316.583958333336</v>
      </c>
      <c r="I645" s="1">
        <v>45316.583958333336</v>
      </c>
      <c r="J645" s="1">
        <v>43523.64603009259</v>
      </c>
      <c r="K645" cm="1">
        <f t="array" ref="K645" xml:space="preserve"> sentimentCalc(C645)</f>
        <v>0</v>
      </c>
      <c r="L645" t="str" cm="1">
        <f t="array" ref="L645" xml:space="preserve"> sentimentCategory(K645)</f>
        <v>Neutral</v>
      </c>
    </row>
    <row r="646" spans="1:12">
      <c r="A646" t="s">
        <v>1669</v>
      </c>
      <c r="B646" t="s">
        <v>3940</v>
      </c>
      <c r="C646" t="str" cm="1">
        <f t="array" ref="C646" xml:space="preserve"> CleanText(B646)</f>
        <v>i love appa and momo _xDE0A_</v>
      </c>
      <c r="D646">
        <v>0</v>
      </c>
      <c r="E646">
        <v>0</v>
      </c>
      <c r="F646" t="s">
        <v>0</v>
      </c>
      <c r="G646" t="str" cm="1">
        <f t="array" ref="G646" xml:space="preserve"> FindCountryName(F646)</f>
        <v>None</v>
      </c>
      <c r="H646" s="1">
        <v>45316.583865740744</v>
      </c>
      <c r="I646" s="1">
        <v>45316.583865740744</v>
      </c>
      <c r="J646" s="1">
        <v>40916.230497685188</v>
      </c>
      <c r="K646" cm="1">
        <f t="array" ref="K646" xml:space="preserve"> sentimentCalc(C646)</f>
        <v>3</v>
      </c>
      <c r="L646" t="str" cm="1">
        <f t="array" ref="L646" xml:space="preserve"> sentimentCategory(K646)</f>
        <v>Positive</v>
      </c>
    </row>
    <row r="647" spans="1:12">
      <c r="A647" t="s">
        <v>1525</v>
      </c>
      <c r="B647" t="s">
        <v>3939</v>
      </c>
      <c r="C647" t="str" cm="1">
        <f t="array" ref="C647" xml:space="preserve"> CleanText(B647)</f>
        <v>lack of live action  dragonball z kai the knights of the zodiac dragon cave naruto</v>
      </c>
      <c r="D647">
        <v>0</v>
      </c>
      <c r="E647">
        <v>0</v>
      </c>
      <c r="F647" t="s">
        <v>0</v>
      </c>
      <c r="G647" t="str" cm="1">
        <f t="array" ref="G647" xml:space="preserve"> FindCountryName(F647)</f>
        <v>None</v>
      </c>
      <c r="H647" s="1">
        <v>45316.58152777778</v>
      </c>
      <c r="I647" s="1">
        <v>45316.58152777778</v>
      </c>
      <c r="J647" s="1">
        <v>44637.783877314818</v>
      </c>
      <c r="K647" cm="1">
        <f t="array" ref="K647" xml:space="preserve"> sentimentCalc(C647)</f>
        <v>-2</v>
      </c>
      <c r="L647" t="str" cm="1">
        <f t="array" ref="L647" xml:space="preserve"> sentimentCategory(K647)</f>
        <v>Negative</v>
      </c>
    </row>
    <row r="648" spans="1:12">
      <c r="A648" t="s">
        <v>547</v>
      </c>
      <c r="B648" t="s">
        <v>3938</v>
      </c>
      <c r="C648" t="str" cm="1">
        <f t="array" ref="C648" xml:space="preserve"> CleanText(B648)</f>
        <v>its amazing</v>
      </c>
      <c r="D648">
        <v>0</v>
      </c>
      <c r="E648">
        <v>0</v>
      </c>
      <c r="F648" t="s">
        <v>0</v>
      </c>
      <c r="G648" t="str" cm="1">
        <f t="array" ref="G648" xml:space="preserve"> FindCountryName(F648)</f>
        <v>None</v>
      </c>
      <c r="H648" s="1">
        <v>45316.573460648149</v>
      </c>
      <c r="I648" s="1">
        <v>45316.573460648149</v>
      </c>
      <c r="J648" s="1">
        <v>45316.573449074072</v>
      </c>
      <c r="K648" cm="1">
        <f t="array" ref="K648" xml:space="preserve"> sentimentCalc(C648)</f>
        <v>4</v>
      </c>
      <c r="L648" t="str" cm="1">
        <f t="array" ref="L648" xml:space="preserve"> sentimentCategory(K648)</f>
        <v>Positive</v>
      </c>
    </row>
    <row r="649" spans="1:12">
      <c r="A649" t="s">
        <v>786</v>
      </c>
      <c r="B649" t="s">
        <v>557</v>
      </c>
      <c r="C649" t="str" cm="1">
        <f t="array" ref="C649" xml:space="preserve"> CleanText(B649)</f>
        <v>wheres toph</v>
      </c>
      <c r="D649">
        <v>0</v>
      </c>
      <c r="E649">
        <v>2</v>
      </c>
      <c r="F649" t="s">
        <v>0</v>
      </c>
      <c r="G649" t="str" cm="1">
        <f t="array" ref="G649" xml:space="preserve"> FindCountryName(F649)</f>
        <v>None</v>
      </c>
      <c r="H649" s="1">
        <v>45316.525393518517</v>
      </c>
      <c r="I649" s="1">
        <v>45316.525393518517</v>
      </c>
      <c r="J649" s="1">
        <v>41846.952997685185</v>
      </c>
      <c r="K649" cm="1">
        <f t="array" ref="K649" xml:space="preserve"> sentimentCalc(C649)</f>
        <v>0</v>
      </c>
      <c r="L649" t="str" cm="1">
        <f t="array" ref="L649" xml:space="preserve"> sentimentCategory(K649)</f>
        <v>Neutral</v>
      </c>
    </row>
    <row r="650" spans="1:12">
      <c r="A650" t="s">
        <v>72</v>
      </c>
      <c r="B650" t="s">
        <v>3937</v>
      </c>
      <c r="C650" t="str" cm="1">
        <f t="array" ref="C650" xml:space="preserve"> CleanText(B650)</f>
        <v>buy jujutsu kaisen franchise</v>
      </c>
      <c r="D650">
        <v>0</v>
      </c>
      <c r="E650">
        <v>0</v>
      </c>
      <c r="F650" t="s">
        <v>0</v>
      </c>
      <c r="G650" t="str" cm="1">
        <f t="array" ref="G650" xml:space="preserve"> FindCountryName(F650)</f>
        <v>None</v>
      </c>
      <c r="H650" s="1">
        <v>45316.525219907409</v>
      </c>
      <c r="I650" s="1">
        <v>45316.525219907409</v>
      </c>
      <c r="J650" s="1">
        <v>45168.335902777777</v>
      </c>
      <c r="K650" cm="1">
        <f t="array" ref="K650" xml:space="preserve"> sentimentCalc(C650)</f>
        <v>0</v>
      </c>
      <c r="L650" t="str" cm="1">
        <f t="array" ref="L650" xml:space="preserve"> sentimentCategory(K650)</f>
        <v>Neutral</v>
      </c>
    </row>
    <row r="651" spans="1:12">
      <c r="A651" t="s">
        <v>1565</v>
      </c>
      <c r="B651" t="s">
        <v>3936</v>
      </c>
      <c r="C651" t="str" cm="1">
        <f t="array" ref="C651" xml:space="preserve"> CleanText(B651)</f>
        <v>in netflix we trust</v>
      </c>
      <c r="D651">
        <v>0</v>
      </c>
      <c r="E651">
        <v>0</v>
      </c>
      <c r="F651" t="s">
        <v>19</v>
      </c>
      <c r="G651" t="str" cm="1">
        <f t="array" ref="G651" xml:space="preserve"> FindCountryName(F651)</f>
        <v>United States of America (the)</v>
      </c>
      <c r="H651" s="1">
        <v>45316.501018518517</v>
      </c>
      <c r="I651" s="1">
        <v>45316.501018518517</v>
      </c>
      <c r="J651" s="1">
        <v>43093.994166666664</v>
      </c>
      <c r="K651" cm="1">
        <f t="array" ref="K651" xml:space="preserve"> sentimentCalc(C651)</f>
        <v>1</v>
      </c>
      <c r="L651" t="str" cm="1">
        <f t="array" ref="L651" xml:space="preserve"> sentimentCategory(K651)</f>
        <v>Positive</v>
      </c>
    </row>
    <row r="652" spans="1:12">
      <c r="A652" t="s">
        <v>1565</v>
      </c>
      <c r="B652" t="s">
        <v>3935</v>
      </c>
      <c r="C652" t="str" cm="1">
        <f t="array" ref="C652" xml:space="preserve"> CleanText(B652)</f>
        <v>netflix came to save us</v>
      </c>
      <c r="D652">
        <v>0</v>
      </c>
      <c r="E652">
        <v>0</v>
      </c>
      <c r="F652" t="s">
        <v>19</v>
      </c>
      <c r="G652" t="str" cm="1">
        <f t="array" ref="G652" xml:space="preserve"> FindCountryName(F652)</f>
        <v>United States of America (the)</v>
      </c>
      <c r="H652" s="1">
        <v>45316.500879629632</v>
      </c>
      <c r="I652" s="1">
        <v>45316.500879629632</v>
      </c>
      <c r="J652" s="1">
        <v>43093.994166666664</v>
      </c>
      <c r="K652" cm="1">
        <f t="array" ref="K652" xml:space="preserve"> sentimentCalc(C652)</f>
        <v>2</v>
      </c>
      <c r="L652" t="str" cm="1">
        <f t="array" ref="L652" xml:space="preserve"> sentimentCategory(K652)</f>
        <v>Positive</v>
      </c>
    </row>
    <row r="653" spans="1:12">
      <c r="A653" t="s">
        <v>1108</v>
      </c>
      <c r="B653" t="s">
        <v>3934</v>
      </c>
      <c r="C653" t="str" cm="1">
        <f t="array" ref="C653" xml:space="preserve"> CleanText(B653)</f>
        <v>hmmm suspicious one eyebrow up</v>
      </c>
      <c r="D653">
        <v>0</v>
      </c>
      <c r="E653">
        <v>0</v>
      </c>
      <c r="F653" t="s">
        <v>0</v>
      </c>
      <c r="G653" t="str" cm="1">
        <f t="array" ref="G653" xml:space="preserve"> FindCountryName(F653)</f>
        <v>None</v>
      </c>
      <c r="H653" s="1">
        <v>45316.496134259258</v>
      </c>
      <c r="I653" s="1">
        <v>45316.496134259258</v>
      </c>
      <c r="J653" s="1">
        <v>42768.512523148151</v>
      </c>
      <c r="K653" cm="1">
        <f t="array" ref="K653" xml:space="preserve"> sentimentCalc(C653)</f>
        <v>-2</v>
      </c>
      <c r="L653" t="str" cm="1">
        <f t="array" ref="L653" xml:space="preserve"> sentimentCategory(K653)</f>
        <v>Negative</v>
      </c>
    </row>
    <row r="654" spans="1:12">
      <c r="A654" t="s">
        <v>3933</v>
      </c>
      <c r="B654" t="s">
        <v>3932</v>
      </c>
      <c r="C654" t="str" cm="1">
        <f t="array" ref="C654" xml:space="preserve"> CleanText(B654)</f>
        <v>hama bloodbending</v>
      </c>
      <c r="D654">
        <v>0</v>
      </c>
      <c r="E654">
        <v>0</v>
      </c>
      <c r="F654" t="s">
        <v>0</v>
      </c>
      <c r="G654" t="str" cm="1">
        <f t="array" ref="G654" xml:space="preserve"> FindCountryName(F654)</f>
        <v>None</v>
      </c>
      <c r="H654" s="1">
        <v>45316.483819444446</v>
      </c>
      <c r="I654" s="1">
        <v>45316.483819444446</v>
      </c>
      <c r="J654" s="1">
        <v>43795.656064814815</v>
      </c>
      <c r="K654" cm="1">
        <f t="array" ref="K654" xml:space="preserve"> sentimentCalc(C654)</f>
        <v>0</v>
      </c>
      <c r="L654" t="str" cm="1">
        <f t="array" ref="L654" xml:space="preserve"> sentimentCategory(K654)</f>
        <v>Neutral</v>
      </c>
    </row>
    <row r="655" spans="1:12">
      <c r="A655" t="s">
        <v>1247</v>
      </c>
      <c r="B655" t="s">
        <v>3931</v>
      </c>
      <c r="C655" t="str" cm="1">
        <f t="array" ref="C655" xml:space="preserve"> CleanText(B655)</f>
        <v>omfgfinally the perfect adaptationhopefully</v>
      </c>
      <c r="D655">
        <v>0</v>
      </c>
      <c r="E655">
        <v>0</v>
      </c>
      <c r="F655" t="s">
        <v>0</v>
      </c>
      <c r="G655" t="str" cm="1">
        <f t="array" ref="G655" xml:space="preserve"> FindCountryName(F655)</f>
        <v>None</v>
      </c>
      <c r="H655" s="1">
        <v>45316.471400462964</v>
      </c>
      <c r="I655" s="1">
        <v>45316.471400462964</v>
      </c>
      <c r="J655" s="1">
        <v>42121.525648148148</v>
      </c>
      <c r="K655" cm="1">
        <f t="array" ref="K655" xml:space="preserve"> sentimentCalc(C655)</f>
        <v>3</v>
      </c>
      <c r="L655" t="str" cm="1">
        <f t="array" ref="L655" xml:space="preserve"> sentimentCategory(K655)</f>
        <v>Positive</v>
      </c>
    </row>
    <row r="656" spans="1:12">
      <c r="A656" t="s">
        <v>3220</v>
      </c>
      <c r="B656" t="s">
        <v>3930</v>
      </c>
      <c r="C656" t="str" cm="1">
        <f t="array" ref="C656" xml:space="preserve"> CleanText(B656)</f>
        <v>at last some did what we expected ive been heart crushed before netflix please dont hurt us just one thing was it necessary to make katara and sokka white</v>
      </c>
      <c r="D656">
        <v>0</v>
      </c>
      <c r="E656">
        <v>1</v>
      </c>
      <c r="F656" t="s">
        <v>0</v>
      </c>
      <c r="G656" t="str" cm="1">
        <f t="array" ref="G656" xml:space="preserve"> FindCountryName(F656)</f>
        <v>None</v>
      </c>
      <c r="H656" s="1">
        <v>45316.429745370369</v>
      </c>
      <c r="I656" s="1">
        <v>45316.429745370369</v>
      </c>
      <c r="J656" s="1">
        <v>38967.729537037034</v>
      </c>
      <c r="K656" cm="1">
        <f t="array" ref="K656" xml:space="preserve"> sentimentCalc(C656)</f>
        <v>-3</v>
      </c>
      <c r="L656" t="str" cm="1">
        <f t="array" ref="L656" xml:space="preserve"> sentimentCategory(K656)</f>
        <v>Negative</v>
      </c>
    </row>
    <row r="657" spans="1:12">
      <c r="A657" t="s">
        <v>3929</v>
      </c>
      <c r="B657" t="s">
        <v>3928</v>
      </c>
      <c r="C657" t="str" cm="1">
        <f t="array" ref="C657" xml:space="preserve"> CleanText(B657)</f>
        <v>and why the one piece not using movie elements like this one piece need like this effect</v>
      </c>
      <c r="D657">
        <v>0</v>
      </c>
      <c r="E657">
        <v>0</v>
      </c>
      <c r="F657" t="s">
        <v>633</v>
      </c>
      <c r="G657" t="str" cm="1">
        <f t="array" ref="G657" xml:space="preserve"> FindCountryName(F657)</f>
        <v>Indonesia</v>
      </c>
      <c r="H657" s="1">
        <v>45316.427141203705</v>
      </c>
      <c r="I657" s="1">
        <v>45316.427141203705</v>
      </c>
      <c r="J657" s="1">
        <v>41624.494618055556</v>
      </c>
      <c r="K657" cm="1">
        <f t="array" ref="K657" xml:space="preserve"> sentimentCalc(C657)</f>
        <v>4</v>
      </c>
      <c r="L657" t="str" cm="1">
        <f t="array" ref="L657" xml:space="preserve"> sentimentCategory(K657)</f>
        <v>Positive</v>
      </c>
    </row>
    <row r="658" spans="1:12">
      <c r="A658" t="s">
        <v>304</v>
      </c>
      <c r="B658" t="s">
        <v>3927</v>
      </c>
      <c r="C658" t="str" cm="1">
        <f t="array" ref="C658" xml:space="preserve"> CleanText(B658)</f>
        <v>i dont know why nobody finds the reallife aang with that thing on his forehead funny as hell _xDE02_</v>
      </c>
      <c r="D658">
        <v>0</v>
      </c>
      <c r="E658">
        <v>1</v>
      </c>
      <c r="F658" t="s">
        <v>0</v>
      </c>
      <c r="G658" t="str" cm="1">
        <f t="array" ref="G658" xml:space="preserve"> FindCountryName(F658)</f>
        <v>None</v>
      </c>
      <c r="H658" s="1">
        <v>45316.344097222223</v>
      </c>
      <c r="I658" s="1">
        <v>45316.344097222223</v>
      </c>
      <c r="J658" s="1">
        <v>44937.599999999999</v>
      </c>
      <c r="K658" cm="1">
        <f t="array" ref="K658" xml:space="preserve"> sentimentCalc(C658)</f>
        <v>0</v>
      </c>
      <c r="L658" t="str" cm="1">
        <f t="array" ref="L658" xml:space="preserve"> sentimentCategory(K658)</f>
        <v>Neutral</v>
      </c>
    </row>
    <row r="659" spans="1:12">
      <c r="A659" t="s">
        <v>1156</v>
      </c>
      <c r="B659" t="s">
        <v>3926</v>
      </c>
      <c r="C659" t="str" cm="1">
        <f t="array" ref="C659" xml:space="preserve"> CleanText(B659)</f>
        <v>0 is that azula</v>
      </c>
      <c r="D659">
        <v>0</v>
      </c>
      <c r="E659">
        <v>1</v>
      </c>
      <c r="F659" t="s">
        <v>98</v>
      </c>
      <c r="G659" t="str" cm="1">
        <f t="array" ref="G659" xml:space="preserve"> FindCountryName(F659)</f>
        <v>India</v>
      </c>
      <c r="H659" s="1">
        <v>45316.336875000001</v>
      </c>
      <c r="I659" s="1">
        <v>45316.336875000001</v>
      </c>
      <c r="J659" s="1">
        <v>43306.542118055557</v>
      </c>
      <c r="K659" cm="1">
        <f t="array" ref="K659" xml:space="preserve"> sentimentCalc(C659)</f>
        <v>0</v>
      </c>
      <c r="L659" t="str" cm="1">
        <f t="array" ref="L659" xml:space="preserve"> sentimentCategory(K659)</f>
        <v>Neutral</v>
      </c>
    </row>
    <row r="660" spans="1:12">
      <c r="A660" t="s">
        <v>980</v>
      </c>
      <c r="B660" t="s">
        <v>3925</v>
      </c>
      <c r="C660" t="str" cm="1">
        <f t="array" ref="C660" xml:space="preserve"> CleanText(B660)</f>
        <v>amazingggg</v>
      </c>
      <c r="D660">
        <v>0</v>
      </c>
      <c r="E660">
        <v>0</v>
      </c>
      <c r="F660" t="s">
        <v>0</v>
      </c>
      <c r="G660" t="str" cm="1">
        <f t="array" ref="G660" xml:space="preserve"> FindCountryName(F660)</f>
        <v>None</v>
      </c>
      <c r="H660" s="1">
        <v>45316.333460648151</v>
      </c>
      <c r="I660" s="1">
        <v>45316.333460648151</v>
      </c>
      <c r="J660" s="1">
        <v>41916.832442129627</v>
      </c>
      <c r="K660" cm="1">
        <f t="array" ref="K660" xml:space="preserve"> sentimentCalc(C660)</f>
        <v>0</v>
      </c>
      <c r="L660" t="str" cm="1">
        <f t="array" ref="L660" xml:space="preserve"> sentimentCategory(K660)</f>
        <v>Neutral</v>
      </c>
    </row>
    <row r="661" spans="1:12">
      <c r="A661" t="s">
        <v>1525</v>
      </c>
      <c r="B661" t="s">
        <v>3924</v>
      </c>
      <c r="C661" t="str" cm="1">
        <f t="array" ref="C661" xml:space="preserve"> CleanText(B661)</f>
        <v>wow</v>
      </c>
      <c r="D661">
        <v>0</v>
      </c>
      <c r="E661">
        <v>0</v>
      </c>
      <c r="F661" t="s">
        <v>0</v>
      </c>
      <c r="G661" t="str" cm="1">
        <f t="array" ref="G661" xml:space="preserve"> FindCountryName(F661)</f>
        <v>None</v>
      </c>
      <c r="H661" s="1">
        <v>45316.321793981479</v>
      </c>
      <c r="I661" s="1">
        <v>45316.321793981479</v>
      </c>
      <c r="J661" s="1">
        <v>42480.330509259256</v>
      </c>
      <c r="K661" cm="1">
        <f t="array" ref="K661" xml:space="preserve"> sentimentCalc(C661)</f>
        <v>4</v>
      </c>
      <c r="L661" t="str" cm="1">
        <f t="array" ref="L661" xml:space="preserve"> sentimentCategory(K661)</f>
        <v>Positive</v>
      </c>
    </row>
    <row r="662" spans="1:12">
      <c r="A662" t="s">
        <v>367</v>
      </c>
      <c r="B662" t="s">
        <v>3923</v>
      </c>
      <c r="C662" t="str" cm="1">
        <f t="array" ref="C662" xml:space="preserve"> CleanText(B662)</f>
        <v>n</v>
      </c>
      <c r="D662">
        <v>0</v>
      </c>
      <c r="E662">
        <v>0</v>
      </c>
      <c r="F662" t="s">
        <v>0</v>
      </c>
      <c r="G662" t="str" cm="1">
        <f t="array" ref="G662" xml:space="preserve"> FindCountryName(F662)</f>
        <v>None</v>
      </c>
      <c r="H662" s="1">
        <v>45316.317754629628</v>
      </c>
      <c r="I662" s="1">
        <v>45316.317754629628</v>
      </c>
      <c r="J662" s="1">
        <v>44899.19736111111</v>
      </c>
      <c r="K662" cm="1">
        <f t="array" ref="K662" xml:space="preserve"> sentimentCalc(C662)</f>
        <v>0</v>
      </c>
      <c r="L662" t="str" cm="1">
        <f t="array" ref="L662" xml:space="preserve"> sentimentCategory(K662)</f>
        <v>Neutral</v>
      </c>
    </row>
    <row r="663" spans="1:12">
      <c r="A663" t="s">
        <v>290</v>
      </c>
      <c r="B663" t="s">
        <v>3922</v>
      </c>
      <c r="C663" t="str" cm="1">
        <f t="array" ref="C663" xml:space="preserve"> CleanText(B663)</f>
        <v>_xDF89_ 2 n</v>
      </c>
      <c r="D663">
        <v>0</v>
      </c>
      <c r="E663">
        <v>0</v>
      </c>
      <c r="F663" t="s">
        <v>0</v>
      </c>
      <c r="G663" t="str" cm="1">
        <f t="array" ref="G663" xml:space="preserve"> FindCountryName(F663)</f>
        <v>None</v>
      </c>
      <c r="H663" s="1">
        <v>45316.307951388888</v>
      </c>
      <c r="I663" s="1">
        <v>45316.307951388888</v>
      </c>
      <c r="J663" s="1">
        <v>43880.412858796299</v>
      </c>
      <c r="K663" cm="1">
        <f t="array" ref="K663" xml:space="preserve"> sentimentCalc(C663)</f>
        <v>0</v>
      </c>
      <c r="L663" t="str" cm="1">
        <f t="array" ref="L663" xml:space="preserve"> sentimentCategory(K663)</f>
        <v>Neutral</v>
      </c>
    </row>
    <row r="664" spans="1:12">
      <c r="A664" t="s">
        <v>745</v>
      </c>
      <c r="B664" t="s">
        <v>3921</v>
      </c>
      <c r="C664" t="str" cm="1">
        <f t="array" ref="C664" xml:space="preserve"> CleanText(B664)</f>
        <v>god if you can hear meplease let this be the excellent adaptation</v>
      </c>
      <c r="D664">
        <v>0</v>
      </c>
      <c r="E664">
        <v>0</v>
      </c>
      <c r="F664" t="s">
        <v>0</v>
      </c>
      <c r="G664" t="str" cm="1">
        <f t="array" ref="G664" xml:space="preserve"> FindCountryName(F664)</f>
        <v>None</v>
      </c>
      <c r="H664" s="1">
        <v>45316.303206018521</v>
      </c>
      <c r="I664" s="1">
        <v>45316.303206018521</v>
      </c>
      <c r="J664" s="1">
        <v>41847.379641203705</v>
      </c>
      <c r="K664" cm="1">
        <f t="array" ref="K664" xml:space="preserve"> sentimentCalc(C664)</f>
        <v>4</v>
      </c>
      <c r="L664" t="str" cm="1">
        <f t="array" ref="L664" xml:space="preserve"> sentimentCategory(K664)</f>
        <v>Positive</v>
      </c>
    </row>
    <row r="665" spans="1:12">
      <c r="A665" t="s">
        <v>3920</v>
      </c>
      <c r="B665" t="s">
        <v>3919</v>
      </c>
      <c r="C665" t="str" cm="1">
        <f t="array" ref="C665" xml:space="preserve"> CleanText(B665)</f>
        <v>please be good</v>
      </c>
      <c r="D665">
        <v>0</v>
      </c>
      <c r="E665">
        <v>0</v>
      </c>
      <c r="F665" t="s">
        <v>0</v>
      </c>
      <c r="G665" t="str" cm="1">
        <f t="array" ref="G665" xml:space="preserve"> FindCountryName(F665)</f>
        <v>None</v>
      </c>
      <c r="H665" s="1">
        <v>45316.269166666665</v>
      </c>
      <c r="I665" s="1">
        <v>45316.269166666665</v>
      </c>
      <c r="J665" s="1">
        <v>41435.588171296295</v>
      </c>
      <c r="K665" cm="1">
        <f t="array" ref="K665" xml:space="preserve"> sentimentCalc(C665)</f>
        <v>4</v>
      </c>
      <c r="L665" t="str" cm="1">
        <f t="array" ref="L665" xml:space="preserve"> sentimentCategory(K665)</f>
        <v>Positive</v>
      </c>
    </row>
    <row r="666" spans="1:12">
      <c r="A666" t="s">
        <v>38</v>
      </c>
      <c r="B666" t="s">
        <v>3918</v>
      </c>
      <c r="C666" t="str" cm="1">
        <f t="array" ref="C666" xml:space="preserve"> CleanText(B666)</f>
        <v>i home its not just the teaser</v>
      </c>
      <c r="D666">
        <v>0</v>
      </c>
      <c r="E666">
        <v>0</v>
      </c>
      <c r="F666" t="s">
        <v>0</v>
      </c>
      <c r="G666" t="str" cm="1">
        <f t="array" ref="G666" xml:space="preserve"> FindCountryName(F666)</f>
        <v>None</v>
      </c>
      <c r="H666" s="1">
        <v>45316.248437499999</v>
      </c>
      <c r="I666" s="1">
        <v>45316.248437499999</v>
      </c>
      <c r="J666" s="1">
        <v>42984.35659722222</v>
      </c>
      <c r="K666" cm="1">
        <f t="array" ref="K666" xml:space="preserve"> sentimentCalc(C666)</f>
        <v>0</v>
      </c>
      <c r="L666" t="str" cm="1">
        <f t="array" ref="L666" xml:space="preserve"> sentimentCategory(K666)</f>
        <v>Neutral</v>
      </c>
    </row>
    <row r="667" spans="1:12">
      <c r="A667" t="s">
        <v>1606</v>
      </c>
      <c r="B667" t="s">
        <v>3917</v>
      </c>
      <c r="C667" t="str" cm="1">
        <f t="array" ref="C667" xml:space="preserve"> CleanText(B667)</f>
        <v>hopefully netflix learned from their one piece adaptation</v>
      </c>
      <c r="D667">
        <v>0</v>
      </c>
      <c r="E667">
        <v>0</v>
      </c>
      <c r="F667" t="s">
        <v>638</v>
      </c>
      <c r="G667" t="str" cm="1">
        <f t="array" ref="G667" xml:space="preserve"> FindCountryName(F667)</f>
        <v>Germany</v>
      </c>
      <c r="H667" s="1">
        <v>45316.233495370368</v>
      </c>
      <c r="I667" s="1">
        <v>45316.233495370368</v>
      </c>
      <c r="J667" s="1">
        <v>43807.351018518515</v>
      </c>
      <c r="K667" cm="1">
        <f t="array" ref="K667" xml:space="preserve"> sentimentCalc(C667)</f>
        <v>2</v>
      </c>
      <c r="L667" t="str" cm="1">
        <f t="array" ref="L667" xml:space="preserve"> sentimentCategory(K667)</f>
        <v>Positive</v>
      </c>
    </row>
    <row r="668" spans="1:12">
      <c r="A668" t="s">
        <v>1694</v>
      </c>
      <c r="B668" t="s">
        <v>3916</v>
      </c>
      <c r="C668" t="str" cm="1">
        <f t="array" ref="C668" xml:space="preserve"> CleanText(B668)</f>
        <v>powwwweeeeerrrr first one piece now avatar with an amazing cast hell yeah</v>
      </c>
      <c r="D668">
        <v>0</v>
      </c>
      <c r="E668">
        <v>0</v>
      </c>
      <c r="F668" t="s">
        <v>3915</v>
      </c>
      <c r="G668" t="str" cm="1">
        <f t="array" ref="G668" xml:space="preserve"> FindCountryName(F668)</f>
        <v>Sweden</v>
      </c>
      <c r="H668" s="1">
        <v>45316.231377314813</v>
      </c>
      <c r="I668" s="1">
        <v>45316.231377314813</v>
      </c>
      <c r="J668" s="1">
        <v>40993.493009259262</v>
      </c>
      <c r="K668" cm="1">
        <f t="array" ref="K668" xml:space="preserve"> sentimentCalc(C668)</f>
        <v>1</v>
      </c>
      <c r="L668" t="str" cm="1">
        <f t="array" ref="L668" xml:space="preserve"> sentimentCategory(K668)</f>
        <v>Positive</v>
      </c>
    </row>
    <row r="669" spans="1:12">
      <c r="A669" t="s">
        <v>514</v>
      </c>
      <c r="B669" t="s">
        <v>3914</v>
      </c>
      <c r="C669" t="str" cm="1">
        <f t="array" ref="C669" xml:space="preserve"> CleanText(B669)</f>
        <v>i cant help myself sokka and katara look so  ugly</v>
      </c>
      <c r="D669">
        <v>0</v>
      </c>
      <c r="E669">
        <v>0</v>
      </c>
      <c r="F669" t="s">
        <v>0</v>
      </c>
      <c r="G669" t="str" cm="1">
        <f t="array" ref="G669" xml:space="preserve"> FindCountryName(F669)</f>
        <v>None</v>
      </c>
      <c r="H669" s="1">
        <v>45316.225694444445</v>
      </c>
      <c r="I669" s="1">
        <v>45316.225694444445</v>
      </c>
      <c r="J669" s="1">
        <v>41012.475185185183</v>
      </c>
      <c r="K669" cm="1">
        <f t="array" ref="K669" xml:space="preserve"> sentimentCalc(C669)</f>
        <v>-1</v>
      </c>
      <c r="L669" t="str" cm="1">
        <f t="array" ref="L669" xml:space="preserve"> sentimentCategory(K669)</f>
        <v>Negative</v>
      </c>
    </row>
    <row r="670" spans="1:12">
      <c r="A670" t="s">
        <v>779</v>
      </c>
      <c r="B670" t="s">
        <v>3913</v>
      </c>
      <c r="C670" t="str" cm="1">
        <f t="array" ref="C670" xml:space="preserve"> CleanText(B670)</f>
        <v>this gonna be a flop naruto should have hair wtf happen to sasuke lost half of his hair</v>
      </c>
      <c r="D670">
        <v>0</v>
      </c>
      <c r="E670">
        <v>1</v>
      </c>
      <c r="F670" t="s">
        <v>0</v>
      </c>
      <c r="G670" t="str" cm="1">
        <f t="array" ref="G670" xml:space="preserve"> FindCountryName(F670)</f>
        <v>None</v>
      </c>
      <c r="H670" s="1">
        <v>45316.207048611112</v>
      </c>
      <c r="I670" s="1">
        <v>45316.207048611112</v>
      </c>
      <c r="J670" s="1">
        <v>40834.038946759261</v>
      </c>
      <c r="K670" cm="1">
        <f t="array" ref="K670" xml:space="preserve"> sentimentCalc(C670)</f>
        <v>-5</v>
      </c>
      <c r="L670" t="str" cm="1">
        <f t="array" ref="L670" xml:space="preserve"> sentimentCategory(K670)</f>
        <v>Negative</v>
      </c>
    </row>
    <row r="671" spans="1:12">
      <c r="A671" t="s">
        <v>1891</v>
      </c>
      <c r="B671" t="s">
        <v>3912</v>
      </c>
      <c r="C671" t="str" cm="1">
        <f t="array" ref="C671" xml:space="preserve"> CleanText(B671)</f>
        <v>coming back to this  the transition in themes at 5 always gives me chills</v>
      </c>
      <c r="D671">
        <v>4</v>
      </c>
      <c r="E671">
        <v>0</v>
      </c>
      <c r="F671" t="s">
        <v>3911</v>
      </c>
      <c r="G671" t="str" cm="1">
        <f t="array" ref="G671" xml:space="preserve"> FindCountryName(F671)</f>
        <v>Switzerland</v>
      </c>
      <c r="H671" s="1">
        <v>45316.177731481483</v>
      </c>
      <c r="I671" s="1">
        <v>45316.177731481483</v>
      </c>
      <c r="J671" s="1">
        <v>40860.309849537036</v>
      </c>
      <c r="K671" cm="1">
        <f t="array" ref="K671" xml:space="preserve"> sentimentCalc(C671)</f>
        <v>0</v>
      </c>
      <c r="L671" t="str" cm="1">
        <f t="array" ref="L671" xml:space="preserve"> sentimentCategory(K671)</f>
        <v>Neutral</v>
      </c>
    </row>
    <row r="672" spans="1:12">
      <c r="A672" t="s">
        <v>865</v>
      </c>
      <c r="B672" t="s">
        <v>3910</v>
      </c>
      <c r="C672" t="str" cm="1">
        <f t="array" ref="C672" xml:space="preserve"> CleanText(B672)</f>
        <v>i hope they didnt allow mnight anywhere near this series</v>
      </c>
      <c r="D672">
        <v>1</v>
      </c>
      <c r="E672">
        <v>0</v>
      </c>
      <c r="F672" t="s">
        <v>0</v>
      </c>
      <c r="G672" t="str" cm="1">
        <f t="array" ref="G672" xml:space="preserve"> FindCountryName(F672)</f>
        <v>None</v>
      </c>
      <c r="H672" s="1">
        <v>45316.147731481484</v>
      </c>
      <c r="I672" s="1">
        <v>45316.147731481484</v>
      </c>
      <c r="J672" s="1">
        <v>43315.367488425924</v>
      </c>
      <c r="K672" cm="1">
        <f t="array" ref="K672" xml:space="preserve"> sentimentCalc(C672)</f>
        <v>3</v>
      </c>
      <c r="L672" t="str" cm="1">
        <f t="array" ref="L672" xml:space="preserve"> sentimentCategory(K672)</f>
        <v>Positive</v>
      </c>
    </row>
    <row r="673" spans="1:12">
      <c r="A673" t="s">
        <v>2973</v>
      </c>
      <c r="B673" t="s">
        <v>3909</v>
      </c>
      <c r="C673" t="str" cm="1">
        <f t="array" ref="C673" xml:space="preserve"> CleanText(B673)</f>
        <v>kereeeeeennnsampai merinding</v>
      </c>
      <c r="D673">
        <v>0</v>
      </c>
      <c r="E673">
        <v>0</v>
      </c>
      <c r="F673" t="s">
        <v>0</v>
      </c>
      <c r="G673" t="str" cm="1">
        <f t="array" ref="G673" xml:space="preserve"> FindCountryName(F673)</f>
        <v>None</v>
      </c>
      <c r="H673" s="1">
        <v>45316.138090277775</v>
      </c>
      <c r="I673" s="1">
        <v>45316.138090277775</v>
      </c>
      <c r="J673" s="1">
        <v>42651.913078703707</v>
      </c>
      <c r="K673" cm="1">
        <f t="array" ref="K673" xml:space="preserve"> sentimentCalc(C673)</f>
        <v>0</v>
      </c>
      <c r="L673" t="str" cm="1">
        <f t="array" ref="L673" xml:space="preserve"> sentimentCategory(K673)</f>
        <v>Neutral</v>
      </c>
    </row>
    <row r="674" spans="1:12">
      <c r="A674" t="s">
        <v>2795</v>
      </c>
      <c r="B674" t="s">
        <v>3908</v>
      </c>
      <c r="C674" t="str" cm="1">
        <f t="array" ref="C674" xml:space="preserve"> CleanText(B674)</f>
        <v>this looks better than the first at least got my hopes up</v>
      </c>
      <c r="D674">
        <v>0</v>
      </c>
      <c r="E674">
        <v>0</v>
      </c>
      <c r="F674" t="s">
        <v>0</v>
      </c>
      <c r="G674" t="str" cm="1">
        <f t="array" ref="G674" xml:space="preserve"> FindCountryName(F674)</f>
        <v>None</v>
      </c>
      <c r="H674" s="1">
        <v>45316.069502314815</v>
      </c>
      <c r="I674" s="1">
        <v>45316.069502314815</v>
      </c>
      <c r="J674" s="1">
        <v>42525.320752314816</v>
      </c>
      <c r="K674" cm="1">
        <f t="array" ref="K674" xml:space="preserve"> sentimentCalc(C674)</f>
        <v>4</v>
      </c>
      <c r="L674" t="str" cm="1">
        <f t="array" ref="L674" xml:space="preserve"> sentimentCategory(K674)</f>
        <v>Positive</v>
      </c>
    </row>
    <row r="675" spans="1:12">
      <c r="A675" t="s">
        <v>2429</v>
      </c>
      <c r="B675" t="s">
        <v>3907</v>
      </c>
      <c r="C675" t="str" cm="1">
        <f t="array" ref="C675" xml:space="preserve"> CleanText(B675)</f>
        <v>i seriously cant wait to watch it it already looks awesome and the music really makes it sound more epic i loved the animated show so when it was announced that a live action series was being made and they were doing it right with appropriate casting i was really excited and looking forward to watching it i hope it does well so they can do the other books for multiple seasons</v>
      </c>
      <c r="D675">
        <v>11</v>
      </c>
      <c r="E675">
        <v>0</v>
      </c>
      <c r="F675" t="s">
        <v>0</v>
      </c>
      <c r="G675" t="str" cm="1">
        <f t="array" ref="G675" xml:space="preserve"> FindCountryName(F675)</f>
        <v>None</v>
      </c>
      <c r="H675" s="1">
        <v>45316.066203703704</v>
      </c>
      <c r="I675" s="1">
        <v>45316.066203703704</v>
      </c>
      <c r="J675" s="1">
        <v>39145.863865740743</v>
      </c>
      <c r="K675" cm="1">
        <f t="array" ref="K675" xml:space="preserve"> sentimentCalc(C675)</f>
        <v>12</v>
      </c>
      <c r="L675" t="str" cm="1">
        <f t="array" ref="L675" xml:space="preserve"> sentimentCategory(K675)</f>
        <v>Positive</v>
      </c>
    </row>
    <row r="676" spans="1:12">
      <c r="A676" t="s">
        <v>3906</v>
      </c>
      <c r="B676" t="s">
        <v>3905</v>
      </c>
      <c r="C676" t="str" cm="1">
        <f t="array" ref="C676" xml:space="preserve"> CleanText(B676)</f>
        <v>my ptsd is surfacing</v>
      </c>
      <c r="D676">
        <v>0</v>
      </c>
      <c r="E676">
        <v>0</v>
      </c>
      <c r="F676" t="s">
        <v>3904</v>
      </c>
      <c r="G676" t="str" cm="1">
        <f t="array" ref="G676" xml:space="preserve"> FindCountryName(F676)</f>
        <v>Estonia</v>
      </c>
      <c r="H676" s="1">
        <v>45316.034560185188</v>
      </c>
      <c r="I676" s="1">
        <v>45316.034560185188</v>
      </c>
      <c r="J676" s="1">
        <v>40065.114502314813</v>
      </c>
      <c r="K676" cm="1">
        <f t="array" ref="K676" xml:space="preserve"> sentimentCalc(C676)</f>
        <v>0</v>
      </c>
      <c r="L676" t="str" cm="1">
        <f t="array" ref="L676" xml:space="preserve"> sentimentCategory(K676)</f>
        <v>Neutral</v>
      </c>
    </row>
    <row r="677" spans="1:12">
      <c r="A677" t="s">
        <v>3903</v>
      </c>
      <c r="B677" t="s">
        <v>3902</v>
      </c>
      <c r="C677" t="str" cm="1">
        <f t="array" ref="C677" xml:space="preserve"> CleanText(B677)</f>
        <v>night shamlam already stunned us before 5 years</v>
      </c>
      <c r="D677">
        <v>0</v>
      </c>
      <c r="E677">
        <v>0</v>
      </c>
      <c r="F677" t="s">
        <v>0</v>
      </c>
      <c r="G677" t="str" cm="1">
        <f t="array" ref="G677" xml:space="preserve"> FindCountryName(F677)</f>
        <v>None</v>
      </c>
      <c r="H677" s="1">
        <v>45316.028587962966</v>
      </c>
      <c r="I677" s="1">
        <v>45316.028587962966</v>
      </c>
      <c r="J677" s="1">
        <v>39244.439444444448</v>
      </c>
      <c r="K677" cm="1">
        <f t="array" ref="K677" xml:space="preserve"> sentimentCalc(C677)</f>
        <v>-2</v>
      </c>
      <c r="L677" t="str" cm="1">
        <f t="array" ref="L677" xml:space="preserve"> sentimentCategory(K677)</f>
        <v>Negative</v>
      </c>
    </row>
    <row r="678" spans="1:12">
      <c r="A678" t="s">
        <v>1204</v>
      </c>
      <c r="B678" t="s">
        <v>3901</v>
      </c>
      <c r="C678" t="str" cm="1">
        <f t="array" ref="C678" xml:space="preserve"> CleanText(B678)</f>
        <v>wow this actually looks not bad consider my attention grabbedalso suki got me feeling a certain way tho</v>
      </c>
      <c r="D678">
        <v>0</v>
      </c>
      <c r="E678">
        <v>0</v>
      </c>
      <c r="F678" t="s">
        <v>0</v>
      </c>
      <c r="G678" t="str" cm="1">
        <f t="array" ref="G678" xml:space="preserve"> FindCountryName(F678)</f>
        <v>None</v>
      </c>
      <c r="H678" s="1">
        <v>45316.018854166665</v>
      </c>
      <c r="I678" s="1">
        <v>45316.018854166665</v>
      </c>
      <c r="J678" s="1">
        <v>42267.069062499999</v>
      </c>
      <c r="K678" cm="1">
        <f t="array" ref="K678" xml:space="preserve"> sentimentCalc(C678)</f>
        <v>3</v>
      </c>
      <c r="L678" t="str" cm="1">
        <f t="array" ref="L678" xml:space="preserve"> sentimentCategory(K678)</f>
        <v>Positive</v>
      </c>
    </row>
    <row r="679" spans="1:12">
      <c r="A679" t="s">
        <v>2385</v>
      </c>
      <c r="B679" t="s">
        <v>3900</v>
      </c>
      <c r="C679" t="str" cm="1">
        <f t="array" ref="C679" xml:space="preserve"> CleanText(B679)</f>
        <v>i am so happy he choose that uncle iroh</v>
      </c>
      <c r="D679">
        <v>0</v>
      </c>
      <c r="E679">
        <v>0</v>
      </c>
      <c r="F679" t="s">
        <v>0</v>
      </c>
      <c r="G679" t="str" cm="1">
        <f t="array" ref="G679" xml:space="preserve"> FindCountryName(F679)</f>
        <v>None</v>
      </c>
      <c r="H679" s="1">
        <v>45316.013738425929</v>
      </c>
      <c r="I679" s="1">
        <v>45316.013738425929</v>
      </c>
      <c r="J679" s="1">
        <v>42310.480196759258</v>
      </c>
      <c r="K679" cm="1">
        <f t="array" ref="K679" xml:space="preserve"> sentimentCalc(C679)</f>
        <v>3</v>
      </c>
      <c r="L679" t="str" cm="1">
        <f t="array" ref="L679" xml:space="preserve"> sentimentCategory(K679)</f>
        <v>Positive</v>
      </c>
    </row>
    <row r="680" spans="1:12">
      <c r="A680" t="s">
        <v>86</v>
      </c>
      <c r="B680" t="s">
        <v>3899</v>
      </c>
      <c r="C680" t="str" cm="1">
        <f t="array" ref="C680" xml:space="preserve"> CleanText(B680)</f>
        <v>movie or series</v>
      </c>
      <c r="D680">
        <v>0</v>
      </c>
      <c r="E680">
        <v>1</v>
      </c>
      <c r="F680" t="s">
        <v>0</v>
      </c>
      <c r="G680" t="str" cm="1">
        <f t="array" ref="G680" xml:space="preserve"> FindCountryName(F680)</f>
        <v>None</v>
      </c>
      <c r="H680" s="1">
        <v>45315.996666666666</v>
      </c>
      <c r="I680" s="1">
        <v>45315.996666666666</v>
      </c>
      <c r="J680" s="1">
        <v>44291.532800925925</v>
      </c>
      <c r="K680" cm="1">
        <f t="array" ref="K680" xml:space="preserve"> sentimentCalc(C680)</f>
        <v>0</v>
      </c>
      <c r="L680" t="str" cm="1">
        <f t="array" ref="L680" xml:space="preserve"> sentimentCategory(K680)</f>
        <v>Neutral</v>
      </c>
    </row>
    <row r="681" spans="1:12">
      <c r="A681" t="s">
        <v>2855</v>
      </c>
      <c r="B681" t="s">
        <v>3898</v>
      </c>
      <c r="C681" t="str" cm="1">
        <f t="array" ref="C681" xml:space="preserve"> CleanText(B681)</f>
        <v>damn im curious on how far they will go with the showing the genocide of the air benders _xDE33_ necessary though</v>
      </c>
      <c r="D681">
        <v>0</v>
      </c>
      <c r="E681">
        <v>0</v>
      </c>
      <c r="F681" t="s">
        <v>0</v>
      </c>
      <c r="G681" t="str" cm="1">
        <f t="array" ref="G681" xml:space="preserve"> FindCountryName(F681)</f>
        <v>None</v>
      </c>
      <c r="H681" s="1">
        <v>45315.990277777775</v>
      </c>
      <c r="I681" s="1">
        <v>45315.990277777775</v>
      </c>
      <c r="J681" s="1">
        <v>40923.837337962963</v>
      </c>
      <c r="K681" cm="1">
        <f t="array" ref="K681" xml:space="preserve"> sentimentCalc(C681)</f>
        <v>-3</v>
      </c>
      <c r="L681" t="str" cm="1">
        <f t="array" ref="L681" xml:space="preserve"> sentimentCategory(K681)</f>
        <v>Negative</v>
      </c>
    </row>
    <row r="682" spans="1:12">
      <c r="A682" t="s">
        <v>523</v>
      </c>
      <c r="B682" t="s">
        <v>3897</v>
      </c>
      <c r="C682" t="str" cm="1">
        <f t="array" ref="C682" xml:space="preserve"> CleanText(B682)</f>
        <v>episode  the last airbender  the boy in the iceberg the avatar returns the southern air temple episode  warriors  the warriors of kyoshiepisode  omashu  the king of omashu episode  into the dark winter solstice part  winter solstice part  and jet episode  spirited away  the storm the blue spirit episode  masks  bato of the water tribe  episode  the north  the deserter the northern air temple the water bending masterepisode  legends  the siege of the north part    this is what i think when i read the ’s avatar the last airbender  episodes title</v>
      </c>
      <c r="D682">
        <v>0</v>
      </c>
      <c r="E682">
        <v>0</v>
      </c>
      <c r="F682" t="s">
        <v>0</v>
      </c>
      <c r="G682" t="str" cm="1">
        <f t="array" ref="G682" xml:space="preserve"> FindCountryName(F682)</f>
        <v>None</v>
      </c>
      <c r="H682" s="1">
        <v>45315.963194444441</v>
      </c>
      <c r="I682" s="1">
        <v>45315.963194444441</v>
      </c>
      <c r="J682" s="1">
        <v>42302.793402777781</v>
      </c>
      <c r="K682" cm="1">
        <f t="array" ref="K682" xml:space="preserve"> sentimentCalc(C682)</f>
        <v>3</v>
      </c>
      <c r="L682" t="str" cm="1">
        <f t="array" ref="L682" xml:space="preserve"> sentimentCategory(K682)</f>
        <v>Positive</v>
      </c>
    </row>
    <row r="683" spans="1:12">
      <c r="A683" t="s">
        <v>249</v>
      </c>
      <c r="B683" t="s">
        <v>3896</v>
      </c>
      <c r="C683" t="str" cm="1">
        <f t="array" ref="C683" xml:space="preserve"> CleanText(B683)</f>
        <v>no race swap</v>
      </c>
      <c r="D683">
        <v>1</v>
      </c>
      <c r="E683">
        <v>1</v>
      </c>
      <c r="F683" t="s">
        <v>0</v>
      </c>
      <c r="G683" t="str" cm="1">
        <f t="array" ref="G683" xml:space="preserve"> FindCountryName(F683)</f>
        <v>None</v>
      </c>
      <c r="H683" s="1">
        <v>45315.950833333336</v>
      </c>
      <c r="I683" s="1">
        <v>45315.950833333336</v>
      </c>
      <c r="J683" s="1">
        <v>44581.259305555555</v>
      </c>
      <c r="K683" cm="1">
        <f t="array" ref="K683" xml:space="preserve"> sentimentCalc(C683)</f>
        <v>-1</v>
      </c>
      <c r="L683" t="str" cm="1">
        <f t="array" ref="L683" xml:space="preserve"> sentimentCategory(K683)</f>
        <v>Negative</v>
      </c>
    </row>
    <row r="684" spans="1:12">
      <c r="A684" t="s">
        <v>826</v>
      </c>
      <c r="B684" t="s">
        <v>3895</v>
      </c>
      <c r="C684" t="str" cm="1">
        <f t="array" ref="C684" xml:space="preserve"> CleanText(B684)</f>
        <v>pleeeeeeeeease dont suck</v>
      </c>
      <c r="D684">
        <v>0</v>
      </c>
      <c r="E684">
        <v>0</v>
      </c>
      <c r="F684" t="s">
        <v>0</v>
      </c>
      <c r="G684" t="str" cm="1">
        <f t="array" ref="G684" xml:space="preserve"> FindCountryName(F684)</f>
        <v>None</v>
      </c>
      <c r="H684" s="1">
        <v>45315.918078703704</v>
      </c>
      <c r="I684" s="1">
        <v>45315.918078703704</v>
      </c>
      <c r="J684" s="1">
        <v>40035.78324074074</v>
      </c>
      <c r="K684" cm="1">
        <f t="array" ref="K684" xml:space="preserve"> sentimentCalc(C684)</f>
        <v>-3</v>
      </c>
      <c r="L684" t="str" cm="1">
        <f t="array" ref="L684" xml:space="preserve"> sentimentCategory(K684)</f>
        <v>Negative</v>
      </c>
    </row>
    <row r="685" spans="1:12">
      <c r="A685" t="s">
        <v>3894</v>
      </c>
      <c r="B685" t="s">
        <v>3893</v>
      </c>
      <c r="C685" t="str" cm="1">
        <f t="array" ref="C685" xml:space="preserve"> CleanText(B685)</f>
        <v>but but sokkas white</v>
      </c>
      <c r="D685">
        <v>0</v>
      </c>
      <c r="E685">
        <v>0</v>
      </c>
      <c r="F685" t="s">
        <v>39</v>
      </c>
      <c r="G685" t="str" cm="1">
        <f t="array" ref="G685" xml:space="preserve"> FindCountryName(F685)</f>
        <v>United Kingdom of Great Britain and Northern Ireland (the)</v>
      </c>
      <c r="H685" s="1">
        <v>45315.916273148148</v>
      </c>
      <c r="I685" s="1">
        <v>45315.916875000003</v>
      </c>
      <c r="J685" s="1">
        <v>41592.295810185184</v>
      </c>
      <c r="K685" cm="1">
        <f t="array" ref="K685" xml:space="preserve"> sentimentCalc(C685)</f>
        <v>0</v>
      </c>
      <c r="L685" t="str" cm="1">
        <f t="array" ref="L685" xml:space="preserve"> sentimentCategory(K685)</f>
        <v>Neutral</v>
      </c>
    </row>
    <row r="686" spans="1:12">
      <c r="A686" t="s">
        <v>106</v>
      </c>
      <c r="B686" t="s">
        <v>3892</v>
      </c>
      <c r="C686" t="str" cm="1">
        <f t="array" ref="C686" xml:space="preserve"> CleanText(B686)</f>
        <v>will toph be in this</v>
      </c>
      <c r="D686">
        <v>0</v>
      </c>
      <c r="E686">
        <v>1</v>
      </c>
      <c r="F686" t="s">
        <v>0</v>
      </c>
      <c r="G686" t="str" cm="1">
        <f t="array" ref="G686" xml:space="preserve"> FindCountryName(F686)</f>
        <v>None</v>
      </c>
      <c r="H686" s="1">
        <v>45315.889178240737</v>
      </c>
      <c r="I686" s="1">
        <v>45315.889178240737</v>
      </c>
      <c r="J686" s="1">
        <v>41270.934918981482</v>
      </c>
      <c r="K686" cm="1">
        <f t="array" ref="K686" xml:space="preserve"> sentimentCalc(C686)</f>
        <v>0</v>
      </c>
      <c r="L686" t="str" cm="1">
        <f t="array" ref="L686" xml:space="preserve"> sentimentCategory(K686)</f>
        <v>Neutral</v>
      </c>
    </row>
    <row r="687" spans="1:12">
      <c r="A687" t="s">
        <v>3891</v>
      </c>
      <c r="B687" t="s">
        <v>3890</v>
      </c>
      <c r="C687" t="str" cm="1">
        <f t="array" ref="C687" xml:space="preserve"> CleanText(B687)</f>
        <v>finally _xDD79_️_xD83D_</v>
      </c>
      <c r="D687">
        <v>0</v>
      </c>
      <c r="E687">
        <v>0</v>
      </c>
      <c r="F687" t="s">
        <v>98</v>
      </c>
      <c r="G687" t="str" cm="1">
        <f t="array" ref="G687" xml:space="preserve"> FindCountryName(F687)</f>
        <v>India</v>
      </c>
      <c r="H687" s="1">
        <v>45315.875613425924</v>
      </c>
      <c r="I687" s="1">
        <v>45315.875613425924</v>
      </c>
      <c r="J687" s="1">
        <v>41808.23978009259</v>
      </c>
      <c r="K687" cm="1">
        <f t="array" ref="K687" xml:space="preserve"> sentimentCalc(C687)</f>
        <v>0</v>
      </c>
      <c r="L687" t="str" cm="1">
        <f t="array" ref="L687" xml:space="preserve"> sentimentCategory(K687)</f>
        <v>Neutral</v>
      </c>
    </row>
    <row r="688" spans="1:12">
      <c r="A688" t="s">
        <v>153</v>
      </c>
      <c r="B688" t="s">
        <v>3889</v>
      </c>
      <c r="C688" t="str" cm="1">
        <f t="array" ref="C688" xml:space="preserve"> CleanText(B688)</f>
        <v>please dont take this as rant as it is not intended that way  why is it so important that great animation showsmovies be turned in to live action offerings  thank you again this is not a rant but a legitimate want to understand this</v>
      </c>
      <c r="D688">
        <v>0</v>
      </c>
      <c r="E688">
        <v>1</v>
      </c>
      <c r="F688" t="s">
        <v>0</v>
      </c>
      <c r="G688" t="str" cm="1">
        <f t="array" ref="G688" xml:space="preserve"> FindCountryName(F688)</f>
        <v>None</v>
      </c>
      <c r="H688" s="1">
        <v>45315.867199074077</v>
      </c>
      <c r="I688" s="1">
        <v>45315.867199074077</v>
      </c>
      <c r="J688" s="1">
        <v>40199.795347222222</v>
      </c>
      <c r="K688" cm="1">
        <f t="array" ref="K688" xml:space="preserve"> sentimentCalc(C688)</f>
        <v>3</v>
      </c>
      <c r="L688" t="str" cm="1">
        <f t="array" ref="L688" xml:space="preserve"> sentimentCategory(K688)</f>
        <v>Positive</v>
      </c>
    </row>
    <row r="689" spans="1:12">
      <c r="A689" t="s">
        <v>3888</v>
      </c>
      <c r="B689" t="s">
        <v>3887</v>
      </c>
      <c r="C689" t="str" cm="1">
        <f t="array" ref="C689" xml:space="preserve"> CleanText(B689)</f>
        <v>i love everything but sokka and katara supposed to be dark skinned like wtf</v>
      </c>
      <c r="D689">
        <v>0</v>
      </c>
      <c r="E689">
        <v>2</v>
      </c>
      <c r="F689" t="s">
        <v>0</v>
      </c>
      <c r="G689" t="str" cm="1">
        <f t="array" ref="G689" xml:space="preserve"> FindCountryName(F689)</f>
        <v>None</v>
      </c>
      <c r="H689" s="1">
        <v>45315.842349537037</v>
      </c>
      <c r="I689" s="1">
        <v>45315.842349537037</v>
      </c>
      <c r="J689" s="1">
        <v>41792.948611111111</v>
      </c>
      <c r="K689" cm="1">
        <f t="array" ref="K689" xml:space="preserve"> sentimentCalc(C689)</f>
        <v>5</v>
      </c>
      <c r="L689" t="str" cm="1">
        <f t="array" ref="L689" xml:space="preserve"> sentimentCategory(K689)</f>
        <v>Positive</v>
      </c>
    </row>
    <row r="690" spans="1:12">
      <c r="A690" t="s">
        <v>462</v>
      </c>
      <c r="B690" t="s">
        <v>3886</v>
      </c>
      <c r="C690" t="str" cm="1">
        <f t="array" ref="C690" xml:space="preserve"> CleanText(B690)</f>
        <v>azula looks awesome this is going to break the net when its release tybw coming out closely after</v>
      </c>
      <c r="D690">
        <v>0</v>
      </c>
      <c r="E690">
        <v>0</v>
      </c>
      <c r="F690" t="s">
        <v>0</v>
      </c>
      <c r="G690" t="str" cm="1">
        <f t="array" ref="G690" xml:space="preserve"> FindCountryName(F690)</f>
        <v>None</v>
      </c>
      <c r="H690" s="1">
        <v>45315.828113425923</v>
      </c>
      <c r="I690" s="1">
        <v>45315.828113425923</v>
      </c>
      <c r="J690" s="1">
        <v>41886.583402777775</v>
      </c>
      <c r="K690" cm="1">
        <f t="array" ref="K690" xml:space="preserve"> sentimentCalc(C690)</f>
        <v>4</v>
      </c>
      <c r="L690" t="str" cm="1">
        <f t="array" ref="L690" xml:space="preserve"> sentimentCategory(K690)</f>
        <v>Positive</v>
      </c>
    </row>
    <row r="691" spans="1:12">
      <c r="A691" t="s">
        <v>317</v>
      </c>
      <c r="B691" t="s">
        <v>3885</v>
      </c>
      <c r="C691" t="str" cm="1">
        <f t="array" ref="C691" xml:space="preserve"> CleanText(B691)</f>
        <v>straight away the music  casting and fights seems better than that movie we will not mention  only critique now is that anything from netflix seems to have that super glossy clean look  particularly on the costumes</v>
      </c>
      <c r="D691">
        <v>0</v>
      </c>
      <c r="E691">
        <v>0</v>
      </c>
      <c r="F691" t="s">
        <v>0</v>
      </c>
      <c r="G691" t="str" cm="1">
        <f t="array" ref="G691" xml:space="preserve"> FindCountryName(F691)</f>
        <v>None</v>
      </c>
      <c r="H691" s="1">
        <v>45315.801296296297</v>
      </c>
      <c r="I691" s="1">
        <v>45315.801296296297</v>
      </c>
      <c r="J691" s="1">
        <v>40974.435057870367</v>
      </c>
      <c r="K691" cm="1">
        <f t="array" ref="K691" xml:space="preserve"> sentimentCalc(C691)</f>
        <v>8</v>
      </c>
      <c r="L691" t="str" cm="1">
        <f t="array" ref="L691" xml:space="preserve"> sentimentCategory(K691)</f>
        <v>Positive</v>
      </c>
    </row>
    <row r="692" spans="1:12">
      <c r="A692" t="s">
        <v>1096</v>
      </c>
      <c r="B692" t="s">
        <v>3884</v>
      </c>
      <c r="C692" t="str" cm="1">
        <f t="array" ref="C692" xml:space="preserve"> CleanText(B692)</f>
        <v>theyre going to mint millions from this millions</v>
      </c>
      <c r="D692">
        <v>0</v>
      </c>
      <c r="E692">
        <v>0</v>
      </c>
      <c r="F692" t="s">
        <v>0</v>
      </c>
      <c r="G692" t="str" cm="1">
        <f t="array" ref="G692" xml:space="preserve"> FindCountryName(F692)</f>
        <v>None</v>
      </c>
      <c r="H692" s="1">
        <v>45315.774131944447</v>
      </c>
      <c r="I692" s="1">
        <v>45315.774131944447</v>
      </c>
      <c r="J692" s="1">
        <v>41525.934270833335</v>
      </c>
      <c r="K692" cm="1">
        <f t="array" ref="K692" xml:space="preserve"> sentimentCalc(C692)</f>
        <v>0</v>
      </c>
      <c r="L692" t="str" cm="1">
        <f t="array" ref="L692" xml:space="preserve"> sentimentCategory(K692)</f>
        <v>Neutral</v>
      </c>
    </row>
    <row r="693" spans="1:12">
      <c r="A693" t="s">
        <v>23</v>
      </c>
      <c r="B693" t="s">
        <v>3883</v>
      </c>
      <c r="C693" t="str" cm="1">
        <f t="array" ref="C693" xml:space="preserve"> CleanText(B693)</f>
        <v>esta sera ser genial si mantiene su esencia ademsavatar fue una anime que no tuvo tantos episodios sea que se espera que esta serie sea completa _xDE0A_</v>
      </c>
      <c r="D693">
        <v>0</v>
      </c>
      <c r="E693">
        <v>0</v>
      </c>
      <c r="F693" t="s">
        <v>0</v>
      </c>
      <c r="G693" t="str" cm="1">
        <f t="array" ref="G693" xml:space="preserve"> FindCountryName(F693)</f>
        <v>None</v>
      </c>
      <c r="H693" s="1">
        <v>45315.771898148145</v>
      </c>
      <c r="I693" s="1">
        <v>45315.771898148145</v>
      </c>
      <c r="J693" s="1">
        <v>45156.823703703703</v>
      </c>
      <c r="K693" cm="1">
        <f t="array" ref="K693" xml:space="preserve"> sentimentCalc(C693)</f>
        <v>2</v>
      </c>
      <c r="L693" t="str" cm="1">
        <f t="array" ref="L693" xml:space="preserve"> sentimentCategory(K693)</f>
        <v>Positive</v>
      </c>
    </row>
    <row r="694" spans="1:12">
      <c r="A694" t="s">
        <v>221</v>
      </c>
      <c r="B694" t="s">
        <v>3882</v>
      </c>
      <c r="C694" t="str" cm="1">
        <f t="array" ref="C694" xml:space="preserve"> CleanText(B694)</f>
        <v>the possible official redemption arc of the live action of atla</v>
      </c>
      <c r="D694">
        <v>1</v>
      </c>
      <c r="E694">
        <v>0</v>
      </c>
      <c r="F694" t="s">
        <v>0</v>
      </c>
      <c r="G694" t="str" cm="1">
        <f t="array" ref="G694" xml:space="preserve"> FindCountryName(F694)</f>
        <v>None</v>
      </c>
      <c r="H694" s="1">
        <v>45315.746168981481</v>
      </c>
      <c r="I694" s="1">
        <v>45315.746168981481</v>
      </c>
      <c r="J694" s="1">
        <v>41274.694374999999</v>
      </c>
      <c r="K694" cm="1">
        <f t="array" ref="K694" xml:space="preserve"> sentimentCalc(C694)</f>
        <v>0</v>
      </c>
      <c r="L694" t="str" cm="1">
        <f t="array" ref="L694" xml:space="preserve"> sentimentCategory(K694)</f>
        <v>Neutral</v>
      </c>
    </row>
    <row r="695" spans="1:12">
      <c r="A695" t="s">
        <v>730</v>
      </c>
      <c r="B695" t="s">
        <v>3881</v>
      </c>
      <c r="C695" t="str" cm="1">
        <f t="array" ref="C695" xml:space="preserve"> CleanText(B695)</f>
        <v>they should have used the same cast from the movie</v>
      </c>
      <c r="D695">
        <v>0</v>
      </c>
      <c r="E695">
        <v>0</v>
      </c>
      <c r="F695" t="s">
        <v>0</v>
      </c>
      <c r="G695" t="str" cm="1">
        <f t="array" ref="G695" xml:space="preserve"> FindCountryName(F695)</f>
        <v>None</v>
      </c>
      <c r="H695" s="1">
        <v>45315.724548611113</v>
      </c>
      <c r="I695" s="1">
        <v>45315.724548611113</v>
      </c>
      <c r="J695" s="1">
        <v>42055.889988425923</v>
      </c>
      <c r="K695" cm="1">
        <f t="array" ref="K695" xml:space="preserve"> sentimentCalc(C695)</f>
        <v>0</v>
      </c>
      <c r="L695" t="str" cm="1">
        <f t="array" ref="L695" xml:space="preserve"> sentimentCategory(K695)</f>
        <v>Neutral</v>
      </c>
    </row>
    <row r="696" spans="1:12">
      <c r="A696" t="s">
        <v>1803</v>
      </c>
      <c r="B696" t="s">
        <v>3880</v>
      </c>
      <c r="C696" t="str" cm="1">
        <f t="array" ref="C696" xml:space="preserve"> CleanText(B696)</f>
        <v>if this live action goes well do you think they will add more seasons of the avatar last airbender animated show or not</v>
      </c>
      <c r="D696">
        <v>0</v>
      </c>
      <c r="E696">
        <v>1</v>
      </c>
      <c r="F696" t="s">
        <v>0</v>
      </c>
      <c r="G696" t="str" cm="1">
        <f t="array" ref="G696" xml:space="preserve"> FindCountryName(F696)</f>
        <v>None</v>
      </c>
      <c r="H696" s="1">
        <v>45315.723506944443</v>
      </c>
      <c r="I696" s="1">
        <v>45315.723506944443</v>
      </c>
      <c r="J696" s="1">
        <v>44815.472268518519</v>
      </c>
      <c r="K696" cm="1">
        <f t="array" ref="K696" xml:space="preserve"> sentimentCalc(C696)</f>
        <v>0</v>
      </c>
      <c r="L696" t="str" cm="1">
        <f t="array" ref="L696" xml:space="preserve"> sentimentCategory(K696)</f>
        <v>Neutral</v>
      </c>
    </row>
    <row r="697" spans="1:12">
      <c r="A697" t="s">
        <v>361</v>
      </c>
      <c r="B697" t="s">
        <v>3879</v>
      </c>
      <c r="C697" t="str" cm="1">
        <f t="array" ref="C697" xml:space="preserve"> CleanText(B697)</f>
        <v>this is what shadow and bone would have been</v>
      </c>
      <c r="D697">
        <v>0</v>
      </c>
      <c r="E697">
        <v>1</v>
      </c>
      <c r="F697" t="s">
        <v>0</v>
      </c>
      <c r="G697" t="str" cm="1">
        <f t="array" ref="G697" xml:space="preserve"> FindCountryName(F697)</f>
        <v>None</v>
      </c>
      <c r="H697" s="1">
        <v>45315.684293981481</v>
      </c>
      <c r="I697" s="1">
        <v>45315.684293981481</v>
      </c>
      <c r="J697" s="1">
        <v>42822.778136574074</v>
      </c>
      <c r="K697" cm="1">
        <f t="array" ref="K697" xml:space="preserve"> sentimentCalc(C697)</f>
        <v>0</v>
      </c>
      <c r="L697" t="str" cm="1">
        <f t="array" ref="L697" xml:space="preserve"> sentimentCategory(K697)</f>
        <v>Neutral</v>
      </c>
    </row>
    <row r="698" spans="1:12">
      <c r="A698" t="s">
        <v>710</v>
      </c>
      <c r="B698" t="s">
        <v>3878</v>
      </c>
      <c r="C698" t="str" cm="1">
        <f t="array" ref="C698" xml:space="preserve"> CleanText(B698)</f>
        <v>each scene including characters look replicated from the animated series i am going to luv it</v>
      </c>
      <c r="D698">
        <v>0</v>
      </c>
      <c r="E698">
        <v>0</v>
      </c>
      <c r="F698" t="s">
        <v>0</v>
      </c>
      <c r="G698" t="str" cm="1">
        <f t="array" ref="G698" xml:space="preserve"> FindCountryName(F698)</f>
        <v>None</v>
      </c>
      <c r="H698" s="1">
        <v>45315.680034722223</v>
      </c>
      <c r="I698" s="1">
        <v>45315.680034722223</v>
      </c>
      <c r="J698" s="1">
        <v>40917.459618055553</v>
      </c>
      <c r="K698" cm="1">
        <f t="array" ref="K698" xml:space="preserve"> sentimentCalc(C698)</f>
        <v>0</v>
      </c>
      <c r="L698" t="str" cm="1">
        <f t="array" ref="L698" xml:space="preserve"> sentimentCategory(K698)</f>
        <v>Neutral</v>
      </c>
    </row>
    <row r="699" spans="1:12">
      <c r="A699" t="s">
        <v>273</v>
      </c>
      <c r="B699" t="s">
        <v>3877</v>
      </c>
      <c r="C699" t="str" cm="1">
        <f t="array" ref="C699" xml:space="preserve"> CleanText(B699)</f>
        <v>suss</v>
      </c>
      <c r="D699">
        <v>0</v>
      </c>
      <c r="E699">
        <v>0</v>
      </c>
      <c r="F699" t="s">
        <v>0</v>
      </c>
      <c r="G699" t="str" cm="1">
        <f t="array" ref="G699" xml:space="preserve"> FindCountryName(F699)</f>
        <v>None</v>
      </c>
      <c r="H699" s="1">
        <v>45315.678761574076</v>
      </c>
      <c r="I699" s="1">
        <v>45315.678761574076</v>
      </c>
      <c r="J699" s="1">
        <v>44009.355752314812</v>
      </c>
      <c r="K699" cm="1">
        <f t="array" ref="K699" xml:space="preserve"> sentimentCalc(C699)</f>
        <v>0</v>
      </c>
      <c r="L699" t="str" cm="1">
        <f t="array" ref="L699" xml:space="preserve"> sentimentCategory(K699)</f>
        <v>Neutral</v>
      </c>
    </row>
    <row r="700" spans="1:12">
      <c r="A700" t="s">
        <v>2449</v>
      </c>
      <c r="B700" t="s">
        <v>3876</v>
      </c>
      <c r="C700" t="str" cm="1">
        <f t="array" ref="C700" xml:space="preserve"> CleanText(B700)</f>
        <v>looks fantastic really hope netflix doesnt break my heart</v>
      </c>
      <c r="D700">
        <v>0</v>
      </c>
      <c r="E700">
        <v>0</v>
      </c>
      <c r="F700" t="s">
        <v>0</v>
      </c>
      <c r="G700" t="str" cm="1">
        <f t="array" ref="G700" xml:space="preserve"> FindCountryName(F700)</f>
        <v>None</v>
      </c>
      <c r="H700" s="1">
        <v>45315.668553240743</v>
      </c>
      <c r="I700" s="1">
        <v>45315.668553240743</v>
      </c>
      <c r="J700" s="1">
        <v>39131.678240740737</v>
      </c>
      <c r="K700" cm="1">
        <f t="array" ref="K700" xml:space="preserve"> sentimentCalc(C700)</f>
        <v>6</v>
      </c>
      <c r="L700" t="str" cm="1">
        <f t="array" ref="L700" xml:space="preserve"> sentimentCategory(K700)</f>
        <v>Positive</v>
      </c>
    </row>
    <row r="701" spans="1:12">
      <c r="A701" t="s">
        <v>239</v>
      </c>
      <c r="B701" t="s">
        <v>3875</v>
      </c>
      <c r="C701" t="str" cm="1">
        <f t="array" ref="C701" xml:space="preserve"> CleanText(B701)</f>
        <v>i cant wait till this comes out</v>
      </c>
      <c r="D701">
        <v>0</v>
      </c>
      <c r="E701">
        <v>0</v>
      </c>
      <c r="F701" t="s">
        <v>0</v>
      </c>
      <c r="G701" t="str" cm="1">
        <f t="array" ref="G701" xml:space="preserve"> FindCountryName(F701)</f>
        <v>None</v>
      </c>
      <c r="H701" s="1">
        <v>45315.662858796299</v>
      </c>
      <c r="I701" s="1">
        <v>45315.662858796299</v>
      </c>
      <c r="J701" s="1">
        <v>43959.007893518516</v>
      </c>
      <c r="K701" cm="1">
        <f t="array" ref="K701" xml:space="preserve"> sentimentCalc(C701)</f>
        <v>0</v>
      </c>
      <c r="L701" t="str" cm="1">
        <f t="array" ref="L701" xml:space="preserve"> sentimentCategory(K701)</f>
        <v>Neutral</v>
      </c>
    </row>
    <row r="702" spans="1:12">
      <c r="A702" t="s">
        <v>3874</v>
      </c>
      <c r="B702" t="s">
        <v>3873</v>
      </c>
      <c r="C702" t="str" cm="1">
        <f t="array" ref="C702" xml:space="preserve"> CleanText(B702)</f>
        <v>i better see a cabbage man cameo</v>
      </c>
      <c r="D702">
        <v>0</v>
      </c>
      <c r="E702">
        <v>0</v>
      </c>
      <c r="F702" t="s">
        <v>0</v>
      </c>
      <c r="G702" t="str" cm="1">
        <f t="array" ref="G702" xml:space="preserve"> FindCountryName(F702)</f>
        <v>None</v>
      </c>
      <c r="H702" s="1">
        <v>45315.639143518521</v>
      </c>
      <c r="I702" s="1">
        <v>45315.639143518521</v>
      </c>
      <c r="J702" s="1">
        <v>45308.754629629628</v>
      </c>
      <c r="K702" cm="1">
        <f t="array" ref="K702" xml:space="preserve"> sentimentCalc(C702)</f>
        <v>2</v>
      </c>
      <c r="L702" t="str" cm="1">
        <f t="array" ref="L702" xml:space="preserve"> sentimentCategory(K702)</f>
        <v>Positive</v>
      </c>
    </row>
    <row r="703" spans="1:12">
      <c r="A703" t="s">
        <v>1478</v>
      </c>
      <c r="B703" t="s">
        <v>3872</v>
      </c>
      <c r="C703" t="str" cm="1">
        <f t="array" ref="C703" xml:space="preserve"> CleanText(B703)</f>
        <v>ill cry _xDE2D_ is just the same as the cartoon</v>
      </c>
      <c r="D703">
        <v>0</v>
      </c>
      <c r="E703">
        <v>0</v>
      </c>
      <c r="F703" t="s">
        <v>0</v>
      </c>
      <c r="G703" t="str" cm="1">
        <f t="array" ref="G703" xml:space="preserve"> FindCountryName(F703)</f>
        <v>None</v>
      </c>
      <c r="H703" s="1">
        <v>45315.583252314813</v>
      </c>
      <c r="I703" s="1">
        <v>45315.583252314813</v>
      </c>
      <c r="J703" s="1">
        <v>43953.03429398148</v>
      </c>
      <c r="K703" cm="1">
        <f t="array" ref="K703" xml:space="preserve"> sentimentCalc(C703)</f>
        <v>-3</v>
      </c>
      <c r="L703" t="str" cm="1">
        <f t="array" ref="L703" xml:space="preserve"> sentimentCategory(K703)</f>
        <v>Negative</v>
      </c>
    </row>
    <row r="704" spans="1:12">
      <c r="A704" t="s">
        <v>3871</v>
      </c>
      <c r="B704" t="s">
        <v>3870</v>
      </c>
      <c r="C704" t="str" cm="1">
        <f t="array" ref="C704" xml:space="preserve"> CleanText(B704)</f>
        <v>netflix bring the hope for animation live action</v>
      </c>
      <c r="D704">
        <v>0</v>
      </c>
      <c r="E704">
        <v>0</v>
      </c>
      <c r="F704" t="s">
        <v>0</v>
      </c>
      <c r="G704" t="str" cm="1">
        <f t="array" ref="G704" xml:space="preserve"> FindCountryName(F704)</f>
        <v>None</v>
      </c>
      <c r="H704" s="1">
        <v>45315.557893518519</v>
      </c>
      <c r="I704" s="1">
        <v>45315.557893518519</v>
      </c>
      <c r="J704" s="1">
        <v>45135.813842592594</v>
      </c>
      <c r="K704" cm="1">
        <f t="array" ref="K704" xml:space="preserve"> sentimentCalc(C704)</f>
        <v>2</v>
      </c>
      <c r="L704" t="str" cm="1">
        <f t="array" ref="L704" xml:space="preserve"> sentimentCategory(K704)</f>
        <v>Positive</v>
      </c>
    </row>
    <row r="705" spans="1:12">
      <c r="A705" t="s">
        <v>1446</v>
      </c>
      <c r="B705" t="s">
        <v>3869</v>
      </c>
      <c r="C705" t="str" cm="1">
        <f t="array" ref="C705" xml:space="preserve"> CleanText(B705)</f>
        <v>у срл л лм n</v>
      </c>
      <c r="D705">
        <v>0</v>
      </c>
      <c r="E705">
        <v>0</v>
      </c>
      <c r="F705" t="s">
        <v>0</v>
      </c>
      <c r="G705" t="str" cm="1">
        <f t="array" ref="G705" xml:space="preserve"> FindCountryName(F705)</f>
        <v>None</v>
      </c>
      <c r="H705" s="1">
        <v>45315.551388888889</v>
      </c>
      <c r="I705" s="1">
        <v>45315.551388888889</v>
      </c>
      <c r="J705" s="1">
        <v>42891.243379629632</v>
      </c>
      <c r="K705" cm="1">
        <f t="array" ref="K705" xml:space="preserve"> sentimentCalc(C705)</f>
        <v>0</v>
      </c>
      <c r="L705" t="str" cm="1">
        <f t="array" ref="L705" xml:space="preserve"> sentimentCategory(K705)</f>
        <v>Neutral</v>
      </c>
    </row>
    <row r="706" spans="1:12">
      <c r="A706" t="s">
        <v>1715</v>
      </c>
      <c r="B706" t="s">
        <v>3868</v>
      </c>
      <c r="C706" t="str" cm="1">
        <f t="array" ref="C706" xml:space="preserve"> CleanText(B706)</f>
        <v>there is no live action movie in ba sing say</v>
      </c>
      <c r="D706">
        <v>0</v>
      </c>
      <c r="E706">
        <v>0</v>
      </c>
      <c r="F706" t="s">
        <v>0</v>
      </c>
      <c r="G706" t="str" cm="1">
        <f t="array" ref="G706" xml:space="preserve"> FindCountryName(F706)</f>
        <v>None</v>
      </c>
      <c r="H706" s="1">
        <v>45315.546423611115</v>
      </c>
      <c r="I706" s="1">
        <v>45315.546423611115</v>
      </c>
      <c r="J706" s="1">
        <v>43659.701215277775</v>
      </c>
      <c r="K706" cm="1">
        <f t="array" ref="K706" xml:space="preserve"> sentimentCalc(C706)</f>
        <v>-1</v>
      </c>
      <c r="L706" t="str" cm="1">
        <f t="array" ref="L706" xml:space="preserve"> sentimentCategory(K706)</f>
        <v>Negative</v>
      </c>
    </row>
    <row r="707" spans="1:12">
      <c r="A707" t="s">
        <v>291</v>
      </c>
      <c r="B707" t="s">
        <v>3867</v>
      </c>
      <c r="C707" t="str" cm="1">
        <f t="array" ref="C707" xml:space="preserve"> CleanText(B707)</f>
        <v>i believe aamg can save the world  i would never turn my back on people that needs me</v>
      </c>
      <c r="D707">
        <v>3</v>
      </c>
      <c r="E707">
        <v>0</v>
      </c>
      <c r="F707" t="s">
        <v>0</v>
      </c>
      <c r="G707" t="str" cm="1">
        <f t="array" ref="G707" xml:space="preserve"> FindCountryName(F707)</f>
        <v>None</v>
      </c>
      <c r="H707" s="1">
        <v>45315.525775462964</v>
      </c>
      <c r="I707" s="1">
        <v>45315.525775462964</v>
      </c>
      <c r="J707" s="1">
        <v>41852.625555555554</v>
      </c>
      <c r="K707" cm="1">
        <f t="array" ref="K707" xml:space="preserve"> sentimentCalc(C707)</f>
        <v>2</v>
      </c>
      <c r="L707" t="str" cm="1">
        <f t="array" ref="L707" xml:space="preserve"> sentimentCategory(K707)</f>
        <v>Positive</v>
      </c>
    </row>
    <row r="708" spans="1:12">
      <c r="A708" t="s">
        <v>1080</v>
      </c>
      <c r="B708" t="s">
        <v>3866</v>
      </c>
      <c r="C708" t="str" cm="1">
        <f t="array" ref="C708" xml:space="preserve"> CleanText(B708)</f>
        <v>the bending scene is so goooddd</v>
      </c>
      <c r="D708">
        <v>0</v>
      </c>
      <c r="E708">
        <v>0</v>
      </c>
      <c r="F708" t="s">
        <v>0</v>
      </c>
      <c r="G708" t="str" cm="1">
        <f t="array" ref="G708" xml:space="preserve"> FindCountryName(F708)</f>
        <v>None</v>
      </c>
      <c r="H708" s="1">
        <v>45315.521481481483</v>
      </c>
      <c r="I708" s="1">
        <v>45315.521481481483</v>
      </c>
      <c r="J708" s="1">
        <v>44658.077650462961</v>
      </c>
      <c r="K708" cm="1">
        <f t="array" ref="K708" xml:space="preserve"> sentimentCalc(C708)</f>
        <v>0</v>
      </c>
      <c r="L708" t="str" cm="1">
        <f t="array" ref="L708" xml:space="preserve"> sentimentCategory(K708)</f>
        <v>Neutral</v>
      </c>
    </row>
    <row r="709" spans="1:12">
      <c r="A709" t="s">
        <v>291</v>
      </c>
      <c r="B709" t="s">
        <v>3865</v>
      </c>
      <c r="C709" t="str" cm="1">
        <f t="array" ref="C709" xml:space="preserve"> CleanText(B709)</f>
        <v>_xDE2D__xDE2D__xDE2D_‍‍‍thank you netflix for reliving a childhood we once lived and love thank you</v>
      </c>
      <c r="D709">
        <v>1</v>
      </c>
      <c r="E709">
        <v>0</v>
      </c>
      <c r="F709" t="s">
        <v>0</v>
      </c>
      <c r="G709" t="str" cm="1">
        <f t="array" ref="G709" xml:space="preserve"> FindCountryName(F709)</f>
        <v>None</v>
      </c>
      <c r="H709" s="1">
        <v>45315.518923611111</v>
      </c>
      <c r="I709" s="1">
        <v>45315.518923611111</v>
      </c>
      <c r="J709" s="1">
        <v>41852.625555555554</v>
      </c>
      <c r="K709" cm="1">
        <f t="array" ref="K709" xml:space="preserve"> sentimentCalc(C709)</f>
        <v>5</v>
      </c>
      <c r="L709" t="str" cm="1">
        <f t="array" ref="L709" xml:space="preserve"> sentimentCategory(K709)</f>
        <v>Positive</v>
      </c>
    </row>
    <row r="710" spans="1:12">
      <c r="A710" t="s">
        <v>3864</v>
      </c>
      <c r="B710" t="s">
        <v>3863</v>
      </c>
      <c r="C710" t="str" cm="1">
        <f t="array" ref="C710" xml:space="preserve"> CleanText(B710)</f>
        <v>instead of making liveaction remakes of the same first few episodes of the show why dont they just make a new season of the animated show id rather see new episodes than the same live aciton bs theres still plenty of story to tell im so sick of seeing child actors with no charisma or acting skills try to take on these roles the animated show will always be better</v>
      </c>
      <c r="D710">
        <v>0</v>
      </c>
      <c r="E710">
        <v>0</v>
      </c>
      <c r="F710" t="s">
        <v>19</v>
      </c>
      <c r="G710" t="str" cm="1">
        <f t="array" ref="G710" xml:space="preserve"> FindCountryName(F710)</f>
        <v>United States of America (the)</v>
      </c>
      <c r="H710" s="1">
        <v>45315.503113425926</v>
      </c>
      <c r="I710" s="1">
        <v>45315.503113425926</v>
      </c>
      <c r="J710" s="1">
        <v>43577.741388888891</v>
      </c>
      <c r="K710" cm="1">
        <f t="array" ref="K710" xml:space="preserve"> sentimentCalc(C710)</f>
        <v>-1</v>
      </c>
      <c r="L710" t="str" cm="1">
        <f t="array" ref="L710" xml:space="preserve"> sentimentCategory(K710)</f>
        <v>Negative</v>
      </c>
    </row>
    <row r="711" spans="1:12">
      <c r="A711" t="s">
        <v>139</v>
      </c>
      <c r="B711" t="s">
        <v>3862</v>
      </c>
      <c r="C711" t="str" cm="1">
        <f t="array" ref="C711" xml:space="preserve"> CleanText(B711)</f>
        <v>toph is going to be hopefully as badass as she was in the original metal bending</v>
      </c>
      <c r="D711">
        <v>0</v>
      </c>
      <c r="E711">
        <v>0</v>
      </c>
      <c r="F711" t="s">
        <v>0</v>
      </c>
      <c r="G711" t="str" cm="1">
        <f t="array" ref="G711" xml:space="preserve"> FindCountryName(F711)</f>
        <v>None</v>
      </c>
      <c r="H711" s="1">
        <v>45315.48982638889</v>
      </c>
      <c r="I711" s="1">
        <v>45315.48982638889</v>
      </c>
      <c r="J711" s="1">
        <v>43818.504120370373</v>
      </c>
      <c r="K711" cm="1">
        <f t="array" ref="K711" xml:space="preserve"> sentimentCalc(C711)</f>
        <v>-1</v>
      </c>
      <c r="L711" t="str" cm="1">
        <f t="array" ref="L711" xml:space="preserve"> sentimentCategory(K711)</f>
        <v>Negative</v>
      </c>
    </row>
    <row r="712" spans="1:12">
      <c r="A712" t="s">
        <v>3861</v>
      </c>
      <c r="B712" t="s">
        <v>3860</v>
      </c>
      <c r="C712" t="str" cm="1">
        <f t="array" ref="C712" xml:space="preserve"> CleanText(B712)</f>
        <v>epichow long were waiting for the best animation ever and liveaction</v>
      </c>
      <c r="D712">
        <v>0</v>
      </c>
      <c r="E712">
        <v>0</v>
      </c>
      <c r="F712" t="s">
        <v>0</v>
      </c>
      <c r="G712" t="str" cm="1">
        <f t="array" ref="G712" xml:space="preserve"> FindCountryName(F712)</f>
        <v>None</v>
      </c>
      <c r="H712" s="1">
        <v>45315.489791666667</v>
      </c>
      <c r="I712" s="1">
        <v>45315.489791666667</v>
      </c>
      <c r="J712" s="1">
        <v>45257.069432870368</v>
      </c>
      <c r="K712" cm="1">
        <f t="array" ref="K712" xml:space="preserve"> sentimentCalc(C712)</f>
        <v>3</v>
      </c>
      <c r="L712" t="str" cm="1">
        <f t="array" ref="L712" xml:space="preserve"> sentimentCategory(K712)</f>
        <v>Positive</v>
      </c>
    </row>
    <row r="713" spans="1:12">
      <c r="A713" t="s">
        <v>2065</v>
      </c>
      <c r="B713" t="s">
        <v>3859</v>
      </c>
      <c r="C713" t="str" cm="1">
        <f t="array" ref="C713" xml:space="preserve"> CleanText(B713)</f>
        <v>que bella pelcula</v>
      </c>
      <c r="D713">
        <v>0</v>
      </c>
      <c r="E713">
        <v>0</v>
      </c>
      <c r="F713" t="s">
        <v>0</v>
      </c>
      <c r="G713" t="str" cm="1">
        <f t="array" ref="G713" xml:space="preserve"> FindCountryName(F713)</f>
        <v>None</v>
      </c>
      <c r="H713" s="1">
        <v>45315.481921296298</v>
      </c>
      <c r="I713" s="1">
        <v>45315.481921296298</v>
      </c>
      <c r="J713" s="1">
        <v>45140.035243055558</v>
      </c>
      <c r="K713" cm="1">
        <f t="array" ref="K713" xml:space="preserve"> sentimentCalc(C713)</f>
        <v>0</v>
      </c>
      <c r="L713" t="str" cm="1">
        <f t="array" ref="L713" xml:space="preserve"> sentimentCategory(K713)</f>
        <v>Neutral</v>
      </c>
    </row>
    <row r="714" spans="1:12">
      <c r="A714" t="s">
        <v>1298</v>
      </c>
      <c r="B714" t="s">
        <v>3858</v>
      </c>
      <c r="C714" t="str" cm="1">
        <f t="array" ref="C714" xml:space="preserve"> CleanText(B714)</f>
        <v>wow its amazing</v>
      </c>
      <c r="D714">
        <v>0</v>
      </c>
      <c r="E714">
        <v>0</v>
      </c>
      <c r="F714" t="s">
        <v>0</v>
      </c>
      <c r="G714" t="str" cm="1">
        <f t="array" ref="G714" xml:space="preserve"> FindCountryName(F714)</f>
        <v>None</v>
      </c>
      <c r="H714" s="1">
        <v>45315.477372685185</v>
      </c>
      <c r="I714" s="1">
        <v>45315.477372685185</v>
      </c>
      <c r="J714" s="1">
        <v>40924.396307870367</v>
      </c>
      <c r="K714" cm="1">
        <f t="array" ref="K714" xml:space="preserve"> sentimentCalc(C714)</f>
        <v>8</v>
      </c>
      <c r="L714" t="str" cm="1">
        <f t="array" ref="L714" xml:space="preserve"> sentimentCategory(K714)</f>
        <v>Positive</v>
      </c>
    </row>
    <row r="715" spans="1:12">
      <c r="A715" t="s">
        <v>221</v>
      </c>
      <c r="B715" t="s">
        <v>3857</v>
      </c>
      <c r="C715" t="str" cm="1">
        <f t="array" ref="C715" xml:space="preserve"> CleanText(B715)</f>
        <v>disney should learn from netflix in making live adaptation this is so much better netflix are very good in casting  they really based from original and the effects are way better with budget unlike disney like the current percy jackson the casting of characters sucks the reason why it gets flopped</v>
      </c>
      <c r="D715">
        <v>1</v>
      </c>
      <c r="E715">
        <v>0</v>
      </c>
      <c r="F715" t="s">
        <v>64</v>
      </c>
      <c r="G715" t="str" cm="1">
        <f t="array" ref="G715" xml:space="preserve"> FindCountryName(F715)</f>
        <v>Philippines (the)</v>
      </c>
      <c r="H715" s="1">
        <v>45315.475868055553</v>
      </c>
      <c r="I715" s="1">
        <v>45315.4765162037</v>
      </c>
      <c r="J715" s="1">
        <v>44441.430254629631</v>
      </c>
      <c r="K715" cm="1">
        <f t="array" ref="K715" xml:space="preserve"> sentimentCalc(C715)</f>
        <v>6</v>
      </c>
      <c r="L715" t="str" cm="1">
        <f t="array" ref="L715" xml:space="preserve"> sentimentCategory(K715)</f>
        <v>Positive</v>
      </c>
    </row>
    <row r="716" spans="1:12">
      <c r="A716" t="s">
        <v>415</v>
      </c>
      <c r="B716" t="s">
        <v>3856</v>
      </c>
      <c r="C716" t="str" cm="1">
        <f t="array" ref="C716" xml:space="preserve"> CleanText(B716)</f>
        <v>anything is better than the movie right right</v>
      </c>
      <c r="D716">
        <v>0</v>
      </c>
      <c r="E716">
        <v>0</v>
      </c>
      <c r="F716" t="s">
        <v>19</v>
      </c>
      <c r="G716" t="str" cm="1">
        <f t="array" ref="G716" xml:space="preserve"> FindCountryName(F716)</f>
        <v>United States of America (the)</v>
      </c>
      <c r="H716" s="1">
        <v>45315.417546296296</v>
      </c>
      <c r="I716" s="1">
        <v>45315.417546296296</v>
      </c>
      <c r="J716" s="1">
        <v>41351.775567129633</v>
      </c>
      <c r="K716" cm="1">
        <f t="array" ref="K716" xml:space="preserve"> sentimentCalc(C716)</f>
        <v>2</v>
      </c>
      <c r="L716" t="str" cm="1">
        <f t="array" ref="L716" xml:space="preserve"> sentimentCategory(K716)</f>
        <v>Positive</v>
      </c>
    </row>
    <row r="717" spans="1:12">
      <c r="A717" t="s">
        <v>353</v>
      </c>
      <c r="B717" t="s">
        <v>3855</v>
      </c>
      <c r="C717" t="str" cm="1">
        <f t="array" ref="C717" xml:space="preserve"> CleanText(B717)</f>
        <v>i was thinking about rewatching the animated series again but then again  i think ill watch this i like rewatching stuff but this looks next level</v>
      </c>
      <c r="D717">
        <v>0</v>
      </c>
      <c r="E717">
        <v>0</v>
      </c>
      <c r="F717" t="s">
        <v>0</v>
      </c>
      <c r="G717" t="str" cm="1">
        <f t="array" ref="G717" xml:space="preserve"> FindCountryName(F717)</f>
        <v>None</v>
      </c>
      <c r="H717" s="1">
        <v>45315.394571759258</v>
      </c>
      <c r="I717" s="1">
        <v>45315.394571759258</v>
      </c>
      <c r="J717" s="1">
        <v>44125.649606481478</v>
      </c>
      <c r="K717" cm="1">
        <f t="array" ref="K717" xml:space="preserve"> sentimentCalc(C717)</f>
        <v>0</v>
      </c>
      <c r="L717" t="str" cm="1">
        <f t="array" ref="L717" xml:space="preserve"> sentimentCategory(K717)</f>
        <v>Neutral</v>
      </c>
    </row>
    <row r="718" spans="1:12">
      <c r="A718" t="s">
        <v>735</v>
      </c>
      <c r="B718" t="s">
        <v>3854</v>
      </c>
      <c r="C718" t="str" cm="1">
        <f t="array" ref="C718" xml:space="preserve"> CleanText(B718)</f>
        <v>okay i prefer the mnight shyamalan version</v>
      </c>
      <c r="D718">
        <v>0</v>
      </c>
      <c r="E718">
        <v>3</v>
      </c>
      <c r="F718" t="s">
        <v>1923</v>
      </c>
      <c r="G718" t="str" cm="1">
        <f t="array" ref="G718" xml:space="preserve"> FindCountryName(F718)</f>
        <v>Belgium</v>
      </c>
      <c r="H718" s="1">
        <v>45315.381747685184</v>
      </c>
      <c r="I718" s="1">
        <v>45315.381747685184</v>
      </c>
      <c r="J718" s="1">
        <v>42525.273969907408</v>
      </c>
      <c r="K718" cm="1">
        <f t="array" ref="K718" xml:space="preserve"> sentimentCalc(C718)</f>
        <v>0</v>
      </c>
      <c r="L718" t="str" cm="1">
        <f t="array" ref="L718" xml:space="preserve"> sentimentCategory(K718)</f>
        <v>Neutral</v>
      </c>
    </row>
    <row r="719" spans="1:12">
      <c r="A719" t="s">
        <v>1685</v>
      </c>
      <c r="B719" t="s">
        <v>3853</v>
      </c>
      <c r="C719" t="str" cm="1">
        <f t="array" ref="C719" xml:space="preserve"> CleanText(B719)</f>
        <v>i had a feeling they were going to ruin it honestly whoever was in charge of costume should be fired they probably shouldve took pointers off of the best show you guys ever produced which was in my opinion marco polo whoever designed those costumes shouldve been hired for this movie apparently in feudal japan or at least in that time everyone wore clean clothes and after bottle their clothes were still clean_xDD26__xDFFD_♂ come on people attention to detail so sad but dont worry im sure my sixyearold would love it_xDE44_</v>
      </c>
      <c r="D719">
        <v>0</v>
      </c>
      <c r="E719">
        <v>0</v>
      </c>
      <c r="F719" t="s">
        <v>0</v>
      </c>
      <c r="G719" t="str" cm="1">
        <f t="array" ref="G719" xml:space="preserve"> FindCountryName(F719)</f>
        <v>None</v>
      </c>
      <c r="H719" s="1">
        <v>45315.373344907406</v>
      </c>
      <c r="I719" s="1">
        <v>45315.373344907406</v>
      </c>
      <c r="J719" s="1">
        <v>45269.614108796297</v>
      </c>
      <c r="K719" cm="1">
        <f t="array" ref="K719" xml:space="preserve"> sentimentCalc(C719)</f>
        <v>0</v>
      </c>
      <c r="L719" t="str" cm="1">
        <f t="array" ref="L719" xml:space="preserve"> sentimentCategory(K719)</f>
        <v>Neutral</v>
      </c>
    </row>
    <row r="720" spans="1:12">
      <c r="A720" t="s">
        <v>2817</v>
      </c>
      <c r="B720" t="s">
        <v>3852</v>
      </c>
      <c r="C720" t="str" cm="1">
        <f t="array" ref="C720" xml:space="preserve"> CleanText(B720)</f>
        <v>i thought sokka and katara were black characters _xDE13_</v>
      </c>
      <c r="D720">
        <v>0</v>
      </c>
      <c r="E720">
        <v>1</v>
      </c>
      <c r="F720" t="s">
        <v>3851</v>
      </c>
      <c r="G720" t="str" cm="1">
        <f t="array" ref="G720" xml:space="preserve"> FindCountryName(F720)</f>
        <v>Zimbabwe</v>
      </c>
      <c r="H720" s="1">
        <v>45315.358414351853</v>
      </c>
      <c r="I720" s="1">
        <v>45315.358414351853</v>
      </c>
      <c r="J720" s="1">
        <v>42495.321967592594</v>
      </c>
      <c r="K720" cm="1">
        <f t="array" ref="K720" xml:space="preserve"> sentimentCalc(C720)</f>
        <v>0</v>
      </c>
      <c r="L720" t="str" cm="1">
        <f t="array" ref="L720" xml:space="preserve"> sentimentCategory(K720)</f>
        <v>Neutral</v>
      </c>
    </row>
    <row r="721" spans="1:12">
      <c r="A721" t="s">
        <v>3850</v>
      </c>
      <c r="B721" t="s">
        <v>3849</v>
      </c>
      <c r="C721" t="str" cm="1">
        <f t="array" ref="C721" xml:space="preserve"> CleanText(B721)</f>
        <v>no forced agenda no blacks no gays no lgbt looks like its consistent to the original im in</v>
      </c>
      <c r="D721">
        <v>2</v>
      </c>
      <c r="E721">
        <v>1</v>
      </c>
      <c r="F721" t="s">
        <v>0</v>
      </c>
      <c r="G721" t="str" cm="1">
        <f t="array" ref="G721" xml:space="preserve"> FindCountryName(F721)</f>
        <v>None</v>
      </c>
      <c r="H721" s="1">
        <v>45315.329351851855</v>
      </c>
      <c r="I721" s="1">
        <v>45315.329351851855</v>
      </c>
      <c r="J721" s="1">
        <v>40820.26934027778</v>
      </c>
      <c r="K721" cm="1">
        <f t="array" ref="K721" xml:space="preserve"> sentimentCalc(C721)</f>
        <v>-3</v>
      </c>
      <c r="L721" t="str" cm="1">
        <f t="array" ref="L721" xml:space="preserve"> sentimentCategory(K721)</f>
        <v>Negative</v>
      </c>
    </row>
    <row r="722" spans="1:12">
      <c r="A722" t="s">
        <v>97</v>
      </c>
      <c r="B722" t="s">
        <v>3848</v>
      </c>
      <c r="C722" t="str" cm="1">
        <f t="array" ref="C722" xml:space="preserve"> CleanText(B722)</f>
        <v>this it i want the filmthanks u nexflix</v>
      </c>
      <c r="D722">
        <v>0</v>
      </c>
      <c r="E722">
        <v>0</v>
      </c>
      <c r="F722" t="s">
        <v>0</v>
      </c>
      <c r="G722" t="str" cm="1">
        <f t="array" ref="G722" xml:space="preserve"> FindCountryName(F722)</f>
        <v>None</v>
      </c>
      <c r="H722" s="1">
        <v>45315.212592592594</v>
      </c>
      <c r="I722" s="1">
        <v>45315.212592592594</v>
      </c>
      <c r="J722" s="1">
        <v>43472.740416666667</v>
      </c>
      <c r="K722" cm="1">
        <f t="array" ref="K722" xml:space="preserve"> sentimentCalc(C722)</f>
        <v>1</v>
      </c>
      <c r="L722" t="str" cm="1">
        <f t="array" ref="L722" xml:space="preserve"> sentimentCategory(K722)</f>
        <v>Positive</v>
      </c>
    </row>
    <row r="723" spans="1:12">
      <c r="A723" t="s">
        <v>418</v>
      </c>
      <c r="B723" t="s">
        <v>3847</v>
      </c>
      <c r="C723" t="str" cm="1">
        <f t="array" ref="C723" xml:space="preserve"> CleanText(B723)</f>
        <v>why did they change katara and soka _xDE2D_</v>
      </c>
      <c r="D723">
        <v>0</v>
      </c>
      <c r="E723">
        <v>0</v>
      </c>
      <c r="F723" t="s">
        <v>0</v>
      </c>
      <c r="G723" t="str" cm="1">
        <f t="array" ref="G723" xml:space="preserve"> FindCountryName(F723)</f>
        <v>None</v>
      </c>
      <c r="H723" s="1">
        <v>45315.198217592595</v>
      </c>
      <c r="I723" s="1">
        <v>45315.198217592595</v>
      </c>
      <c r="J723" s="1">
        <v>42273.101504629631</v>
      </c>
      <c r="K723" cm="1">
        <f t="array" ref="K723" xml:space="preserve"> sentimentCalc(C723)</f>
        <v>0</v>
      </c>
      <c r="L723" t="str" cm="1">
        <f t="array" ref="L723" xml:space="preserve"> sentimentCategory(K723)</f>
        <v>Neutral</v>
      </c>
    </row>
    <row r="724" spans="1:12">
      <c r="A724" t="s">
        <v>3805</v>
      </c>
      <c r="B724" t="s">
        <v>3155</v>
      </c>
      <c r="C724" t="str" cm="1">
        <f t="array" ref="C724" xml:space="preserve"> CleanText(B724)</f>
        <v>my name is ong</v>
      </c>
      <c r="D724">
        <v>0</v>
      </c>
      <c r="E724">
        <v>0</v>
      </c>
      <c r="F724" t="s">
        <v>633</v>
      </c>
      <c r="G724" t="str" cm="1">
        <f t="array" ref="G724" xml:space="preserve"> FindCountryName(F724)</f>
        <v>Indonesia</v>
      </c>
      <c r="H724" s="1">
        <v>45315.182708333334</v>
      </c>
      <c r="I724" s="1">
        <v>45315.182708333334</v>
      </c>
      <c r="J724" s="1">
        <v>42219.864745370367</v>
      </c>
      <c r="K724" cm="1">
        <f t="array" ref="K724" xml:space="preserve"> sentimentCalc(C724)</f>
        <v>0</v>
      </c>
      <c r="L724" t="str" cm="1">
        <f t="array" ref="L724" xml:space="preserve"> sentimentCategory(K724)</f>
        <v>Neutral</v>
      </c>
    </row>
    <row r="725" spans="1:12">
      <c r="A725" t="s">
        <v>1565</v>
      </c>
      <c r="B725" t="s">
        <v>3846</v>
      </c>
      <c r="C725" t="str" cm="1">
        <f t="array" ref="C725" xml:space="preserve"> CleanText(B725)</f>
        <v>sorry but this looks like shit not convinced yet but happy to have my mind changed</v>
      </c>
      <c r="D725">
        <v>0</v>
      </c>
      <c r="E725">
        <v>1</v>
      </c>
      <c r="F725" t="s">
        <v>0</v>
      </c>
      <c r="G725" t="str" cm="1">
        <f t="array" ref="G725" xml:space="preserve"> FindCountryName(F725)</f>
        <v>None</v>
      </c>
      <c r="H725" s="1">
        <v>45315.145092592589</v>
      </c>
      <c r="I725" s="1">
        <v>45315.145092592589</v>
      </c>
      <c r="J725" s="1">
        <v>43897.522986111115</v>
      </c>
      <c r="K725" cm="1">
        <f t="array" ref="K725" xml:space="preserve"> sentimentCalc(C725)</f>
        <v>5</v>
      </c>
      <c r="L725" t="str" cm="1">
        <f t="array" ref="L725" xml:space="preserve"> sentimentCategory(K725)</f>
        <v>Positive</v>
      </c>
    </row>
    <row r="726" spans="1:12">
      <c r="A726" t="s">
        <v>697</v>
      </c>
      <c r="B726" t="s">
        <v>3845</v>
      </c>
      <c r="C726" t="str" cm="1">
        <f t="array" ref="C726" xml:space="preserve"> CleanText(B726)</f>
        <v>love this</v>
      </c>
      <c r="D726">
        <v>0</v>
      </c>
      <c r="E726">
        <v>0</v>
      </c>
      <c r="F726" t="s">
        <v>0</v>
      </c>
      <c r="G726" t="str" cm="1">
        <f t="array" ref="G726" xml:space="preserve"> FindCountryName(F726)</f>
        <v>None</v>
      </c>
      <c r="H726" s="1">
        <v>45315.115300925929</v>
      </c>
      <c r="I726" s="1">
        <v>45315.115300925929</v>
      </c>
      <c r="J726" s="1">
        <v>42497.434976851851</v>
      </c>
      <c r="K726" cm="1">
        <f t="array" ref="K726" xml:space="preserve"> sentimentCalc(C726)</f>
        <v>3</v>
      </c>
      <c r="L726" t="str" cm="1">
        <f t="array" ref="L726" xml:space="preserve"> sentimentCategory(K726)</f>
        <v>Positive</v>
      </c>
    </row>
    <row r="727" spans="1:12">
      <c r="A727" t="s">
        <v>1874</v>
      </c>
      <c r="B727" t="s">
        <v>457</v>
      </c>
      <c r="C727" t="str" cm="1">
        <f t="array" ref="C727" xml:space="preserve"> CleanText(B727)</f>
        <v>n</v>
      </c>
      <c r="D727">
        <v>0</v>
      </c>
      <c r="E727">
        <v>0</v>
      </c>
      <c r="F727" t="s">
        <v>0</v>
      </c>
      <c r="G727" t="str" cm="1">
        <f t="array" ref="G727" xml:space="preserve"> FindCountryName(F727)</f>
        <v>None</v>
      </c>
      <c r="H727" s="1">
        <v>45315.037499999999</v>
      </c>
      <c r="I727" s="1">
        <v>45315.037499999999</v>
      </c>
      <c r="J727" s="1">
        <v>43911.82545138889</v>
      </c>
      <c r="K727" cm="1">
        <f t="array" ref="K727" xml:space="preserve"> sentimentCalc(C727)</f>
        <v>0</v>
      </c>
      <c r="L727" t="str" cm="1">
        <f t="array" ref="L727" xml:space="preserve"> sentimentCategory(K727)</f>
        <v>Neutral</v>
      </c>
    </row>
    <row r="728" spans="1:12">
      <c r="A728" t="s">
        <v>221</v>
      </c>
      <c r="B728" t="s">
        <v>3844</v>
      </c>
      <c r="C728" t="str" cm="1">
        <f t="array" ref="C728" xml:space="preserve"> CleanText(B728)</f>
        <v>i really hope this work because i want to see who gona potray toph beifong</v>
      </c>
      <c r="D728">
        <v>0</v>
      </c>
      <c r="E728">
        <v>0</v>
      </c>
      <c r="F728" t="s">
        <v>0</v>
      </c>
      <c r="G728" t="str" cm="1">
        <f t="array" ref="G728" xml:space="preserve"> FindCountryName(F728)</f>
        <v>None</v>
      </c>
      <c r="H728" s="1">
        <v>45315.012326388889</v>
      </c>
      <c r="I728" s="1">
        <v>45315.012326388889</v>
      </c>
      <c r="J728" s="1">
        <v>42844.540578703702</v>
      </c>
      <c r="K728" cm="1">
        <f t="array" ref="K728" xml:space="preserve"> sentimentCalc(C728)</f>
        <v>3</v>
      </c>
      <c r="L728" t="str" cm="1">
        <f t="array" ref="L728" xml:space="preserve"> sentimentCategory(K728)</f>
        <v>Positive</v>
      </c>
    </row>
    <row r="729" spans="1:12">
      <c r="A729" t="s">
        <v>948</v>
      </c>
      <c r="B729" t="s">
        <v>3843</v>
      </c>
      <c r="C729" t="str" cm="1">
        <f t="array" ref="C729" xml:space="preserve"> CleanText(B729)</f>
        <v>im really excited about it but wheres toph _xDD14_</v>
      </c>
      <c r="D729">
        <v>0</v>
      </c>
      <c r="E729">
        <v>1</v>
      </c>
      <c r="F729" t="s">
        <v>0</v>
      </c>
      <c r="G729" t="str" cm="1">
        <f t="array" ref="G729" xml:space="preserve"> FindCountryName(F729)</f>
        <v>None</v>
      </c>
      <c r="H729" s="1">
        <v>45314.981377314813</v>
      </c>
      <c r="I729" s="1">
        <v>45314.981377314813</v>
      </c>
      <c r="J729" s="1">
        <v>43897.84814814815</v>
      </c>
      <c r="K729" cm="1">
        <f t="array" ref="K729" xml:space="preserve"> sentimentCalc(C729)</f>
        <v>3</v>
      </c>
      <c r="L729" t="str" cm="1">
        <f t="array" ref="L729" xml:space="preserve"> sentimentCategory(K729)</f>
        <v>Positive</v>
      </c>
    </row>
    <row r="730" spans="1:12">
      <c r="A730" t="s">
        <v>830</v>
      </c>
      <c r="B730" t="s">
        <v>3842</v>
      </c>
      <c r="C730" t="str" cm="1">
        <f t="array" ref="C730" xml:space="preserve"> CleanText(B730)</f>
        <v>ahhhhhhhhhh</v>
      </c>
      <c r="D730">
        <v>0</v>
      </c>
      <c r="E730">
        <v>0</v>
      </c>
      <c r="F730" t="s">
        <v>0</v>
      </c>
      <c r="G730" t="str" cm="1">
        <f t="array" ref="G730" xml:space="preserve"> FindCountryName(F730)</f>
        <v>None</v>
      </c>
      <c r="H730" s="1">
        <v>45314.91033564815</v>
      </c>
      <c r="I730" s="1">
        <v>45314.91033564815</v>
      </c>
      <c r="J730" s="1">
        <v>39733.67559027778</v>
      </c>
      <c r="K730" cm="1">
        <f t="array" ref="K730" xml:space="preserve"> sentimentCalc(C730)</f>
        <v>0</v>
      </c>
      <c r="L730" t="str" cm="1">
        <f t="array" ref="L730" xml:space="preserve"> sentimentCategory(K730)</f>
        <v>Neutral</v>
      </c>
    </row>
    <row r="731" spans="1:12">
      <c r="A731" t="s">
        <v>3841</v>
      </c>
      <c r="B731" t="s">
        <v>3840</v>
      </c>
      <c r="C731" t="str" cm="1">
        <f t="array" ref="C731" xml:space="preserve"> CleanText(B731)</f>
        <v>sokka having a fulll gloww up 11.. now i understand why many women like him</v>
      </c>
      <c r="D731">
        <v>0</v>
      </c>
      <c r="E731">
        <v>0</v>
      </c>
      <c r="F731" t="s">
        <v>0</v>
      </c>
      <c r="G731" t="str" cm="1">
        <f t="array" ref="G731" xml:space="preserve"> FindCountryName(F731)</f>
        <v>None</v>
      </c>
      <c r="H731" s="1">
        <v>45314.888425925928</v>
      </c>
      <c r="I731" s="1">
        <v>45314.888425925928</v>
      </c>
      <c r="J731" s="1">
        <v>43160.900625000002</v>
      </c>
      <c r="K731" cm="1">
        <f t="array" ref="K731" xml:space="preserve"> sentimentCalc(C731)</f>
        <v>2</v>
      </c>
      <c r="L731" t="str" cm="1">
        <f t="array" ref="L731" xml:space="preserve"> sentimentCategory(K731)</f>
        <v>Positive</v>
      </c>
    </row>
    <row r="732" spans="1:12">
      <c r="A732" t="s">
        <v>80</v>
      </c>
      <c r="B732" t="s">
        <v>3839</v>
      </c>
      <c r="C732" t="str" cm="1">
        <f t="array" ref="C732" xml:space="preserve"> CleanText(B732)</f>
        <v>aight this gonna be fire</v>
      </c>
      <c r="D732">
        <v>0</v>
      </c>
      <c r="E732">
        <v>0</v>
      </c>
      <c r="F732" t="s">
        <v>0</v>
      </c>
      <c r="G732" t="str" cm="1">
        <f t="array" ref="G732" xml:space="preserve"> FindCountryName(F732)</f>
        <v>None</v>
      </c>
      <c r="H732" s="1">
        <v>45314.848321759258</v>
      </c>
      <c r="I732" s="1">
        <v>45314.848321759258</v>
      </c>
      <c r="J732" s="1">
        <v>40197.142546296294</v>
      </c>
      <c r="K732" cm="1">
        <f t="array" ref="K732" xml:space="preserve"> sentimentCalc(C732)</f>
        <v>-2</v>
      </c>
      <c r="L732" t="str" cm="1">
        <f t="array" ref="L732" xml:space="preserve"> sentimentCategory(K732)</f>
        <v>Negative</v>
      </c>
    </row>
    <row r="733" spans="1:12">
      <c r="A733" t="s">
        <v>3838</v>
      </c>
      <c r="B733" t="s">
        <v>3837</v>
      </c>
      <c r="C733" t="str" cm="1">
        <f t="array" ref="C733" xml:space="preserve"> CleanText(B733)</f>
        <v>so excited looks great keep it real can we get an eragon remake one day _xDE05_</v>
      </c>
      <c r="D733">
        <v>1</v>
      </c>
      <c r="E733">
        <v>0</v>
      </c>
      <c r="F733" t="s">
        <v>19</v>
      </c>
      <c r="G733" t="str" cm="1">
        <f t="array" ref="G733" xml:space="preserve"> FindCountryName(F733)</f>
        <v>United States of America (the)</v>
      </c>
      <c r="H733" s="1">
        <v>45314.828981481478</v>
      </c>
      <c r="I733" s="1">
        <v>45314.828981481478</v>
      </c>
      <c r="J733" s="1">
        <v>42106.868541666663</v>
      </c>
      <c r="K733" cm="1">
        <f t="array" ref="K733" xml:space="preserve"> sentimentCalc(C733)</f>
        <v>6</v>
      </c>
      <c r="L733" t="str" cm="1">
        <f t="array" ref="L733" xml:space="preserve"> sentimentCategory(K733)</f>
        <v>Positive</v>
      </c>
    </row>
    <row r="734" spans="1:12">
      <c r="A734" t="s">
        <v>2202</v>
      </c>
      <c r="B734" t="s">
        <v>3836</v>
      </c>
      <c r="C734" t="str" cm="1">
        <f t="array" ref="C734" xml:space="preserve"> CleanText(B734)</f>
        <v>why always white _xDE0C__xDE0C_</v>
      </c>
      <c r="D734">
        <v>0</v>
      </c>
      <c r="E734">
        <v>1</v>
      </c>
      <c r="F734" t="s">
        <v>0</v>
      </c>
      <c r="G734" t="str" cm="1">
        <f t="array" ref="G734" xml:space="preserve"> FindCountryName(F734)</f>
        <v>None</v>
      </c>
      <c r="H734" s="1">
        <v>45314.812476851854</v>
      </c>
      <c r="I734" s="1">
        <v>45314.812476851854</v>
      </c>
      <c r="J734" s="1">
        <v>44444.660532407404</v>
      </c>
      <c r="K734" cm="1">
        <f t="array" ref="K734" xml:space="preserve"> sentimentCalc(C734)</f>
        <v>0</v>
      </c>
      <c r="L734" t="str" cm="1">
        <f t="array" ref="L734" xml:space="preserve"> sentimentCategory(K734)</f>
        <v>Neutral</v>
      </c>
    </row>
    <row r="735" spans="1:12">
      <c r="A735" t="s">
        <v>1185</v>
      </c>
      <c r="B735" t="s">
        <v>3835</v>
      </c>
      <c r="C735" t="str" cm="1">
        <f t="array" ref="C735" xml:space="preserve"> CleanText(B735)</f>
        <v>i hope this one redeems the first one  the first adaptation was one of mknights flops films</v>
      </c>
      <c r="D735">
        <v>0</v>
      </c>
      <c r="E735">
        <v>0</v>
      </c>
      <c r="F735" t="s">
        <v>0</v>
      </c>
      <c r="G735" t="str" cm="1">
        <f t="array" ref="G735" xml:space="preserve"> FindCountryName(F735)</f>
        <v>None</v>
      </c>
      <c r="H735" s="1">
        <v>45314.796342592592</v>
      </c>
      <c r="I735" s="1">
        <v>45314.796342592592</v>
      </c>
      <c r="J735" s="1">
        <v>44759.705335648148</v>
      </c>
      <c r="K735" cm="1">
        <f t="array" ref="K735" xml:space="preserve"> sentimentCalc(C735)</f>
        <v>0</v>
      </c>
      <c r="L735" t="str" cm="1">
        <f t="array" ref="L735" xml:space="preserve"> sentimentCategory(K735)</f>
        <v>Neutral</v>
      </c>
    </row>
    <row r="736" spans="1:12">
      <c r="A736" t="s">
        <v>415</v>
      </c>
      <c r="B736" t="s">
        <v>3834</v>
      </c>
      <c r="C736" t="str" cm="1">
        <f t="array" ref="C736" xml:space="preserve"> CleanText(B736)</f>
        <v>bikin naruto dong</v>
      </c>
      <c r="D736">
        <v>0</v>
      </c>
      <c r="E736">
        <v>0</v>
      </c>
      <c r="F736" t="s">
        <v>0</v>
      </c>
      <c r="G736" t="str" cm="1">
        <f t="array" ref="G736" xml:space="preserve"> FindCountryName(F736)</f>
        <v>None</v>
      </c>
      <c r="H736" s="1">
        <v>45314.792141203703</v>
      </c>
      <c r="I736" s="1">
        <v>45314.792141203703</v>
      </c>
      <c r="J736" s="1">
        <v>44065.451886574076</v>
      </c>
      <c r="K736" cm="1">
        <f t="array" ref="K736" xml:space="preserve"> sentimentCalc(C736)</f>
        <v>0</v>
      </c>
      <c r="L736" t="str" cm="1">
        <f t="array" ref="L736" xml:space="preserve"> sentimentCategory(K736)</f>
        <v>Neutral</v>
      </c>
    </row>
    <row r="737" spans="1:12">
      <c r="A737" t="s">
        <v>2293</v>
      </c>
      <c r="B737" t="s">
        <v>3833</v>
      </c>
      <c r="C737" t="str" cm="1">
        <f t="array" ref="C737" xml:space="preserve"> CleanText(B737)</f>
        <v>it looks fan made but at the same time im interested</v>
      </c>
      <c r="D737">
        <v>0</v>
      </c>
      <c r="E737">
        <v>0</v>
      </c>
      <c r="F737" t="s">
        <v>0</v>
      </c>
      <c r="G737" t="str" cm="1">
        <f t="array" ref="G737" xml:space="preserve"> FindCountryName(F737)</f>
        <v>None</v>
      </c>
      <c r="H737" s="1">
        <v>45314.786377314813</v>
      </c>
      <c r="I737" s="1">
        <v>45314.786377314813</v>
      </c>
      <c r="J737" s="1">
        <v>42711.909826388888</v>
      </c>
      <c r="K737" cm="1">
        <f t="array" ref="K737" xml:space="preserve"> sentimentCalc(C737)</f>
        <v>5</v>
      </c>
      <c r="L737" t="str" cm="1">
        <f t="array" ref="L737" xml:space="preserve"> sentimentCategory(K737)</f>
        <v>Positive</v>
      </c>
    </row>
    <row r="738" spans="1:12">
      <c r="A738" t="s">
        <v>3832</v>
      </c>
      <c r="B738" t="s">
        <v>3831</v>
      </c>
      <c r="C738" t="str" cm="1">
        <f t="array" ref="C738" xml:space="preserve"> CleanText(B738)</f>
        <v>ughh now all we need is yugioh</v>
      </c>
      <c r="D738">
        <v>0</v>
      </c>
      <c r="E738">
        <v>0</v>
      </c>
      <c r="F738" t="s">
        <v>0</v>
      </c>
      <c r="G738" t="str" cm="1">
        <f t="array" ref="G738" xml:space="preserve"> FindCountryName(F738)</f>
        <v>None</v>
      </c>
      <c r="H738" s="1">
        <v>45314.745682870373</v>
      </c>
      <c r="I738" s="1">
        <v>45314.745682870373</v>
      </c>
      <c r="J738" s="1">
        <v>44834.875034722223</v>
      </c>
      <c r="K738" cm="1">
        <f t="array" ref="K738" xml:space="preserve"> sentimentCalc(C738)</f>
        <v>0</v>
      </c>
      <c r="L738" t="str" cm="1">
        <f t="array" ref="L738" xml:space="preserve"> sentimentCategory(K738)</f>
        <v>Neutral</v>
      </c>
    </row>
    <row r="739" spans="1:12">
      <c r="A739" t="s">
        <v>661</v>
      </c>
      <c r="B739" t="s">
        <v>3830</v>
      </c>
      <c r="C739" t="str" cm="1">
        <f t="array" ref="C739" xml:space="preserve"> CleanText(B739)</f>
        <v>looks great i think they have found the feel with it</v>
      </c>
      <c r="D739">
        <v>0</v>
      </c>
      <c r="E739">
        <v>0</v>
      </c>
      <c r="F739" t="s">
        <v>0</v>
      </c>
      <c r="G739" t="str" cm="1">
        <f t="array" ref="G739" xml:space="preserve"> FindCountryName(F739)</f>
        <v>None</v>
      </c>
      <c r="H739" s="1">
        <v>45314.733877314815</v>
      </c>
      <c r="I739" s="1">
        <v>45314.733877314815</v>
      </c>
      <c r="J739" s="1">
        <v>40994.340729166666</v>
      </c>
      <c r="K739" cm="1">
        <f t="array" ref="K739" xml:space="preserve"> sentimentCalc(C739)</f>
        <v>3</v>
      </c>
      <c r="L739" t="str" cm="1">
        <f t="array" ref="L739" xml:space="preserve"> sentimentCategory(K739)</f>
        <v>Positive</v>
      </c>
    </row>
    <row r="740" spans="1:12">
      <c r="A740" t="s">
        <v>56</v>
      </c>
      <c r="B740" t="s">
        <v>3829</v>
      </c>
      <c r="C740" t="str" cm="1">
        <f t="array" ref="C740" xml:space="preserve"> CleanText(B740)</f>
        <v>please do sokkas sword good if this show makes it that far _xDE22_that was one of my favorite moments</v>
      </c>
      <c r="D740">
        <v>0</v>
      </c>
      <c r="E740">
        <v>0</v>
      </c>
      <c r="F740" t="s">
        <v>0</v>
      </c>
      <c r="G740" t="str" cm="1">
        <f t="array" ref="G740" xml:space="preserve"> FindCountryName(F740)</f>
        <v>None</v>
      </c>
      <c r="H740" s="1">
        <v>45314.690057870372</v>
      </c>
      <c r="I740" s="1">
        <v>45314.690358796295</v>
      </c>
      <c r="J740" s="1">
        <v>40879.759050925924</v>
      </c>
      <c r="K740" cm="1">
        <f t="array" ref="K740" xml:space="preserve"> sentimentCalc(C740)</f>
        <v>6</v>
      </c>
      <c r="L740" t="str" cm="1">
        <f t="array" ref="L740" xml:space="preserve"> sentimentCategory(K740)</f>
        <v>Positive</v>
      </c>
    </row>
    <row r="741" spans="1:12">
      <c r="A741" t="s">
        <v>1565</v>
      </c>
      <c r="B741" t="s">
        <v>3828</v>
      </c>
      <c r="C741" t="str" cm="1">
        <f t="array" ref="C741" xml:space="preserve"> CleanText(B741)</f>
        <v>kinda look like shit</v>
      </c>
      <c r="D741">
        <v>0</v>
      </c>
      <c r="E741">
        <v>0</v>
      </c>
      <c r="F741" t="s">
        <v>0</v>
      </c>
      <c r="G741" t="str" cm="1">
        <f t="array" ref="G741" xml:space="preserve"> FindCountryName(F741)</f>
        <v>None</v>
      </c>
      <c r="H741" s="1">
        <v>45314.685578703706</v>
      </c>
      <c r="I741" s="1">
        <v>45314.685578703706</v>
      </c>
      <c r="J741" s="1">
        <v>42772.004201388889</v>
      </c>
      <c r="K741" cm="1">
        <f t="array" ref="K741" xml:space="preserve"> sentimentCalc(C741)</f>
        <v>2</v>
      </c>
      <c r="L741" t="str" cm="1">
        <f t="array" ref="L741" xml:space="preserve"> sentimentCategory(K741)</f>
        <v>Positive</v>
      </c>
    </row>
    <row r="742" spans="1:12">
      <c r="A742" t="s">
        <v>3827</v>
      </c>
      <c r="B742" t="s">
        <v>3826</v>
      </c>
      <c r="C742" t="str" cm="1">
        <f t="array" ref="C742" xml:space="preserve"> CleanText(B742)</f>
        <v>no blue eyes for the waterbenders</v>
      </c>
      <c r="D742">
        <v>0</v>
      </c>
      <c r="E742">
        <v>0</v>
      </c>
      <c r="F742" t="s">
        <v>0</v>
      </c>
      <c r="G742" t="str" cm="1">
        <f t="array" ref="G742" xml:space="preserve"> FindCountryName(F742)</f>
        <v>None</v>
      </c>
      <c r="H742" s="1">
        <v>45314.67628472222</v>
      </c>
      <c r="I742" s="1">
        <v>45314.67628472222</v>
      </c>
      <c r="J742" s="1">
        <v>40423.787662037037</v>
      </c>
      <c r="K742" cm="1">
        <f t="array" ref="K742" xml:space="preserve"> sentimentCalc(C742)</f>
        <v>-1</v>
      </c>
      <c r="L742" t="str" cm="1">
        <f t="array" ref="L742" xml:space="preserve"> sentimentCategory(K742)</f>
        <v>Negative</v>
      </c>
    </row>
    <row r="743" spans="1:12">
      <c r="A743" t="s">
        <v>3825</v>
      </c>
      <c r="B743" t="s">
        <v>3824</v>
      </c>
      <c r="C743" t="str" cm="1">
        <f t="array" ref="C743" xml:space="preserve"> CleanText(B743)</f>
        <v>wheres toph</v>
      </c>
      <c r="D743">
        <v>1</v>
      </c>
      <c r="E743">
        <v>2</v>
      </c>
      <c r="F743" t="s">
        <v>0</v>
      </c>
      <c r="G743" t="str" cm="1">
        <f t="array" ref="G743" xml:space="preserve"> FindCountryName(F743)</f>
        <v>None</v>
      </c>
      <c r="H743" s="1">
        <v>45314.627835648149</v>
      </c>
      <c r="I743" s="1">
        <v>45314.627835648149</v>
      </c>
      <c r="J743" s="1">
        <v>41337.087905092594</v>
      </c>
      <c r="K743" cm="1">
        <f t="array" ref="K743" xml:space="preserve"> sentimentCalc(C743)</f>
        <v>0</v>
      </c>
      <c r="L743" t="str" cm="1">
        <f t="array" ref="L743" xml:space="preserve"> sentimentCategory(K743)</f>
        <v>Neutral</v>
      </c>
    </row>
    <row r="744" spans="1:12">
      <c r="A744" t="s">
        <v>3823</v>
      </c>
      <c r="B744" t="s">
        <v>3822</v>
      </c>
      <c r="C744" t="str" cm="1">
        <f t="array" ref="C744" xml:space="preserve"> CleanText(B744)</f>
        <v>i just came like  times</v>
      </c>
      <c r="D744">
        <v>0</v>
      </c>
      <c r="E744">
        <v>0</v>
      </c>
      <c r="F744" t="s">
        <v>0</v>
      </c>
      <c r="G744" t="str" cm="1">
        <f t="array" ref="G744" xml:space="preserve"> FindCountryName(F744)</f>
        <v>None</v>
      </c>
      <c r="H744" s="1">
        <v>45314.618194444447</v>
      </c>
      <c r="I744" s="1">
        <v>45314.618194444447</v>
      </c>
      <c r="J744" s="1">
        <v>40969.058946759258</v>
      </c>
      <c r="K744" cm="1">
        <f t="array" ref="K744" xml:space="preserve"> sentimentCalc(C744)</f>
        <v>2</v>
      </c>
      <c r="L744" t="str" cm="1">
        <f t="array" ref="L744" xml:space="preserve"> sentimentCategory(K744)</f>
        <v>Positive</v>
      </c>
    </row>
    <row r="745" spans="1:12">
      <c r="A745" t="s">
        <v>1233</v>
      </c>
      <c r="B745" t="s">
        <v>3821</v>
      </c>
      <c r="C745" t="str" cm="1">
        <f t="array" ref="C745" xml:space="preserve"> CleanText(B745)</f>
        <v>if this is a series it gonna be awesome i hope it succeeds like one piece</v>
      </c>
      <c r="D745">
        <v>0</v>
      </c>
      <c r="E745">
        <v>0</v>
      </c>
      <c r="F745" t="s">
        <v>0</v>
      </c>
      <c r="G745" t="str" cm="1">
        <f t="array" ref="G745" xml:space="preserve"> FindCountryName(F745)</f>
        <v>None</v>
      </c>
      <c r="H745" s="1">
        <v>45314.613252314812</v>
      </c>
      <c r="I745" s="1">
        <v>45314.613252314812</v>
      </c>
      <c r="J745" s="1">
        <v>45255.510335648149</v>
      </c>
      <c r="K745" cm="1">
        <f t="array" ref="K745" xml:space="preserve"> sentimentCalc(C745)</f>
        <v>8</v>
      </c>
      <c r="L745" t="str" cm="1">
        <f t="array" ref="L745" xml:space="preserve"> sentimentCategory(K745)</f>
        <v>Positive</v>
      </c>
    </row>
    <row r="746" spans="1:12">
      <c r="A746" t="s">
        <v>598</v>
      </c>
      <c r="B746" t="s">
        <v>3820</v>
      </c>
      <c r="C746" t="str" cm="1">
        <f t="array" ref="C746" xml:space="preserve"> CleanText(B746)</f>
        <v>if netflix cooks again like they did with one piecemaybe this show will be good after all</v>
      </c>
      <c r="D746">
        <v>0</v>
      </c>
      <c r="E746">
        <v>0</v>
      </c>
      <c r="F746" t="s">
        <v>0</v>
      </c>
      <c r="G746" t="str" cm="1">
        <f t="array" ref="G746" xml:space="preserve"> FindCountryName(F746)</f>
        <v>None</v>
      </c>
      <c r="H746" s="1">
        <v>45314.609097222223</v>
      </c>
      <c r="I746" s="1">
        <v>45314.609097222223</v>
      </c>
      <c r="J746" s="1">
        <v>42427.438634259262</v>
      </c>
      <c r="K746" cm="1">
        <f t="array" ref="K746" xml:space="preserve"> sentimentCalc(C746)</f>
        <v>5</v>
      </c>
      <c r="L746" t="str" cm="1">
        <f t="array" ref="L746" xml:space="preserve"> sentimentCategory(K746)</f>
        <v>Positive</v>
      </c>
    </row>
    <row r="747" spans="1:12">
      <c r="A747" t="s">
        <v>14</v>
      </c>
      <c r="B747" t="s">
        <v>3819</v>
      </c>
      <c r="C747" t="str" cm="1">
        <f t="array" ref="C747" xml:space="preserve"> CleanText(B747)</f>
        <v>i hope this is worth it i hope my childhood memories arent ruined with this ill just be optimistic</v>
      </c>
      <c r="D747">
        <v>0</v>
      </c>
      <c r="E747">
        <v>0</v>
      </c>
      <c r="F747" t="s">
        <v>0</v>
      </c>
      <c r="G747" t="str" cm="1">
        <f t="array" ref="G747" xml:space="preserve"> FindCountryName(F747)</f>
        <v>None</v>
      </c>
      <c r="H747" s="1">
        <v>45314.603645833333</v>
      </c>
      <c r="I747" s="1">
        <v>45314.603645833333</v>
      </c>
      <c r="J747" s="1">
        <v>41807.25403935185</v>
      </c>
      <c r="K747" cm="1">
        <f t="array" ref="K747" xml:space="preserve"> sentimentCalc(C747)</f>
        <v>4</v>
      </c>
      <c r="L747" t="str" cm="1">
        <f t="array" ref="L747" xml:space="preserve"> sentimentCategory(K747)</f>
        <v>Positive</v>
      </c>
    </row>
    <row r="748" spans="1:12">
      <c r="A748" t="s">
        <v>121</v>
      </c>
      <c r="B748" t="s">
        <v>3818</v>
      </c>
      <c r="C748" t="str" cm="1">
        <f t="array" ref="C748" xml:space="preserve"> CleanText(B748)</f>
        <v>me  gusta</v>
      </c>
      <c r="D748">
        <v>0</v>
      </c>
      <c r="E748">
        <v>0</v>
      </c>
      <c r="F748" t="s">
        <v>0</v>
      </c>
      <c r="G748" t="str" cm="1">
        <f t="array" ref="G748" xml:space="preserve"> FindCountryName(F748)</f>
        <v>None</v>
      </c>
      <c r="H748" s="1">
        <v>45314.572696759256</v>
      </c>
      <c r="I748" s="1">
        <v>45314.572696759256</v>
      </c>
      <c r="J748" s="1">
        <v>45314.57267361111</v>
      </c>
      <c r="K748" cm="1">
        <f t="array" ref="K748" xml:space="preserve"> sentimentCalc(C748)</f>
        <v>0</v>
      </c>
      <c r="L748" t="str" cm="1">
        <f t="array" ref="L748" xml:space="preserve"> sentimentCategory(K748)</f>
        <v>Neutral</v>
      </c>
    </row>
    <row r="749" spans="1:12">
      <c r="A749" t="s">
        <v>1636</v>
      </c>
      <c r="B749" t="s">
        <v>3817</v>
      </c>
      <c r="C749" t="str" cm="1">
        <f t="array" ref="C749" xml:space="preserve"> CleanText(B749)</f>
        <v>please dont suck please dont suck please dont suck please dont suck</v>
      </c>
      <c r="D749">
        <v>93</v>
      </c>
      <c r="E749">
        <v>5</v>
      </c>
      <c r="F749" t="s">
        <v>0</v>
      </c>
      <c r="G749" t="str" cm="1">
        <f t="array" ref="G749" xml:space="preserve"> FindCountryName(F749)</f>
        <v>None</v>
      </c>
      <c r="H749" s="1">
        <v>45314.568726851852</v>
      </c>
      <c r="I749" s="1">
        <v>45314.568726851852</v>
      </c>
      <c r="J749" s="1">
        <v>41544.555798611109</v>
      </c>
      <c r="K749" cm="1">
        <f t="array" ref="K749" xml:space="preserve"> sentimentCalc(C749)</f>
        <v>-8</v>
      </c>
      <c r="L749" t="str" cm="1">
        <f t="array" ref="L749" xml:space="preserve"> sentimentCategory(K749)</f>
        <v>Negative</v>
      </c>
    </row>
    <row r="750" spans="1:12">
      <c r="A750" t="s">
        <v>779</v>
      </c>
      <c r="B750" t="s">
        <v>3816</v>
      </c>
      <c r="C750" t="str" cm="1">
        <f t="array" ref="C750" xml:space="preserve"> CleanText(B750)</f>
        <v>wow now everyone are asians</v>
      </c>
      <c r="D750">
        <v>0</v>
      </c>
      <c r="E750">
        <v>2</v>
      </c>
      <c r="F750" t="s">
        <v>0</v>
      </c>
      <c r="G750" t="str" cm="1">
        <f t="array" ref="G750" xml:space="preserve"> FindCountryName(F750)</f>
        <v>None</v>
      </c>
      <c r="H750" s="1">
        <v>45314.566620370373</v>
      </c>
      <c r="I750" s="1">
        <v>45314.566620370373</v>
      </c>
      <c r="J750" s="1">
        <v>39577.305243055554</v>
      </c>
      <c r="K750" cm="1">
        <f t="array" ref="K750" xml:space="preserve"> sentimentCalc(C750)</f>
        <v>4</v>
      </c>
      <c r="L750" t="str" cm="1">
        <f t="array" ref="L750" xml:space="preserve"> sentimentCategory(K750)</f>
        <v>Positive</v>
      </c>
    </row>
    <row r="751" spans="1:12">
      <c r="A751" t="s">
        <v>1554</v>
      </c>
      <c r="B751" t="s">
        <v>3815</v>
      </c>
      <c r="C751" t="str" cm="1">
        <f t="array" ref="C751" xml:space="preserve"> CleanText(B751)</f>
        <v>n</v>
      </c>
      <c r="D751">
        <v>0</v>
      </c>
      <c r="E751">
        <v>0</v>
      </c>
      <c r="F751" t="s">
        <v>0</v>
      </c>
      <c r="G751" t="str" cm="1">
        <f t="array" ref="G751" xml:space="preserve"> FindCountryName(F751)</f>
        <v>None</v>
      </c>
      <c r="H751" s="1">
        <v>45314.563622685186</v>
      </c>
      <c r="I751" s="1">
        <v>45314.563622685186</v>
      </c>
      <c r="J751" s="1">
        <v>42535.354837962965</v>
      </c>
      <c r="K751" cm="1">
        <f t="array" ref="K751" xml:space="preserve"> sentimentCalc(C751)</f>
        <v>0</v>
      </c>
      <c r="L751" t="str" cm="1">
        <f t="array" ref="L751" xml:space="preserve"> sentimentCategory(K751)</f>
        <v>Neutral</v>
      </c>
    </row>
    <row r="752" spans="1:12">
      <c r="A752" t="s">
        <v>824</v>
      </c>
      <c r="B752" t="s">
        <v>3814</v>
      </c>
      <c r="C752" t="str" cm="1">
        <f t="array" ref="C752" xml:space="preserve"> CleanText(B752)</f>
        <v>cant wait to see this series adapted to live action for the first time ever cant believe no ones attempted it until now</v>
      </c>
      <c r="D752">
        <v>3</v>
      </c>
      <c r="E752">
        <v>1</v>
      </c>
      <c r="F752" t="s">
        <v>0</v>
      </c>
      <c r="G752" t="str" cm="1">
        <f t="array" ref="G752" xml:space="preserve"> FindCountryName(F752)</f>
        <v>None</v>
      </c>
      <c r="H752" s="1">
        <v>45314.561956018515</v>
      </c>
      <c r="I752" s="1">
        <v>45314.561956018515</v>
      </c>
      <c r="J752" s="1">
        <v>41832.940034722225</v>
      </c>
      <c r="K752" cm="1">
        <f t="array" ref="K752" xml:space="preserve"> sentimentCalc(C752)</f>
        <v>-1</v>
      </c>
      <c r="L752" t="str" cm="1">
        <f t="array" ref="L752" xml:space="preserve"> sentimentCategory(K752)</f>
        <v>Negative</v>
      </c>
    </row>
    <row r="753" spans="1:12">
      <c r="A753" t="s">
        <v>349</v>
      </c>
      <c r="B753" t="s">
        <v>3813</v>
      </c>
      <c r="C753" t="str" cm="1">
        <f t="array" ref="C753" xml:space="preserve"> CleanText(B753)</f>
        <v>the one question i have is who they have casted to say my cabbage</v>
      </c>
      <c r="D753">
        <v>0</v>
      </c>
      <c r="E753">
        <v>0</v>
      </c>
      <c r="F753" t="s">
        <v>0</v>
      </c>
      <c r="G753" t="str" cm="1">
        <f t="array" ref="G753" xml:space="preserve"> FindCountryName(F753)</f>
        <v>None</v>
      </c>
      <c r="H753" s="1">
        <v>45314.56145833333</v>
      </c>
      <c r="I753" s="1">
        <v>45314.562268518515</v>
      </c>
      <c r="J753" s="1">
        <v>44238.755532407406</v>
      </c>
      <c r="K753" cm="1">
        <f t="array" ref="K753" xml:space="preserve"> sentimentCalc(C753)</f>
        <v>0</v>
      </c>
      <c r="L753" t="str" cm="1">
        <f t="array" ref="L753" xml:space="preserve"> sentimentCategory(K753)</f>
        <v>Neutral</v>
      </c>
    </row>
    <row r="754" spans="1:12">
      <c r="A754" t="s">
        <v>1408</v>
      </c>
      <c r="B754" t="s">
        <v>3812</v>
      </c>
      <c r="C754" t="str" cm="1">
        <f t="array" ref="C754" xml:space="preserve"> CleanText(B754)</f>
        <v>i trust netflix to produce this properly theyve been leading the industry in breaking conventional norms which is why the first live action adaptation of avatar was insulting on multiple levels thus resulting in a flop i dont know about yall but i got some chills</v>
      </c>
      <c r="D754">
        <v>0</v>
      </c>
      <c r="E754">
        <v>0</v>
      </c>
      <c r="F754" t="s">
        <v>0</v>
      </c>
      <c r="G754" t="str" cm="1">
        <f t="array" ref="G754" xml:space="preserve"> FindCountryName(F754)</f>
        <v>None</v>
      </c>
      <c r="H754" s="1">
        <v>45314.548657407409</v>
      </c>
      <c r="I754" s="1">
        <v>45314.548657407409</v>
      </c>
      <c r="J754" s="1">
        <v>45063.054780092592</v>
      </c>
      <c r="K754" cm="1">
        <f t="array" ref="K754" xml:space="preserve"> sentimentCalc(C754)</f>
        <v>-3</v>
      </c>
      <c r="L754" t="str" cm="1">
        <f t="array" ref="L754" xml:space="preserve"> sentimentCategory(K754)</f>
        <v>Negative</v>
      </c>
    </row>
    <row r="755" spans="1:12">
      <c r="A755" t="s">
        <v>458</v>
      </c>
      <c r="B755" t="s">
        <v>3811</v>
      </c>
      <c r="C755" t="str" cm="1">
        <f t="array" ref="C755" xml:space="preserve"> CleanText(B755)</f>
        <v>n</v>
      </c>
      <c r="D755">
        <v>0</v>
      </c>
      <c r="E755">
        <v>0</v>
      </c>
      <c r="F755" t="s">
        <v>0</v>
      </c>
      <c r="G755" t="str" cm="1">
        <f t="array" ref="G755" xml:space="preserve"> FindCountryName(F755)</f>
        <v>None</v>
      </c>
      <c r="H755" s="1">
        <v>45314.513645833336</v>
      </c>
      <c r="I755" s="1">
        <v>45314.513645833336</v>
      </c>
      <c r="J755" s="1">
        <v>41891.21334490741</v>
      </c>
      <c r="K755" cm="1">
        <f t="array" ref="K755" xml:space="preserve"> sentimentCalc(C755)</f>
        <v>0</v>
      </c>
      <c r="L755" t="str" cm="1">
        <f t="array" ref="L755" xml:space="preserve"> sentimentCategory(K755)</f>
        <v>Neutral</v>
      </c>
    </row>
    <row r="756" spans="1:12">
      <c r="A756" t="s">
        <v>2481</v>
      </c>
      <c r="B756" t="s">
        <v>3810</v>
      </c>
      <c r="C756" t="str" cm="1">
        <f t="array" ref="C756" xml:space="preserve"> CleanText(B756)</f>
        <v>booom</v>
      </c>
      <c r="D756">
        <v>0</v>
      </c>
      <c r="E756">
        <v>0</v>
      </c>
      <c r="F756" t="s">
        <v>944</v>
      </c>
      <c r="G756" t="str" cm="1">
        <f t="array" ref="G756" xml:space="preserve"> FindCountryName(F756)</f>
        <v>Russian Federation (the)</v>
      </c>
      <c r="H756" s="1">
        <v>45314.502581018518</v>
      </c>
      <c r="I756" s="1">
        <v>45314.502581018518</v>
      </c>
      <c r="J756" s="1">
        <v>41536.268449074072</v>
      </c>
      <c r="K756" cm="1">
        <f t="array" ref="K756" xml:space="preserve"> sentimentCalc(C756)</f>
        <v>0</v>
      </c>
      <c r="L756" t="str" cm="1">
        <f t="array" ref="L756" xml:space="preserve"> sentimentCategory(K756)</f>
        <v>Neutral</v>
      </c>
    </row>
    <row r="757" spans="1:12">
      <c r="A757" t="s">
        <v>3809</v>
      </c>
      <c r="B757" t="s">
        <v>3808</v>
      </c>
      <c r="C757" t="str" cm="1">
        <f t="array" ref="C757" xml:space="preserve"> CleanText(B757)</f>
        <v>i cannot wait for this avatar and avatar  were amazing movies cameron is so talented to see it turned into a tv show is like a dream come true</v>
      </c>
      <c r="D757">
        <v>0</v>
      </c>
      <c r="E757">
        <v>3</v>
      </c>
      <c r="F757" t="s">
        <v>1961</v>
      </c>
      <c r="G757" t="str" cm="1">
        <f t="array" ref="G757" xml:space="preserve"> FindCountryName(F757)</f>
        <v>Australia</v>
      </c>
      <c r="H757" s="1">
        <v>45314.495162037034</v>
      </c>
      <c r="I757" s="1">
        <v>45314.495162037034</v>
      </c>
      <c r="J757" s="1">
        <v>39013.432557870372</v>
      </c>
      <c r="K757" cm="1">
        <f t="array" ref="K757" xml:space="preserve"> sentimentCalc(C757)</f>
        <v>9</v>
      </c>
      <c r="L757" t="str" cm="1">
        <f t="array" ref="L757" xml:space="preserve"> sentimentCategory(K757)</f>
        <v>Positive</v>
      </c>
    </row>
    <row r="758" spans="1:12">
      <c r="A758" t="s">
        <v>612</v>
      </c>
      <c r="B758" t="s">
        <v>3807</v>
      </c>
      <c r="C758" t="str" cm="1">
        <f t="array" ref="C758" xml:space="preserve"> CleanText(B758)</f>
        <v>this already looks a thousand times better than the horrendous movie they made</v>
      </c>
      <c r="D758">
        <v>0</v>
      </c>
      <c r="E758">
        <v>0</v>
      </c>
      <c r="F758" t="s">
        <v>0</v>
      </c>
      <c r="G758" t="str" cm="1">
        <f t="array" ref="G758" xml:space="preserve"> FindCountryName(F758)</f>
        <v>None</v>
      </c>
      <c r="H758" s="1">
        <v>45314.491689814815</v>
      </c>
      <c r="I758" s="1">
        <v>45314.491689814815</v>
      </c>
      <c r="J758" s="1">
        <v>41821.133969907409</v>
      </c>
      <c r="K758" cm="1">
        <f t="array" ref="K758" xml:space="preserve"> sentimentCalc(C758)</f>
        <v>-1</v>
      </c>
      <c r="L758" t="str" cm="1">
        <f t="array" ref="L758" xml:space="preserve"> sentimentCategory(K758)</f>
        <v>Negative</v>
      </c>
    </row>
    <row r="759" spans="1:12">
      <c r="A759" t="s">
        <v>849</v>
      </c>
      <c r="B759" t="s">
        <v>3806</v>
      </c>
      <c r="C759" t="str" cm="1">
        <f t="array" ref="C759" xml:space="preserve"> CleanText(B759)</f>
        <v>seems very m night shamalaney</v>
      </c>
      <c r="D759">
        <v>0</v>
      </c>
      <c r="E759">
        <v>0</v>
      </c>
      <c r="F759" t="s">
        <v>0</v>
      </c>
      <c r="G759" t="str" cm="1">
        <f t="array" ref="G759" xml:space="preserve"> FindCountryName(F759)</f>
        <v>None</v>
      </c>
      <c r="H759" s="1">
        <v>45314.490439814814</v>
      </c>
      <c r="I759" s="1">
        <v>45314.490439814814</v>
      </c>
      <c r="J759" s="1">
        <v>40822.672129629631</v>
      </c>
      <c r="K759" cm="1">
        <f t="array" ref="K759" xml:space="preserve"> sentimentCalc(C759)</f>
        <v>0</v>
      </c>
      <c r="L759" t="str" cm="1">
        <f t="array" ref="L759" xml:space="preserve"> sentimentCategory(K759)</f>
        <v>Neutral</v>
      </c>
    </row>
    <row r="760" spans="1:12">
      <c r="A760" t="s">
        <v>3805</v>
      </c>
      <c r="B760" t="s">
        <v>3804</v>
      </c>
      <c r="C760" t="str" cm="1">
        <f t="array" ref="C760" xml:space="preserve"> CleanText(B760)</f>
        <v>this is an amazing comeback after that mastrosity of a movie this is what the movie should have been and looked like</v>
      </c>
      <c r="D760">
        <v>0</v>
      </c>
      <c r="E760">
        <v>0</v>
      </c>
      <c r="F760" t="s">
        <v>0</v>
      </c>
      <c r="G760" t="str" cm="1">
        <f t="array" ref="G760" xml:space="preserve"> FindCountryName(F760)</f>
        <v>None</v>
      </c>
      <c r="H760" s="1">
        <v>45314.485856481479</v>
      </c>
      <c r="I760" s="1">
        <v>45314.485856481479</v>
      </c>
      <c r="J760" s="1">
        <v>42016.575243055559</v>
      </c>
      <c r="K760" cm="1">
        <f t="array" ref="K760" xml:space="preserve"> sentimentCalc(C760)</f>
        <v>6</v>
      </c>
      <c r="L760" t="str" cm="1">
        <f t="array" ref="L760" xml:space="preserve"> sentimentCategory(K760)</f>
        <v>Positive</v>
      </c>
    </row>
    <row r="761" spans="1:12">
      <c r="A761" t="s">
        <v>397</v>
      </c>
      <c r="B761" t="s">
        <v>3803</v>
      </c>
      <c r="C761" t="str" cm="1">
        <f t="array" ref="C761" xml:space="preserve"> CleanText(B761)</f>
        <v>n</v>
      </c>
      <c r="D761">
        <v>0</v>
      </c>
      <c r="E761">
        <v>0</v>
      </c>
      <c r="F761" t="s">
        <v>0</v>
      </c>
      <c r="G761" t="str" cm="1">
        <f t="array" ref="G761" xml:space="preserve"> FindCountryName(F761)</f>
        <v>None</v>
      </c>
      <c r="H761" s="1">
        <v>45314.475624999999</v>
      </c>
      <c r="I761" s="1">
        <v>45314.475624999999</v>
      </c>
      <c r="J761" s="1">
        <v>40648.835034722222</v>
      </c>
      <c r="K761" cm="1">
        <f t="array" ref="K761" xml:space="preserve"> sentimentCalc(C761)</f>
        <v>0</v>
      </c>
      <c r="L761" t="str" cm="1">
        <f t="array" ref="L761" xml:space="preserve"> sentimentCategory(K761)</f>
        <v>Neutral</v>
      </c>
    </row>
    <row r="762" spans="1:12">
      <c r="A762" t="s">
        <v>407</v>
      </c>
      <c r="B762" t="s">
        <v>3802</v>
      </c>
      <c r="C762" t="str" cm="1">
        <f t="array" ref="C762" xml:space="preserve"> CleanText(B762)</f>
        <v>better than disneys live action remakes</v>
      </c>
      <c r="D762">
        <v>0</v>
      </c>
      <c r="E762">
        <v>0</v>
      </c>
      <c r="F762" t="s">
        <v>19</v>
      </c>
      <c r="G762" t="str" cm="1">
        <f t="array" ref="G762" xml:space="preserve"> FindCountryName(F762)</f>
        <v>United States of America (the)</v>
      </c>
      <c r="H762" s="1">
        <v>45314.47179398148</v>
      </c>
      <c r="I762" s="1">
        <v>45314.47179398148</v>
      </c>
      <c r="J762" s="1">
        <v>40885.700949074075</v>
      </c>
      <c r="K762" cm="1">
        <f t="array" ref="K762" xml:space="preserve"> sentimentCalc(C762)</f>
        <v>2</v>
      </c>
      <c r="L762" t="str" cm="1">
        <f t="array" ref="L762" xml:space="preserve"> sentimentCategory(K762)</f>
        <v>Positive</v>
      </c>
    </row>
    <row r="763" spans="1:12">
      <c r="A763" t="s">
        <v>1525</v>
      </c>
      <c r="B763" t="s">
        <v>3801</v>
      </c>
      <c r="C763" t="str" cm="1">
        <f t="array" ref="C763" xml:space="preserve"> CleanText(B763)</f>
        <v>apa yep yep  this will be amazing  good job netflix</v>
      </c>
      <c r="D763">
        <v>0</v>
      </c>
      <c r="E763">
        <v>0</v>
      </c>
      <c r="F763" t="s">
        <v>633</v>
      </c>
      <c r="G763" t="str" cm="1">
        <f t="array" ref="G763" xml:space="preserve"> FindCountryName(F763)</f>
        <v>Indonesia</v>
      </c>
      <c r="H763" s="1">
        <v>45314.469212962962</v>
      </c>
      <c r="I763" s="1">
        <v>45314.469212962962</v>
      </c>
      <c r="J763" s="1">
        <v>43064.227164351854</v>
      </c>
      <c r="K763" cm="1">
        <f t="array" ref="K763" xml:space="preserve"> sentimentCalc(C763)</f>
        <v>7</v>
      </c>
      <c r="L763" t="str" cm="1">
        <f t="array" ref="L763" xml:space="preserve"> sentimentCategory(K763)</f>
        <v>Positive</v>
      </c>
    </row>
    <row r="764" spans="1:12">
      <c r="A764" t="s">
        <v>221</v>
      </c>
      <c r="B764" t="s">
        <v>3800</v>
      </c>
      <c r="C764" t="str" cm="1">
        <f t="array" ref="C764" xml:space="preserve"> CleanText(B764)</f>
        <v>shamalanadingdong anyone</v>
      </c>
      <c r="D764">
        <v>0</v>
      </c>
      <c r="E764">
        <v>0</v>
      </c>
      <c r="F764" t="s">
        <v>0</v>
      </c>
      <c r="G764" t="str" cm="1">
        <f t="array" ref="G764" xml:space="preserve"> FindCountryName(F764)</f>
        <v>None</v>
      </c>
      <c r="H764" s="1">
        <v>45314.468321759261</v>
      </c>
      <c r="I764" s="1">
        <v>45314.468321759261</v>
      </c>
      <c r="J764" s="1">
        <v>41915.588020833333</v>
      </c>
      <c r="K764" cm="1">
        <f t="array" ref="K764" xml:space="preserve"> sentimentCalc(C764)</f>
        <v>0</v>
      </c>
      <c r="L764" t="str" cm="1">
        <f t="array" ref="L764" xml:space="preserve"> sentimentCategory(K764)</f>
        <v>Neutral</v>
      </c>
    </row>
    <row r="765" spans="1:12">
      <c r="A765" t="s">
        <v>1963</v>
      </c>
      <c r="B765" t="s">
        <v>3799</v>
      </c>
      <c r="C765" t="str" cm="1">
        <f t="array" ref="C765" xml:space="preserve"> CleanText(B765)</f>
        <v>why are they so obsessed with making this a live action should just be animated</v>
      </c>
      <c r="D765">
        <v>0</v>
      </c>
      <c r="E765">
        <v>0</v>
      </c>
      <c r="F765" t="s">
        <v>0</v>
      </c>
      <c r="G765" t="str" cm="1">
        <f t="array" ref="G765" xml:space="preserve"> FindCountryName(F765)</f>
        <v>None</v>
      </c>
      <c r="H765" s="1">
        <v>45314.465324074074</v>
      </c>
      <c r="I765" s="1">
        <v>45314.465324074074</v>
      </c>
      <c r="J765" s="1">
        <v>40069.645613425928</v>
      </c>
      <c r="K765" cm="1">
        <f t="array" ref="K765" xml:space="preserve"> sentimentCalc(C765)</f>
        <v>2</v>
      </c>
      <c r="L765" t="str" cm="1">
        <f t="array" ref="L765" xml:space="preserve"> sentimentCategory(K765)</f>
        <v>Positive</v>
      </c>
    </row>
    <row r="766" spans="1:12">
      <c r="A766" t="s">
        <v>291</v>
      </c>
      <c r="B766" t="s">
        <v>3798</v>
      </c>
      <c r="C766" t="str" cm="1">
        <f t="array" ref="C766" xml:space="preserve"> CleanText(B766)</f>
        <v>came here looking for some funny comments memeing this shit but it seems like the shit eaters have taken over cant even find any comments mentioning the old movie lol</v>
      </c>
      <c r="D766">
        <v>0</v>
      </c>
      <c r="E766">
        <v>0</v>
      </c>
      <c r="F766" t="s">
        <v>0</v>
      </c>
      <c r="G766" t="str" cm="1">
        <f t="array" ref="G766" xml:space="preserve"> FindCountryName(F766)</f>
        <v>None</v>
      </c>
      <c r="H766" s="1">
        <v>45314.461458333331</v>
      </c>
      <c r="I766" s="1">
        <v>45314.461458333331</v>
      </c>
      <c r="J766" s="1">
        <v>42437.374930555554</v>
      </c>
      <c r="K766" cm="1">
        <f t="array" ref="K766" xml:space="preserve"> sentimentCalc(C766)</f>
        <v>6</v>
      </c>
      <c r="L766" t="str" cm="1">
        <f t="array" ref="L766" xml:space="preserve"> sentimentCategory(K766)</f>
        <v>Positive</v>
      </c>
    </row>
    <row r="767" spans="1:12">
      <c r="A767" t="s">
        <v>192</v>
      </c>
      <c r="B767" t="s">
        <v>3797</v>
      </c>
      <c r="C767" t="str" cm="1">
        <f t="array" ref="C767" xml:space="preserve"> CleanText(B767)</f>
        <v>apaa and momo omgg</v>
      </c>
      <c r="D767">
        <v>0</v>
      </c>
      <c r="E767">
        <v>0</v>
      </c>
      <c r="F767" t="s">
        <v>64</v>
      </c>
      <c r="G767" t="str" cm="1">
        <f t="array" ref="G767" xml:space="preserve"> FindCountryName(F767)</f>
        <v>Philippines (the)</v>
      </c>
      <c r="H767" s="1">
        <v>45314.459305555552</v>
      </c>
      <c r="I767" s="1">
        <v>45314.459305555552</v>
      </c>
      <c r="J767" s="1">
        <v>40984.506296296298</v>
      </c>
      <c r="K767" cm="1">
        <f t="array" ref="K767" xml:space="preserve"> sentimentCalc(C767)</f>
        <v>0</v>
      </c>
      <c r="L767" t="str" cm="1">
        <f t="array" ref="L767" xml:space="preserve"> sentimentCategory(K767)</f>
        <v>Neutral</v>
      </c>
    </row>
    <row r="768" spans="1:12">
      <c r="A768" t="s">
        <v>648</v>
      </c>
      <c r="B768" t="s">
        <v>3796</v>
      </c>
      <c r="C768" t="str" cm="1">
        <f t="array" ref="C768" xml:space="preserve"> CleanText(B768)</f>
        <v>i will say it but the cast of avatar is much better then one pieces one they took this serie seriously</v>
      </c>
      <c r="D768">
        <v>0</v>
      </c>
      <c r="E768">
        <v>0</v>
      </c>
      <c r="F768" t="s">
        <v>3263</v>
      </c>
      <c r="G768" t="str" cm="1">
        <f t="array" ref="G768" xml:space="preserve"> FindCountryName(F768)</f>
        <v>Morocco</v>
      </c>
      <c r="H768" s="1">
        <v>45314.456608796296</v>
      </c>
      <c r="I768" s="1">
        <v>45314.456608796296</v>
      </c>
      <c r="J768" s="1">
        <v>44629.298819444448</v>
      </c>
      <c r="K768" cm="1">
        <f t="array" ref="K768" xml:space="preserve"> sentimentCalc(C768)</f>
        <v>2</v>
      </c>
      <c r="L768" t="str" cm="1">
        <f t="array" ref="L768" xml:space="preserve"> sentimentCategory(K768)</f>
        <v>Positive</v>
      </c>
    </row>
    <row r="769" spans="1:12">
      <c r="A769" t="s">
        <v>104</v>
      </c>
      <c r="B769" t="s">
        <v>3795</v>
      </c>
      <c r="C769" t="str" cm="1">
        <f t="array" ref="C769" xml:space="preserve"> CleanText(B769)</f>
        <v>please be good please be good _xDE0C_</v>
      </c>
      <c r="D769">
        <v>0</v>
      </c>
      <c r="E769">
        <v>0</v>
      </c>
      <c r="F769" t="s">
        <v>0</v>
      </c>
      <c r="G769" t="str" cm="1">
        <f t="array" ref="G769" xml:space="preserve"> FindCountryName(F769)</f>
        <v>None</v>
      </c>
      <c r="H769" s="1">
        <v>45314.448229166665</v>
      </c>
      <c r="I769" s="1">
        <v>45314.448229166665</v>
      </c>
      <c r="J769" s="1">
        <v>44183.489849537036</v>
      </c>
      <c r="K769" cm="1">
        <f t="array" ref="K769" xml:space="preserve"> sentimentCalc(C769)</f>
        <v>8</v>
      </c>
      <c r="L769" t="str" cm="1">
        <f t="array" ref="L769" xml:space="preserve"> sentimentCategory(K769)</f>
        <v>Positive</v>
      </c>
    </row>
    <row r="770" spans="1:12">
      <c r="A770" t="s">
        <v>32</v>
      </c>
      <c r="B770" t="s">
        <v>3794</v>
      </c>
      <c r="C770" t="str" cm="1">
        <f t="array" ref="C770" xml:space="preserve"> CleanText(B770)</f>
        <v>here waiting for the trailer</v>
      </c>
      <c r="D770">
        <v>2</v>
      </c>
      <c r="E770">
        <v>0</v>
      </c>
      <c r="F770" t="s">
        <v>0</v>
      </c>
      <c r="G770" t="str" cm="1">
        <f t="array" ref="G770" xml:space="preserve"> FindCountryName(F770)</f>
        <v>None</v>
      </c>
      <c r="H770" s="1">
        <v>45314.422986111109</v>
      </c>
      <c r="I770" s="1">
        <v>45314.422986111109</v>
      </c>
      <c r="J770" s="1">
        <v>44822.382511574076</v>
      </c>
      <c r="K770" cm="1">
        <f t="array" ref="K770" xml:space="preserve"> sentimentCalc(C770)</f>
        <v>0</v>
      </c>
      <c r="L770" t="str" cm="1">
        <f t="array" ref="L770" xml:space="preserve"> sentimentCategory(K770)</f>
        <v>Neutral</v>
      </c>
    </row>
    <row r="771" spans="1:12">
      <c r="A771" t="s">
        <v>3793</v>
      </c>
      <c r="B771" t="s">
        <v>3792</v>
      </c>
      <c r="C771" t="str" cm="1">
        <f t="array" ref="C771" xml:space="preserve"> CleanText(B771)</f>
        <v>enough said</v>
      </c>
      <c r="D771">
        <v>0</v>
      </c>
      <c r="E771">
        <v>0</v>
      </c>
      <c r="F771" t="s">
        <v>1961</v>
      </c>
      <c r="G771" t="str" cm="1">
        <f t="array" ref="G771" xml:space="preserve"> FindCountryName(F771)</f>
        <v>Australia</v>
      </c>
      <c r="H771" s="1">
        <v>45314.320613425924</v>
      </c>
      <c r="I771" s="1">
        <v>45314.320613425924</v>
      </c>
      <c r="J771" s="1">
        <v>40328.005509259259</v>
      </c>
      <c r="K771" cm="1">
        <f t="array" ref="K771" xml:space="preserve"> sentimentCalc(C771)</f>
        <v>0</v>
      </c>
      <c r="L771" t="str" cm="1">
        <f t="array" ref="L771" xml:space="preserve"> sentimentCategory(K771)</f>
        <v>Neutral</v>
      </c>
    </row>
    <row r="772" spans="1:12">
      <c r="A772" t="s">
        <v>529</v>
      </c>
      <c r="B772" t="s">
        <v>3791</v>
      </c>
      <c r="C772" t="str" cm="1">
        <f t="array" ref="C772" xml:space="preserve"> CleanText(B772)</f>
        <v>no toph btw the cgi looks worse</v>
      </c>
      <c r="D772">
        <v>0</v>
      </c>
      <c r="E772">
        <v>1</v>
      </c>
      <c r="F772" t="s">
        <v>0</v>
      </c>
      <c r="G772" t="str" cm="1">
        <f t="array" ref="G772" xml:space="preserve"> FindCountryName(F772)</f>
        <v>None</v>
      </c>
      <c r="H772" s="1">
        <v>45314.314050925925</v>
      </c>
      <c r="I772" s="1">
        <v>45314.314050925925</v>
      </c>
      <c r="J772" s="1">
        <v>44384.724444444444</v>
      </c>
      <c r="K772" cm="1">
        <f t="array" ref="K772" xml:space="preserve"> sentimentCalc(C772)</f>
        <v>-4</v>
      </c>
      <c r="L772" t="str" cm="1">
        <f t="array" ref="L772" xml:space="preserve"> sentimentCategory(K772)</f>
        <v>Negative</v>
      </c>
    </row>
    <row r="773" spans="1:12">
      <c r="A773" t="s">
        <v>3790</v>
      </c>
      <c r="B773" t="s">
        <v>3789</v>
      </c>
      <c r="C773" t="str" cm="1">
        <f t="array" ref="C773" xml:space="preserve"> CleanText(B773)</f>
        <v>am i the only one who noticed that katara is white _xDE2E__xD83E_</v>
      </c>
      <c r="D773">
        <v>0</v>
      </c>
      <c r="E773">
        <v>0</v>
      </c>
      <c r="F773" t="s">
        <v>0</v>
      </c>
      <c r="G773" t="str" cm="1">
        <f t="array" ref="G773" xml:space="preserve"> FindCountryName(F773)</f>
        <v>None</v>
      </c>
      <c r="H773" s="1">
        <v>45314.296388888892</v>
      </c>
      <c r="I773" s="1">
        <v>45314.296388888892</v>
      </c>
      <c r="J773" s="1">
        <v>45303.406006944446</v>
      </c>
      <c r="K773" cm="1">
        <f t="array" ref="K773" xml:space="preserve"> sentimentCalc(C773)</f>
        <v>0</v>
      </c>
      <c r="L773" t="str" cm="1">
        <f t="array" ref="L773" xml:space="preserve"> sentimentCategory(K773)</f>
        <v>Neutral</v>
      </c>
    </row>
    <row r="774" spans="1:12">
      <c r="A774" t="s">
        <v>2901</v>
      </c>
      <c r="B774" t="s">
        <v>3788</v>
      </c>
      <c r="C774" t="str" cm="1">
        <f t="array" ref="C774" xml:space="preserve"> CleanText(B774)</f>
        <v>is this a nickelodeon film</v>
      </c>
      <c r="D774">
        <v>0</v>
      </c>
      <c r="E774">
        <v>1</v>
      </c>
      <c r="F774" t="s">
        <v>0</v>
      </c>
      <c r="G774" t="str" cm="1">
        <f t="array" ref="G774" xml:space="preserve"> FindCountryName(F774)</f>
        <v>None</v>
      </c>
      <c r="H774" s="1">
        <v>45314.283912037034</v>
      </c>
      <c r="I774" s="1">
        <v>45314.283912037034</v>
      </c>
      <c r="J774" s="1">
        <v>44006.221770833334</v>
      </c>
      <c r="K774" cm="1">
        <f t="array" ref="K774" xml:space="preserve"> sentimentCalc(C774)</f>
        <v>0</v>
      </c>
      <c r="L774" t="str" cm="1">
        <f t="array" ref="L774" xml:space="preserve"> sentimentCategory(K774)</f>
        <v>Neutral</v>
      </c>
    </row>
    <row r="775" spans="1:12">
      <c r="A775" t="s">
        <v>547</v>
      </c>
      <c r="B775" t="s">
        <v>3787</v>
      </c>
      <c r="C775" t="str" cm="1">
        <f t="array" ref="C775" xml:space="preserve"> CleanText(B775)</f>
        <v>スemperorたw</v>
      </c>
      <c r="D775">
        <v>1</v>
      </c>
      <c r="E775">
        <v>0</v>
      </c>
      <c r="F775" t="s">
        <v>0</v>
      </c>
      <c r="G775" t="str" cm="1">
        <f t="array" ref="G775" xml:space="preserve"> FindCountryName(F775)</f>
        <v>None</v>
      </c>
      <c r="H775" s="1">
        <v>45314.250277777777</v>
      </c>
      <c r="I775" s="1">
        <v>45314.250277777777</v>
      </c>
      <c r="J775" s="1">
        <v>43137.326747685183</v>
      </c>
      <c r="K775" cm="1">
        <f t="array" ref="K775" xml:space="preserve"> sentimentCalc(C775)</f>
        <v>0</v>
      </c>
      <c r="L775" t="str" cm="1">
        <f t="array" ref="L775" xml:space="preserve"> sentimentCategory(K775)</f>
        <v>Neutral</v>
      </c>
    </row>
    <row r="776" spans="1:12">
      <c r="A776" t="s">
        <v>2842</v>
      </c>
      <c r="B776" t="s">
        <v>3786</v>
      </c>
      <c r="C776" t="str" cm="1">
        <f t="array" ref="C776" xml:space="preserve"> CleanText(B776)</f>
        <v>cant wait any more</v>
      </c>
      <c r="D776">
        <v>0</v>
      </c>
      <c r="E776">
        <v>0</v>
      </c>
      <c r="F776" t="s">
        <v>0</v>
      </c>
      <c r="G776" t="str" cm="1">
        <f t="array" ref="G776" xml:space="preserve"> FindCountryName(F776)</f>
        <v>None</v>
      </c>
      <c r="H776" s="1">
        <v>45314.221539351849</v>
      </c>
      <c r="I776" s="1">
        <v>45314.221539351849</v>
      </c>
      <c r="J776" s="1">
        <v>45127.345312500001</v>
      </c>
      <c r="K776" cm="1">
        <f t="array" ref="K776" xml:space="preserve"> sentimentCalc(C776)</f>
        <v>0</v>
      </c>
      <c r="L776" t="str" cm="1">
        <f t="array" ref="L776" xml:space="preserve"> sentimentCategory(K776)</f>
        <v>Neutral</v>
      </c>
    </row>
    <row r="777" spans="1:12">
      <c r="A777" t="s">
        <v>887</v>
      </c>
      <c r="B777" t="s">
        <v>3785</v>
      </c>
      <c r="C777" t="str" cm="1">
        <f t="array" ref="C777" xml:space="preserve"> CleanText(B777)</f>
        <v>even the logo is a</v>
      </c>
      <c r="D777">
        <v>0</v>
      </c>
      <c r="E777">
        <v>0</v>
      </c>
      <c r="F777" t="s">
        <v>0</v>
      </c>
      <c r="G777" t="str" cm="1">
        <f t="array" ref="G777" xml:space="preserve"> FindCountryName(F777)</f>
        <v>None</v>
      </c>
      <c r="H777" s="1">
        <v>45314.219108796293</v>
      </c>
      <c r="I777" s="1">
        <v>45314.219108796293</v>
      </c>
      <c r="J777" s="1">
        <v>42387.175266203703</v>
      </c>
      <c r="K777" cm="1">
        <f t="array" ref="K777" xml:space="preserve"> sentimentCalc(C777)</f>
        <v>0</v>
      </c>
      <c r="L777" t="str" cm="1">
        <f t="array" ref="L777" xml:space="preserve"> sentimentCategory(K777)</f>
        <v>Neutral</v>
      </c>
    </row>
    <row r="778" spans="1:12">
      <c r="A778" t="s">
        <v>1000</v>
      </c>
      <c r="B778" t="s">
        <v>3784</v>
      </c>
      <c r="C778" t="str" cm="1">
        <f t="array" ref="C778" xml:space="preserve"> CleanText(B778)</f>
        <v>my childhood</v>
      </c>
      <c r="D778">
        <v>0</v>
      </c>
      <c r="E778">
        <v>0</v>
      </c>
      <c r="F778" t="s">
        <v>0</v>
      </c>
      <c r="G778" t="str" cm="1">
        <f t="array" ref="G778" xml:space="preserve"> FindCountryName(F778)</f>
        <v>None</v>
      </c>
      <c r="H778" s="1">
        <v>45314.214317129627</v>
      </c>
      <c r="I778" s="1">
        <v>45314.214317129627</v>
      </c>
      <c r="J778" s="1">
        <v>43798.972071759257</v>
      </c>
      <c r="K778" cm="1">
        <f t="array" ref="K778" xml:space="preserve"> sentimentCalc(C778)</f>
        <v>0</v>
      </c>
      <c r="L778" t="str" cm="1">
        <f t="array" ref="L778" xml:space="preserve"> sentimentCategory(K778)</f>
        <v>Neutral</v>
      </c>
    </row>
    <row r="779" spans="1:12">
      <c r="A779" t="s">
        <v>3783</v>
      </c>
      <c r="B779" t="s">
        <v>3782</v>
      </c>
      <c r="C779" t="str" cm="1">
        <f t="array" ref="C779" xml:space="preserve"> CleanText(B779)</f>
        <v>damn</v>
      </c>
      <c r="D779">
        <v>0</v>
      </c>
      <c r="E779">
        <v>1</v>
      </c>
      <c r="F779" t="s">
        <v>0</v>
      </c>
      <c r="G779" t="str" cm="1">
        <f t="array" ref="G779" xml:space="preserve"> FindCountryName(F779)</f>
        <v>None</v>
      </c>
      <c r="H779" s="1">
        <v>45314.209560185183</v>
      </c>
      <c r="I779" s="1">
        <v>45314.209560185183</v>
      </c>
      <c r="J779" s="1">
        <v>44676.298761574071</v>
      </c>
      <c r="K779" cm="1">
        <f t="array" ref="K779" xml:space="preserve"> sentimentCalc(C779)</f>
        <v>-4</v>
      </c>
      <c r="L779" t="str" cm="1">
        <f t="array" ref="L779" xml:space="preserve"> sentimentCategory(K779)</f>
        <v>Negative</v>
      </c>
    </row>
    <row r="780" spans="1:12">
      <c r="A780" t="s">
        <v>3781</v>
      </c>
      <c r="B780" t="s">
        <v>3780</v>
      </c>
      <c r="C780" t="str" cm="1">
        <f t="array" ref="C780" xml:space="preserve"> CleanText(B780)</f>
        <v>netflix netflix netflix how many times have i said your name please and i mean please from the deepest part of my heartdo not mess this up no woke garbage no story alterations or changes just good acting decent cast and some good martial arts with cgi do not mess this up _xDE4F__xDFFD__xDFFE_</v>
      </c>
      <c r="D780">
        <v>0</v>
      </c>
      <c r="E780">
        <v>1</v>
      </c>
      <c r="F780" t="s">
        <v>0</v>
      </c>
      <c r="G780" t="str" cm="1">
        <f t="array" ref="G780" xml:space="preserve"> FindCountryName(F780)</f>
        <v>None</v>
      </c>
      <c r="H780" s="1">
        <v>45314.187361111108</v>
      </c>
      <c r="I780" s="1">
        <v>45314.187361111108</v>
      </c>
      <c r="J780" s="1">
        <v>40895.529247685183</v>
      </c>
      <c r="K780" cm="1">
        <f t="array" ref="K780" xml:space="preserve"> sentimentCalc(C780)</f>
        <v>2</v>
      </c>
      <c r="L780" t="str" cm="1">
        <f t="array" ref="L780" xml:space="preserve"> sentimentCategory(K780)</f>
        <v>Positive</v>
      </c>
    </row>
    <row r="781" spans="1:12">
      <c r="A781" t="s">
        <v>1766</v>
      </c>
      <c r="B781" t="s">
        <v>3779</v>
      </c>
      <c r="C781" t="str" cm="1">
        <f t="array" ref="C781" xml:space="preserve"> CleanText(B781)</f>
        <v>is this season all book ,  and  combined or only water</v>
      </c>
      <c r="D781">
        <v>0</v>
      </c>
      <c r="E781">
        <v>1</v>
      </c>
      <c r="F781" t="s">
        <v>0</v>
      </c>
      <c r="G781" t="str" cm="1">
        <f t="array" ref="G781" xml:space="preserve"> FindCountryName(F781)</f>
        <v>None</v>
      </c>
      <c r="H781" s="1">
        <v>45314.179826388892</v>
      </c>
      <c r="I781" s="1">
        <v>45314.179826388892</v>
      </c>
      <c r="J781" s="1">
        <v>42783.928356481483</v>
      </c>
      <c r="K781" cm="1">
        <f t="array" ref="K781" xml:space="preserve"> sentimentCalc(C781)</f>
        <v>0</v>
      </c>
      <c r="L781" t="str" cm="1">
        <f t="array" ref="L781" xml:space="preserve"> sentimentCategory(K781)</f>
        <v>Neutral</v>
      </c>
    </row>
    <row r="782" spans="1:12">
      <c r="A782" t="s">
        <v>269</v>
      </c>
      <c r="B782" t="s">
        <v>3778</v>
      </c>
      <c r="C782" t="str" cm="1">
        <f t="array" ref="C782" xml:space="preserve"> CleanText(B782)</f>
        <v>casting</v>
      </c>
      <c r="D782">
        <v>0</v>
      </c>
      <c r="E782">
        <v>0</v>
      </c>
      <c r="F782" t="s">
        <v>0</v>
      </c>
      <c r="G782" t="str" cm="1">
        <f t="array" ref="G782" xml:space="preserve"> FindCountryName(F782)</f>
        <v>None</v>
      </c>
      <c r="H782" s="1">
        <v>45314.106921296298</v>
      </c>
      <c r="I782" s="1">
        <v>45314.106921296298</v>
      </c>
      <c r="J782" s="1">
        <v>44058.689930555556</v>
      </c>
      <c r="K782" cm="1">
        <f t="array" ref="K782" xml:space="preserve"> sentimentCalc(C782)</f>
        <v>0</v>
      </c>
      <c r="L782" t="str" cm="1">
        <f t="array" ref="L782" xml:space="preserve"> sentimentCategory(K782)</f>
        <v>Neutral</v>
      </c>
    </row>
    <row r="783" spans="1:12">
      <c r="A783" t="s">
        <v>1112</v>
      </c>
      <c r="B783" t="s">
        <v>3777</v>
      </c>
      <c r="C783" t="str" cm="1">
        <f t="array" ref="C783" xml:space="preserve"> CleanText(B783)</f>
        <v>they better not mess this up a lot of eyes are watching</v>
      </c>
      <c r="D783">
        <v>0</v>
      </c>
      <c r="E783">
        <v>0</v>
      </c>
      <c r="F783" t="s">
        <v>0</v>
      </c>
      <c r="G783" t="str" cm="1">
        <f t="array" ref="G783" xml:space="preserve"> FindCountryName(F783)</f>
        <v>None</v>
      </c>
      <c r="H783" s="1">
        <v>45314.091423611113</v>
      </c>
      <c r="I783" s="1">
        <v>45314.091423611113</v>
      </c>
      <c r="J783" s="1">
        <v>41931.67728009259</v>
      </c>
      <c r="K783" cm="1">
        <f t="array" ref="K783" xml:space="preserve"> sentimentCalc(C783)</f>
        <v>0</v>
      </c>
      <c r="L783" t="str" cm="1">
        <f t="array" ref="L783" xml:space="preserve"> sentimentCategory(K783)</f>
        <v>Neutral</v>
      </c>
    </row>
    <row r="784" spans="1:12">
      <c r="A784" t="s">
        <v>3776</v>
      </c>
      <c r="B784" t="s">
        <v>3775</v>
      </c>
      <c r="C784" t="str" cm="1">
        <f t="array" ref="C784" xml:space="preserve"> CleanText(B784)</f>
        <v>i hope sokkas joke not disappointed</v>
      </c>
      <c r="D784">
        <v>0</v>
      </c>
      <c r="E784">
        <v>0</v>
      </c>
      <c r="F784" t="s">
        <v>0</v>
      </c>
      <c r="G784" t="str" cm="1">
        <f t="array" ref="G784" xml:space="preserve"> FindCountryName(F784)</f>
        <v>None</v>
      </c>
      <c r="H784" s="1">
        <v>45314.077280092592</v>
      </c>
      <c r="I784" s="1">
        <v>45314.077280092592</v>
      </c>
      <c r="J784" s="1">
        <v>42008.033206018517</v>
      </c>
      <c r="K784" cm="1">
        <f t="array" ref="K784" xml:space="preserve"> sentimentCalc(C784)</f>
        <v>2</v>
      </c>
      <c r="L784" t="str" cm="1">
        <f t="array" ref="L784" xml:space="preserve"> sentimentCategory(K784)</f>
        <v>Positive</v>
      </c>
    </row>
    <row r="785" spans="1:12">
      <c r="A785" t="s">
        <v>1634</v>
      </c>
      <c r="B785" t="s">
        <v>3774</v>
      </c>
      <c r="C785" t="str" cm="1">
        <f t="array" ref="C785" xml:space="preserve"> CleanText(B785)</f>
        <v>trailer drops tomorrow _xDFFD__xDFFD__xDFFD_</v>
      </c>
      <c r="D785">
        <v>0</v>
      </c>
      <c r="E785">
        <v>0</v>
      </c>
      <c r="F785" t="s">
        <v>0</v>
      </c>
      <c r="G785" t="str" cm="1">
        <f t="array" ref="G785" xml:space="preserve"> FindCountryName(F785)</f>
        <v>None</v>
      </c>
      <c r="H785" s="1">
        <v>45314.075613425928</v>
      </c>
      <c r="I785" s="1">
        <v>45314.075613425928</v>
      </c>
      <c r="J785" s="1">
        <v>42094.868831018517</v>
      </c>
      <c r="K785" cm="1">
        <f t="array" ref="K785" xml:space="preserve"> sentimentCalc(C785)</f>
        <v>0</v>
      </c>
      <c r="L785" t="str" cm="1">
        <f t="array" ref="L785" xml:space="preserve"> sentimentCategory(K785)</f>
        <v>Neutral</v>
      </c>
    </row>
    <row r="786" spans="1:12">
      <c r="A786" t="s">
        <v>1338</v>
      </c>
      <c r="B786" t="s">
        <v>3773</v>
      </c>
      <c r="C786" t="str" cm="1">
        <f t="array" ref="C786" xml:space="preserve"> CleanText(B786)</f>
        <v>in all seriousness i have to say that i am highly excited to watch the series</v>
      </c>
      <c r="D786">
        <v>0</v>
      </c>
      <c r="E786">
        <v>0</v>
      </c>
      <c r="F786" t="s">
        <v>0</v>
      </c>
      <c r="G786" t="str" cm="1">
        <f t="array" ref="G786" xml:space="preserve"> FindCountryName(F786)</f>
        <v>None</v>
      </c>
      <c r="H786" s="1">
        <v>45314.015439814815</v>
      </c>
      <c r="I786" s="1">
        <v>45314.015439814815</v>
      </c>
      <c r="J786" s="1">
        <v>45160.682453703703</v>
      </c>
      <c r="K786" cm="1">
        <f t="array" ref="K786" xml:space="preserve"> sentimentCalc(C786)</f>
        <v>3</v>
      </c>
      <c r="L786" t="str" cm="1">
        <f t="array" ref="L786" xml:space="preserve"> sentimentCategory(K786)</f>
        <v>Positive</v>
      </c>
    </row>
    <row r="787" spans="1:12">
      <c r="A787" t="s">
        <v>487</v>
      </c>
      <c r="B787" t="s">
        <v>3772</v>
      </c>
      <c r="C787" t="str" cm="1">
        <f t="array" ref="C787" xml:space="preserve"> CleanText(B787)</f>
        <v>appa</v>
      </c>
      <c r="D787">
        <v>0</v>
      </c>
      <c r="E787">
        <v>0</v>
      </c>
      <c r="F787" t="s">
        <v>0</v>
      </c>
      <c r="G787" t="str" cm="1">
        <f t="array" ref="G787" xml:space="preserve"> FindCountryName(F787)</f>
        <v>None</v>
      </c>
      <c r="H787" s="1">
        <v>45314.003622685188</v>
      </c>
      <c r="I787" s="1">
        <v>45314.003622685188</v>
      </c>
      <c r="J787" s="1">
        <v>43946.566319444442</v>
      </c>
      <c r="K787" cm="1">
        <f t="array" ref="K787" xml:space="preserve"> sentimentCalc(C787)</f>
        <v>0</v>
      </c>
      <c r="L787" t="str" cm="1">
        <f t="array" ref="L787" xml:space="preserve"> sentimentCategory(K787)</f>
        <v>Neutral</v>
      </c>
    </row>
    <row r="788" spans="1:12">
      <c r="A788" t="s">
        <v>3771</v>
      </c>
      <c r="B788" t="s">
        <v>3770</v>
      </c>
      <c r="C788" t="str" cm="1">
        <f t="array" ref="C788" xml:space="preserve"> CleanText(B788)</f>
        <v>why does iroh look like a 2 year old boy with bad cgi facial hair</v>
      </c>
      <c r="D788">
        <v>0</v>
      </c>
      <c r="E788">
        <v>1</v>
      </c>
      <c r="F788" t="s">
        <v>0</v>
      </c>
      <c r="G788" t="str" cm="1">
        <f t="array" ref="G788" xml:space="preserve"> FindCountryName(F788)</f>
        <v>None</v>
      </c>
      <c r="H788" s="1">
        <v>45314.003379629627</v>
      </c>
      <c r="I788" s="1">
        <v>45314.003379629627</v>
      </c>
      <c r="J788" s="1">
        <v>44090.074895833335</v>
      </c>
      <c r="K788" cm="1">
        <f t="array" ref="K788" xml:space="preserve"> sentimentCalc(C788)</f>
        <v>-1</v>
      </c>
      <c r="L788" t="str" cm="1">
        <f t="array" ref="L788" xml:space="preserve"> sentimentCategory(K788)</f>
        <v>Negative</v>
      </c>
    </row>
    <row r="789" spans="1:12">
      <c r="A789" t="s">
        <v>190</v>
      </c>
      <c r="B789" t="s">
        <v>3769</v>
      </c>
      <c r="C789" t="str" cm="1">
        <f t="array" ref="C789" xml:space="preserve"> CleanText(B789)</f>
        <v>is this a dub</v>
      </c>
      <c r="D789">
        <v>0</v>
      </c>
      <c r="E789">
        <v>1</v>
      </c>
      <c r="F789" t="s">
        <v>0</v>
      </c>
      <c r="G789" t="str" cm="1">
        <f t="array" ref="G789" xml:space="preserve"> FindCountryName(F789)</f>
        <v>None</v>
      </c>
      <c r="H789" s="1">
        <v>45313.988078703704</v>
      </c>
      <c r="I789" s="1">
        <v>45313.988078703704</v>
      </c>
      <c r="J789" s="1">
        <v>41618.058206018519</v>
      </c>
      <c r="K789" cm="1">
        <f t="array" ref="K789" xml:space="preserve"> sentimentCalc(C789)</f>
        <v>0</v>
      </c>
      <c r="L789" t="str" cm="1">
        <f t="array" ref="L789" xml:space="preserve"> sentimentCategory(K789)</f>
        <v>Neutral</v>
      </c>
    </row>
    <row r="790" spans="1:12">
      <c r="A790" t="s">
        <v>361</v>
      </c>
      <c r="B790" t="s">
        <v>3768</v>
      </c>
      <c r="C790" t="str" cm="1">
        <f t="array" ref="C790" xml:space="preserve"> CleanText(B790)</f>
        <v>naw i have faith in this one ngl especially how successful one piece did and how trash the other live action of this was</v>
      </c>
      <c r="D790">
        <v>0</v>
      </c>
      <c r="E790">
        <v>0</v>
      </c>
      <c r="F790" t="s">
        <v>0</v>
      </c>
      <c r="G790" t="str" cm="1">
        <f t="array" ref="G790" xml:space="preserve"> FindCountryName(F790)</f>
        <v>None</v>
      </c>
      <c r="H790" s="1">
        <v>45313.97078703704</v>
      </c>
      <c r="I790" s="1">
        <v>45313.97078703704</v>
      </c>
      <c r="J790" s="1">
        <v>41828.555127314816</v>
      </c>
      <c r="K790" cm="1">
        <f t="array" ref="K790" xml:space="preserve"> sentimentCalc(C790)</f>
        <v>4</v>
      </c>
      <c r="L790" t="str" cm="1">
        <f t="array" ref="L790" xml:space="preserve"> sentimentCategory(K790)</f>
        <v>Positive</v>
      </c>
    </row>
    <row r="791" spans="1:12">
      <c r="A791" t="s">
        <v>454</v>
      </c>
      <c r="B791" t="s">
        <v>3767</v>
      </c>
      <c r="C791" t="str" cm="1">
        <f t="array" ref="C791" xml:space="preserve"> CleanText(B791)</f>
        <v>white water tribe! twitter heard imploding in background</v>
      </c>
      <c r="D791">
        <v>0</v>
      </c>
      <c r="E791">
        <v>2</v>
      </c>
      <c r="F791" t="s">
        <v>0</v>
      </c>
      <c r="G791" t="str" cm="1">
        <f t="array" ref="G791" xml:space="preserve"> FindCountryName(F791)</f>
        <v>None</v>
      </c>
      <c r="H791" s="1">
        <v>45313.968252314815</v>
      </c>
      <c r="I791" s="1">
        <v>45313.968252314815</v>
      </c>
      <c r="J791" s="1">
        <v>44186.929108796299</v>
      </c>
      <c r="K791" cm="1">
        <f t="array" ref="K791" xml:space="preserve"> sentimentCalc(C791)</f>
        <v>0</v>
      </c>
      <c r="L791" t="str" cm="1">
        <f t="array" ref="L791" xml:space="preserve"> sentimentCategory(K791)</f>
        <v>Neutral</v>
      </c>
    </row>
    <row r="792" spans="1:12">
      <c r="A792" t="s">
        <v>3766</v>
      </c>
      <c r="B792" t="s">
        <v>3765</v>
      </c>
      <c r="C792" t="str" cm="1">
        <f t="array" ref="C792" xml:space="preserve"> CleanText(B792)</f>
        <v>seeing our childhood on the screen this time live is so special man</v>
      </c>
      <c r="D792">
        <v>4</v>
      </c>
      <c r="E792">
        <v>0</v>
      </c>
      <c r="F792" t="s">
        <v>0</v>
      </c>
      <c r="G792" t="str" cm="1">
        <f t="array" ref="G792" xml:space="preserve"> FindCountryName(F792)</f>
        <v>None</v>
      </c>
      <c r="H792" s="1">
        <v>45313.936261574076</v>
      </c>
      <c r="I792" s="1">
        <v>45313.936261574076</v>
      </c>
      <c r="J792" s="1">
        <v>41238.35596064815</v>
      </c>
      <c r="K792" cm="1">
        <f t="array" ref="K792" xml:space="preserve"> sentimentCalc(C792)</f>
        <v>0</v>
      </c>
      <c r="L792" t="str" cm="1">
        <f t="array" ref="L792" xml:space="preserve"> sentimentCategory(K792)</f>
        <v>Neutral</v>
      </c>
    </row>
    <row r="793" spans="1:12">
      <c r="A793" t="s">
        <v>3764</v>
      </c>
      <c r="B793" t="s">
        <v>3763</v>
      </c>
      <c r="C793" t="str" cm="1">
        <f t="array" ref="C793" xml:space="preserve"> CleanText(B793)</f>
        <v>nah i got to hear how they pronounce the names then ill know _xDE02_</v>
      </c>
      <c r="D793">
        <v>1</v>
      </c>
      <c r="E793">
        <v>0</v>
      </c>
      <c r="F793" t="s">
        <v>0</v>
      </c>
      <c r="G793" t="str" cm="1">
        <f t="array" ref="G793" xml:space="preserve"> FindCountryName(F793)</f>
        <v>None</v>
      </c>
      <c r="H793" s="1">
        <v>45313.918263888889</v>
      </c>
      <c r="I793" s="1">
        <v>45313.918263888889</v>
      </c>
      <c r="J793" s="1">
        <v>41495.939386574071</v>
      </c>
      <c r="K793" cm="1">
        <f t="array" ref="K793" xml:space="preserve"> sentimentCalc(C793)</f>
        <v>-2</v>
      </c>
      <c r="L793" t="str" cm="1">
        <f t="array" ref="L793" xml:space="preserve"> sentimentCategory(K793)</f>
        <v>Negative</v>
      </c>
    </row>
    <row r="794" spans="1:12">
      <c r="A794" t="s">
        <v>180</v>
      </c>
      <c r="B794" t="s">
        <v>3762</v>
      </c>
      <c r="C794" t="str" cm="1">
        <f t="array" ref="C794" xml:space="preserve"> CleanText(B794)</f>
        <v>what is this_xDE02_</v>
      </c>
      <c r="D794">
        <v>0</v>
      </c>
      <c r="E794">
        <v>1</v>
      </c>
      <c r="F794" t="s">
        <v>0</v>
      </c>
      <c r="G794" t="str" cm="1">
        <f t="array" ref="G794" xml:space="preserve"> FindCountryName(F794)</f>
        <v>None</v>
      </c>
      <c r="H794" s="1">
        <v>45313.893807870372</v>
      </c>
      <c r="I794" s="1">
        <v>45313.893807870372</v>
      </c>
      <c r="J794" s="1">
        <v>44764.62841435185</v>
      </c>
      <c r="K794" cm="1">
        <f t="array" ref="K794" xml:space="preserve"> sentimentCalc(C794)</f>
        <v>0</v>
      </c>
      <c r="L794" t="str" cm="1">
        <f t="array" ref="L794" xml:space="preserve"> sentimentCategory(K794)</f>
        <v>Neutral</v>
      </c>
    </row>
    <row r="795" spans="1:12">
      <c r="A795" t="s">
        <v>3761</v>
      </c>
      <c r="B795" t="s">
        <v>3760</v>
      </c>
      <c r="C795" t="str" cm="1">
        <f t="array" ref="C795" xml:space="preserve"> CleanText(B795)</f>
        <v>i have hope for this actually doesnt look too bad but i dont wanna jinx myself like last time</v>
      </c>
      <c r="D795">
        <v>0</v>
      </c>
      <c r="E795">
        <v>0</v>
      </c>
      <c r="F795" t="s">
        <v>19</v>
      </c>
      <c r="G795" t="str" cm="1">
        <f t="array" ref="G795" xml:space="preserve"> FindCountryName(F795)</f>
        <v>United States of America (the)</v>
      </c>
      <c r="H795" s="1">
        <v>45313.881076388891</v>
      </c>
      <c r="I795" s="1">
        <v>45313.881076388891</v>
      </c>
      <c r="J795" s="1">
        <v>41901.546053240738</v>
      </c>
      <c r="K795" cm="1">
        <f t="array" ref="K795" xml:space="preserve"> sentimentCalc(C795)</f>
        <v>1</v>
      </c>
      <c r="L795" t="str" cm="1">
        <f t="array" ref="L795" xml:space="preserve"> sentimentCategory(K795)</f>
        <v>Positive</v>
      </c>
    </row>
    <row r="796" spans="1:12">
      <c r="A796" t="s">
        <v>1154</v>
      </c>
      <c r="B796" t="s">
        <v>3759</v>
      </c>
      <c r="C796" t="str" cm="1">
        <f t="array" ref="C796" xml:space="preserve"> CleanText(B796)</f>
        <v>im sorry but this is all wrong here first of all why are azula and firelord ozai in book  one of them should be in book  and book  second of all sokka doesnt look like himself though he looks serious like in the moviethere going to copy and paste the same like in the horrible version of the last airbender</v>
      </c>
      <c r="D796">
        <v>1</v>
      </c>
      <c r="E796">
        <v>0</v>
      </c>
      <c r="F796" t="s">
        <v>0</v>
      </c>
      <c r="G796" t="str" cm="1">
        <f t="array" ref="G796" xml:space="preserve"> FindCountryName(F796)</f>
        <v>None</v>
      </c>
      <c r="H796" s="1">
        <v>45313.880046296297</v>
      </c>
      <c r="I796" s="1">
        <v>45313.880046296297</v>
      </c>
      <c r="J796" s="1">
        <v>43401.562268518515</v>
      </c>
      <c r="K796" cm="1">
        <f t="array" ref="K796" xml:space="preserve"> sentimentCalc(C796)</f>
        <v>0</v>
      </c>
      <c r="L796" t="str" cm="1">
        <f t="array" ref="L796" xml:space="preserve"> sentimentCategory(K796)</f>
        <v>Neutral</v>
      </c>
    </row>
    <row r="797" spans="1:12">
      <c r="A797" t="s">
        <v>3758</v>
      </c>
      <c r="B797" t="s">
        <v>3757</v>
      </c>
      <c r="C797" t="str" cm="1">
        <f t="array" ref="C797" xml:space="preserve"> CleanText(B797)</f>
        <v>they should have kept fire lord ozai an unknown mysterious thing just like the original animated series</v>
      </c>
      <c r="D797">
        <v>0</v>
      </c>
      <c r="E797">
        <v>0</v>
      </c>
      <c r="F797" t="s">
        <v>0</v>
      </c>
      <c r="G797" t="str" cm="1">
        <f t="array" ref="G797" xml:space="preserve"> FindCountryName(F797)</f>
        <v>None</v>
      </c>
      <c r="H797" s="1">
        <v>45313.864317129628</v>
      </c>
      <c r="I797" s="1">
        <v>45313.864317129628</v>
      </c>
      <c r="J797" s="1">
        <v>43820.50886574074</v>
      </c>
      <c r="K797" cm="1">
        <f t="array" ref="K797" xml:space="preserve"> sentimentCalc(C797)</f>
        <v>0</v>
      </c>
      <c r="L797" t="str" cm="1">
        <f t="array" ref="L797" xml:space="preserve"> sentimentCategory(K797)</f>
        <v>Neutral</v>
      </c>
    </row>
    <row r="798" spans="1:12">
      <c r="A798" t="s">
        <v>523</v>
      </c>
      <c r="B798" t="s">
        <v>3756</v>
      </c>
      <c r="C798" t="str" cm="1">
        <f t="array" ref="C798" xml:space="preserve"> CleanText(B798)</f>
        <v>katara is supposed to have blue eyes and so does her brother  its not that hard to get his right  ugh</v>
      </c>
      <c r="D798">
        <v>0</v>
      </c>
      <c r="E798">
        <v>0</v>
      </c>
      <c r="F798" t="s">
        <v>0</v>
      </c>
      <c r="G798" t="str" cm="1">
        <f t="array" ref="G798" xml:space="preserve"> FindCountryName(F798)</f>
        <v>None</v>
      </c>
      <c r="H798" s="1">
        <v>45313.862025462964</v>
      </c>
      <c r="I798" s="1">
        <v>45313.862025462964</v>
      </c>
      <c r="J798" s="1">
        <v>39671.318194444444</v>
      </c>
      <c r="K798" cm="1">
        <f t="array" ref="K798" xml:space="preserve"> sentimentCalc(C798)</f>
        <v>-1</v>
      </c>
      <c r="L798" t="str" cm="1">
        <f t="array" ref="L798" xml:space="preserve"> sentimentCategory(K798)</f>
        <v>Negative</v>
      </c>
    </row>
    <row r="799" spans="1:12">
      <c r="A799" t="s">
        <v>460</v>
      </c>
      <c r="B799" t="s">
        <v>3755</v>
      </c>
      <c r="C799" t="str" cm="1">
        <f t="array" ref="C799" xml:space="preserve"> CleanText(B799)</f>
        <v>i h that they are allowed to ruin perfectly good shows</v>
      </c>
      <c r="D799">
        <v>0</v>
      </c>
      <c r="E799">
        <v>0</v>
      </c>
      <c r="F799" t="s">
        <v>0</v>
      </c>
      <c r="G799" t="str" cm="1">
        <f t="array" ref="G799" xml:space="preserve"> FindCountryName(F799)</f>
        <v>None</v>
      </c>
      <c r="H799" s="1">
        <v>45313.852754629632</v>
      </c>
      <c r="I799" s="1">
        <v>45313.852754629632</v>
      </c>
      <c r="J799" s="1">
        <v>42415.517800925925</v>
      </c>
      <c r="K799" cm="1">
        <f t="array" ref="K799" xml:space="preserve"> sentimentCalc(C799)</f>
        <v>4</v>
      </c>
      <c r="L799" t="str" cm="1">
        <f t="array" ref="L799" xml:space="preserve"> sentimentCategory(K799)</f>
        <v>Positive</v>
      </c>
    </row>
    <row r="800" spans="1:12">
      <c r="A800" t="s">
        <v>3754</v>
      </c>
      <c r="B800" t="s">
        <v>3753</v>
      </c>
      <c r="C800" t="str" cm="1">
        <f t="array" ref="C800" xml:space="preserve"> CleanText(B800)</f>
        <v>this should be a big screen event it would be amazing if theaters could pic this up for a movie goers experience</v>
      </c>
      <c r="D800">
        <v>0</v>
      </c>
      <c r="E800">
        <v>0</v>
      </c>
      <c r="F800" t="s">
        <v>19</v>
      </c>
      <c r="G800" t="str" cm="1">
        <f t="array" ref="G800" xml:space="preserve"> FindCountryName(F800)</f>
        <v>United States of America (the)</v>
      </c>
      <c r="H800" s="1">
        <v>45313.786307870374</v>
      </c>
      <c r="I800" s="1">
        <v>45313.786307870374</v>
      </c>
      <c r="J800" s="1">
        <v>43378.77784722222</v>
      </c>
      <c r="K800" cm="1">
        <f t="array" ref="K800" xml:space="preserve"> sentimentCalc(C800)</f>
        <v>5</v>
      </c>
      <c r="L800" t="str" cm="1">
        <f t="array" ref="L800" xml:space="preserve"> sentimentCategory(K800)</f>
        <v>Positive</v>
      </c>
    </row>
    <row r="801" spans="1:12">
      <c r="A801" t="s">
        <v>243</v>
      </c>
      <c r="B801" t="s">
        <v>3752</v>
      </c>
      <c r="C801" t="str" cm="1">
        <f t="array" ref="C801" xml:space="preserve"> CleanText(B801)</f>
        <v>i seen the old series of avatar the last airbender and it was greati just hope the new series of avatar the last airbender that is coming to netflix this year will also be great too</v>
      </c>
      <c r="D801">
        <v>0</v>
      </c>
      <c r="E801">
        <v>0</v>
      </c>
      <c r="F801" t="s">
        <v>0</v>
      </c>
      <c r="G801" t="str" cm="1">
        <f t="array" ref="G801" xml:space="preserve"> FindCountryName(F801)</f>
        <v>None</v>
      </c>
      <c r="H801" s="1">
        <v>45313.769050925926</v>
      </c>
      <c r="I801" s="1">
        <v>45313.769050925926</v>
      </c>
      <c r="J801" s="1">
        <v>42564.414687500001</v>
      </c>
      <c r="K801" cm="1">
        <f t="array" ref="K801" xml:space="preserve"> sentimentCalc(C801)</f>
        <v>5</v>
      </c>
      <c r="L801" t="str" cm="1">
        <f t="array" ref="L801" xml:space="preserve"> sentimentCategory(K801)</f>
        <v>Positive</v>
      </c>
    </row>
    <row r="802" spans="1:12">
      <c r="A802" t="s">
        <v>2067</v>
      </c>
      <c r="B802" t="s">
        <v>3751</v>
      </c>
      <c r="C802" t="str" cm="1">
        <f t="array" ref="C802" xml:space="preserve"> CleanText(B802)</f>
        <v>its promising honnestly i just hope they dont overdo it with the love stories expecially with sokka the lover</v>
      </c>
      <c r="D802">
        <v>0</v>
      </c>
      <c r="E802">
        <v>0</v>
      </c>
      <c r="F802" t="s">
        <v>0</v>
      </c>
      <c r="G802" t="str" cm="1">
        <f t="array" ref="G802" xml:space="preserve"> FindCountryName(F802)</f>
        <v>None</v>
      </c>
      <c r="H802" s="1">
        <v>45313.763298611113</v>
      </c>
      <c r="I802" s="1">
        <v>45313.763298611113</v>
      </c>
      <c r="J802" s="1">
        <v>42307.292719907404</v>
      </c>
      <c r="K802" cm="1">
        <f t="array" ref="K802" xml:space="preserve"> sentimentCalc(C802)</f>
        <v>5</v>
      </c>
      <c r="L802" t="str" cm="1">
        <f t="array" ref="L802" xml:space="preserve"> sentimentCategory(K802)</f>
        <v>Positive</v>
      </c>
    </row>
    <row r="803" spans="1:12">
      <c r="A803" t="s">
        <v>3750</v>
      </c>
      <c r="B803" t="s">
        <v>3749</v>
      </c>
      <c r="C803" t="str" cm="1">
        <f t="array" ref="C803" xml:space="preserve"> CleanText(B803)</f>
        <v>prince zukos eye looks more like punched rather than burnt kinda disappointed ngl</v>
      </c>
      <c r="D803">
        <v>0</v>
      </c>
      <c r="E803">
        <v>0</v>
      </c>
      <c r="F803" t="s">
        <v>0</v>
      </c>
      <c r="G803" t="str" cm="1">
        <f t="array" ref="G803" xml:space="preserve"> FindCountryName(F803)</f>
        <v>None</v>
      </c>
      <c r="H803" s="1">
        <v>45313.756608796299</v>
      </c>
      <c r="I803" s="1">
        <v>45313.756608796299</v>
      </c>
      <c r="J803" s="1">
        <v>42421.28266203704</v>
      </c>
      <c r="K803" cm="1">
        <f t="array" ref="K803" xml:space="preserve"> sentimentCalc(C803)</f>
        <v>0</v>
      </c>
      <c r="L803" t="str" cm="1">
        <f t="array" ref="L803" xml:space="preserve"> sentimentCategory(K803)</f>
        <v>Neutral</v>
      </c>
    </row>
    <row r="804" spans="1:12">
      <c r="A804" t="s">
        <v>774</v>
      </c>
      <c r="B804" t="s">
        <v>3748</v>
      </c>
      <c r="C804" t="str" cm="1">
        <f t="array" ref="C804" xml:space="preserve"> CleanText(B804)</f>
        <v>so far this looks pretty good and it could definitely respect the source material than whatever shamaylan made in 00</v>
      </c>
      <c r="D804">
        <v>0</v>
      </c>
      <c r="E804">
        <v>0</v>
      </c>
      <c r="F804" t="s">
        <v>0</v>
      </c>
      <c r="G804" t="str" cm="1">
        <f t="array" ref="G804" xml:space="preserve"> FindCountryName(F804)</f>
        <v>None</v>
      </c>
      <c r="H804" s="1">
        <v>45313.755520833336</v>
      </c>
      <c r="I804" s="1">
        <v>45313.755520833336</v>
      </c>
      <c r="J804" s="1">
        <v>41880.93037037037</v>
      </c>
      <c r="K804" cm="1">
        <f t="array" ref="K804" xml:space="preserve"> sentimentCalc(C804)</f>
        <v>4</v>
      </c>
      <c r="L804" t="str" cm="1">
        <f t="array" ref="L804" xml:space="preserve"> sentimentCategory(K804)</f>
        <v>Positive</v>
      </c>
    </row>
    <row r="805" spans="1:12">
      <c r="A805" t="s">
        <v>148</v>
      </c>
      <c r="B805" t="s">
        <v>3747</v>
      </c>
      <c r="C805" t="str" cm="1">
        <f t="array" ref="C805" xml:space="preserve"> CleanText(B805)</f>
        <v>promising cant wait to see toph in next season i guess</v>
      </c>
      <c r="D805">
        <v>0</v>
      </c>
      <c r="E805">
        <v>0</v>
      </c>
      <c r="F805" t="s">
        <v>0</v>
      </c>
      <c r="G805" t="str" cm="1">
        <f t="array" ref="G805" xml:space="preserve"> FindCountryName(F805)</f>
        <v>None</v>
      </c>
      <c r="H805" s="1">
        <v>45313.710162037038</v>
      </c>
      <c r="I805" s="1">
        <v>45313.710162037038</v>
      </c>
      <c r="J805" s="1">
        <v>42307.291678240741</v>
      </c>
      <c r="K805" cm="1">
        <f t="array" ref="K805" xml:space="preserve"> sentimentCalc(C805)</f>
        <v>0</v>
      </c>
      <c r="L805" t="str" cm="1">
        <f t="array" ref="L805" xml:space="preserve"> sentimentCategory(K805)</f>
        <v>Neutral</v>
      </c>
    </row>
    <row r="806" spans="1:12">
      <c r="A806" t="s">
        <v>223</v>
      </c>
      <c r="B806" t="s">
        <v>3746</v>
      </c>
      <c r="C806" t="str" cm="1">
        <f t="array" ref="C806" xml:space="preserve"> CleanText(B806)</f>
        <v>cant even wait till feb , but i guess we have to its exactly how i have dreamt it to be love it _xDE0D_</v>
      </c>
      <c r="D806">
        <v>0</v>
      </c>
      <c r="E806">
        <v>0</v>
      </c>
      <c r="F806" t="s">
        <v>0</v>
      </c>
      <c r="G806" t="str" cm="1">
        <f t="array" ref="G806" xml:space="preserve"> FindCountryName(F806)</f>
        <v>None</v>
      </c>
      <c r="H806" s="1">
        <v>45313.672418981485</v>
      </c>
      <c r="I806" s="1">
        <v>45313.672418981485</v>
      </c>
      <c r="J806" s="1">
        <v>43897.873692129629</v>
      </c>
      <c r="K806" cm="1">
        <f t="array" ref="K806" xml:space="preserve"> sentimentCalc(C806)</f>
        <v>3</v>
      </c>
      <c r="L806" t="str" cm="1">
        <f t="array" ref="L806" xml:space="preserve"> sentimentCategory(K806)</f>
        <v>Positive</v>
      </c>
    </row>
    <row r="807" spans="1:12">
      <c r="A807" t="s">
        <v>327</v>
      </c>
      <c r="B807" t="s">
        <v>3745</v>
      </c>
      <c r="C807" t="str" cm="1">
        <f t="array" ref="C807" xml:space="preserve"> CleanText(B807)</f>
        <v>this is the kind of wacky timewasting nonsense ive been missing</v>
      </c>
      <c r="D807">
        <v>0</v>
      </c>
      <c r="E807">
        <v>0</v>
      </c>
      <c r="F807" t="s">
        <v>0</v>
      </c>
      <c r="G807" t="str" cm="1">
        <f t="array" ref="G807" xml:space="preserve"> FindCountryName(F807)</f>
        <v>None</v>
      </c>
      <c r="H807" s="1">
        <v>45313.657210648147</v>
      </c>
      <c r="I807" s="1">
        <v>45313.657210648147</v>
      </c>
      <c r="J807" s="1">
        <v>43570.960706018515</v>
      </c>
      <c r="K807" cm="1">
        <f t="array" ref="K807" xml:space="preserve"> sentimentCalc(C807)</f>
        <v>-2</v>
      </c>
      <c r="L807" t="str" cm="1">
        <f t="array" ref="L807" xml:space="preserve"> sentimentCategory(K807)</f>
        <v>Negative</v>
      </c>
    </row>
    <row r="808" spans="1:12">
      <c r="A808" t="s">
        <v>146</v>
      </c>
      <c r="B808" t="s">
        <v>3744</v>
      </c>
      <c r="C808" t="str" cm="1">
        <f t="array" ref="C808" xml:space="preserve"> CleanText(B808)</f>
        <v>this better be good dont ruin our childhood with a subpar rendition hopes are high for this</v>
      </c>
      <c r="D808">
        <v>0</v>
      </c>
      <c r="E808">
        <v>0</v>
      </c>
      <c r="F808" t="s">
        <v>0</v>
      </c>
      <c r="G808" t="str" cm="1">
        <f t="array" ref="G808" xml:space="preserve"> FindCountryName(F808)</f>
        <v>None</v>
      </c>
      <c r="H808" s="1">
        <v>45313.656053240738</v>
      </c>
      <c r="I808" s="1">
        <v>45313.656053240738</v>
      </c>
      <c r="J808" s="1">
        <v>45300.854305555556</v>
      </c>
      <c r="K808" cm="1">
        <f t="array" ref="K808" xml:space="preserve"> sentimentCalc(C808)</f>
        <v>5</v>
      </c>
      <c r="L808" t="str" cm="1">
        <f t="array" ref="L808" xml:space="preserve"> sentimentCategory(K808)</f>
        <v>Positive</v>
      </c>
    </row>
    <row r="809" spans="1:12">
      <c r="A809" t="s">
        <v>1494</v>
      </c>
      <c r="B809" t="s">
        <v>3743</v>
      </c>
      <c r="C809" t="str" cm="1">
        <f t="array" ref="C809" xml:space="preserve"> CleanText(B809)</f>
        <v>n</v>
      </c>
      <c r="D809">
        <v>0</v>
      </c>
      <c r="E809">
        <v>0</v>
      </c>
      <c r="F809" t="s">
        <v>0</v>
      </c>
      <c r="G809" t="str" cm="1">
        <f t="array" ref="G809" xml:space="preserve"> FindCountryName(F809)</f>
        <v>None</v>
      </c>
      <c r="H809" s="1">
        <v>45313.652233796296</v>
      </c>
      <c r="I809" s="1">
        <v>45313.652233796296</v>
      </c>
      <c r="J809" s="1">
        <v>44485.955196759256</v>
      </c>
      <c r="K809" cm="1">
        <f t="array" ref="K809" xml:space="preserve"> sentimentCalc(C809)</f>
        <v>0</v>
      </c>
      <c r="L809" t="str" cm="1">
        <f t="array" ref="L809" xml:space="preserve"> sentimentCategory(K809)</f>
        <v>Neutral</v>
      </c>
    </row>
    <row r="810" spans="1:12">
      <c r="A810" t="s">
        <v>212</v>
      </c>
      <c r="B810" t="s">
        <v>3742</v>
      </c>
      <c r="C810" t="str" cm="1">
        <f t="array" ref="C810" xml:space="preserve"> CleanText(B810)</f>
        <v>looks like actual dogshit</v>
      </c>
      <c r="D810">
        <v>0</v>
      </c>
      <c r="E810">
        <v>0</v>
      </c>
      <c r="F810" t="s">
        <v>0</v>
      </c>
      <c r="G810" t="str" cm="1">
        <f t="array" ref="G810" xml:space="preserve"> FindCountryName(F810)</f>
        <v>None</v>
      </c>
      <c r="H810" s="1">
        <v>45313.57708333333</v>
      </c>
      <c r="I810" s="1">
        <v>45313.57708333333</v>
      </c>
      <c r="J810" s="1">
        <v>40269.119259259256</v>
      </c>
      <c r="K810" cm="1">
        <f t="array" ref="K810" xml:space="preserve"> sentimentCalc(C810)</f>
        <v>2</v>
      </c>
      <c r="L810" t="str" cm="1">
        <f t="array" ref="L810" xml:space="preserve"> sentimentCategory(K810)</f>
        <v>Positive</v>
      </c>
    </row>
    <row r="811" spans="1:12">
      <c r="A811" t="s">
        <v>2959</v>
      </c>
      <c r="B811" t="s">
        <v>3741</v>
      </c>
      <c r="C811" t="str" cm="1">
        <f t="array" ref="C811" xml:space="preserve"> CleanText(B811)</f>
        <v>where is thopppp</v>
      </c>
      <c r="D811">
        <v>0</v>
      </c>
      <c r="E811">
        <v>2</v>
      </c>
      <c r="F811" t="s">
        <v>0</v>
      </c>
      <c r="G811" t="str" cm="1">
        <f t="array" ref="G811" xml:space="preserve"> FindCountryName(F811)</f>
        <v>None</v>
      </c>
      <c r="H811" s="1">
        <v>45313.54519675926</v>
      </c>
      <c r="I811" s="1">
        <v>45313.54519675926</v>
      </c>
      <c r="J811" s="1">
        <v>42032.340416666666</v>
      </c>
      <c r="K811" cm="1">
        <f t="array" ref="K811" xml:space="preserve"> sentimentCalc(C811)</f>
        <v>0</v>
      </c>
      <c r="L811" t="str" cm="1">
        <f t="array" ref="L811" xml:space="preserve"> sentimentCategory(K811)</f>
        <v>Neutral</v>
      </c>
    </row>
    <row r="812" spans="1:12">
      <c r="A812" t="s">
        <v>2959</v>
      </c>
      <c r="B812" t="s">
        <v>3740</v>
      </c>
      <c r="C812" t="str" cm="1">
        <f t="array" ref="C812" xml:space="preserve"> CleanText(B812)</f>
        <v>mau nangis sumpah bgs bgt</v>
      </c>
      <c r="D812">
        <v>0</v>
      </c>
      <c r="E812">
        <v>0</v>
      </c>
      <c r="F812" t="s">
        <v>0</v>
      </c>
      <c r="G812" t="str" cm="1">
        <f t="array" ref="G812" xml:space="preserve"> FindCountryName(F812)</f>
        <v>None</v>
      </c>
      <c r="H812" s="1">
        <v>45313.544999999998</v>
      </c>
      <c r="I812" s="1">
        <v>45313.544999999998</v>
      </c>
      <c r="J812" s="1">
        <v>42032.340416666666</v>
      </c>
      <c r="K812" cm="1">
        <f t="array" ref="K812" xml:space="preserve"> sentimentCalc(C812)</f>
        <v>0</v>
      </c>
      <c r="L812" t="str" cm="1">
        <f t="array" ref="L812" xml:space="preserve"> sentimentCategory(K812)</f>
        <v>Neutral</v>
      </c>
    </row>
    <row r="813" spans="1:12">
      <c r="A813" t="s">
        <v>700</v>
      </c>
      <c r="B813" t="s">
        <v>3739</v>
      </c>
      <c r="C813" t="str" cm="1">
        <f t="array" ref="C813" xml:space="preserve"> CleanText(B813)</f>
        <v>this actually looks okay</v>
      </c>
      <c r="D813">
        <v>0</v>
      </c>
      <c r="E813">
        <v>0</v>
      </c>
      <c r="F813" t="s">
        <v>0</v>
      </c>
      <c r="G813" t="str" cm="1">
        <f t="array" ref="G813" xml:space="preserve"> FindCountryName(F813)</f>
        <v>None</v>
      </c>
      <c r="H813" s="1">
        <v>45313.53019675926</v>
      </c>
      <c r="I813" s="1">
        <v>45313.53019675926</v>
      </c>
      <c r="J813" s="1">
        <v>45170.024618055555</v>
      </c>
      <c r="K813" cm="1">
        <f t="array" ref="K813" xml:space="preserve"> sentimentCalc(C813)</f>
        <v>0</v>
      </c>
      <c r="L813" t="str" cm="1">
        <f t="array" ref="L813" xml:space="preserve"> sentimentCategory(K813)</f>
        <v>Neutral</v>
      </c>
    </row>
    <row r="814" spans="1:12">
      <c r="A814" t="s">
        <v>733</v>
      </c>
      <c r="B814" t="s">
        <v>3738</v>
      </c>
      <c r="C814" t="str" cm="1">
        <f t="array" ref="C814" xml:space="preserve"> CleanText(B814)</f>
        <v>i knew it was going to be a disaster once the original creators left due to creative differences and they made sokka the younger one</v>
      </c>
      <c r="D814">
        <v>0</v>
      </c>
      <c r="E814">
        <v>2</v>
      </c>
      <c r="F814" t="s">
        <v>0</v>
      </c>
      <c r="G814" t="str" cm="1">
        <f t="array" ref="G814" xml:space="preserve"> FindCountryName(F814)</f>
        <v>None</v>
      </c>
      <c r="H814" s="1">
        <v>45313.509155092594</v>
      </c>
      <c r="I814" s="1">
        <v>45313.509155092594</v>
      </c>
      <c r="J814" s="1">
        <v>40705.907314814816</v>
      </c>
      <c r="K814" cm="1">
        <f t="array" ref="K814" xml:space="preserve"> sentimentCalc(C814)</f>
        <v>0</v>
      </c>
      <c r="L814" t="str" cm="1">
        <f t="array" ref="L814" xml:space="preserve"> sentimentCategory(K814)</f>
        <v>Neutral</v>
      </c>
    </row>
    <row r="815" spans="1:12">
      <c r="A815" t="s">
        <v>774</v>
      </c>
      <c r="B815" t="s">
        <v>3737</v>
      </c>
      <c r="C815" t="str" cm="1">
        <f t="array" ref="C815" xml:space="preserve"> CleanText(B815)</f>
        <v>н n</v>
      </c>
      <c r="D815">
        <v>1</v>
      </c>
      <c r="E815">
        <v>0</v>
      </c>
      <c r="F815" t="s">
        <v>0</v>
      </c>
      <c r="G815" t="str" cm="1">
        <f t="array" ref="G815" xml:space="preserve"> FindCountryName(F815)</f>
        <v>None</v>
      </c>
      <c r="H815" s="1">
        <v>45313.496631944443</v>
      </c>
      <c r="I815" s="1">
        <v>45313.496631944443</v>
      </c>
      <c r="J815" s="1">
        <v>41798.494525462964</v>
      </c>
      <c r="K815" cm="1">
        <f t="array" ref="K815" xml:space="preserve"> sentimentCalc(C815)</f>
        <v>0</v>
      </c>
      <c r="L815" t="str" cm="1">
        <f t="array" ref="L815" xml:space="preserve"> sentimentCategory(K815)</f>
        <v>Neutral</v>
      </c>
    </row>
    <row r="816" spans="1:12">
      <c r="A816" t="s">
        <v>767</v>
      </c>
      <c r="B816" t="s">
        <v>3736</v>
      </c>
      <c r="C816" t="str" cm="1">
        <f t="array" ref="C816" xml:space="preserve"> CleanText(B816)</f>
        <v>yea maybe thats pretty good but these actors arent similar with characters of the original cartoon at all i think i wont be surprised more by this film than by those legendary series of that unique in my chindhood cartoon</v>
      </c>
      <c r="D816">
        <v>1</v>
      </c>
      <c r="E816">
        <v>0</v>
      </c>
      <c r="F816" t="s">
        <v>0</v>
      </c>
      <c r="G816" t="str" cm="1">
        <f t="array" ref="G816" xml:space="preserve"> FindCountryName(F816)</f>
        <v>None</v>
      </c>
      <c r="H816" s="1">
        <v>45313.491597222222</v>
      </c>
      <c r="I816" s="1">
        <v>45313.491597222222</v>
      </c>
      <c r="J816" s="1">
        <v>44529.22755787037</v>
      </c>
      <c r="K816" cm="1">
        <f t="array" ref="K816" xml:space="preserve"> sentimentCalc(C816)</f>
        <v>4</v>
      </c>
      <c r="L816" t="str" cm="1">
        <f t="array" ref="L816" xml:space="preserve"> sentimentCategory(K816)</f>
        <v>Positive</v>
      </c>
    </row>
    <row r="817" spans="1:12">
      <c r="A817" t="s">
        <v>3735</v>
      </c>
      <c r="B817" t="s">
        <v>3734</v>
      </c>
      <c r="C817" t="str" cm="1">
        <f t="array" ref="C817" xml:space="preserve"> CleanText(B817)</f>
        <v>they better make sokka funny af</v>
      </c>
      <c r="D817">
        <v>7</v>
      </c>
      <c r="E817">
        <v>0</v>
      </c>
      <c r="F817" t="s">
        <v>0</v>
      </c>
      <c r="G817" t="str" cm="1">
        <f t="array" ref="G817" xml:space="preserve"> FindCountryName(F817)</f>
        <v>None</v>
      </c>
      <c r="H817" s="1">
        <v>45313.462708333333</v>
      </c>
      <c r="I817" s="1">
        <v>45313.462708333333</v>
      </c>
      <c r="J817" s="1">
        <v>44097.068877314814</v>
      </c>
      <c r="K817" cm="1">
        <f t="array" ref="K817" xml:space="preserve"> sentimentCalc(C817)</f>
        <v>6</v>
      </c>
      <c r="L817" t="str" cm="1">
        <f t="array" ref="L817" xml:space="preserve"> sentimentCategory(K817)</f>
        <v>Positive</v>
      </c>
    </row>
    <row r="818" spans="1:12">
      <c r="A818" t="s">
        <v>3359</v>
      </c>
      <c r="B818" t="s">
        <v>3733</v>
      </c>
      <c r="C818" t="str" cm="1">
        <f t="array" ref="C818" xml:space="preserve"> CleanText(B818)</f>
        <v>umm okay katara tho _xDC4D__xDFFB_</v>
      </c>
      <c r="D818">
        <v>0</v>
      </c>
      <c r="E818">
        <v>0</v>
      </c>
      <c r="F818" t="s">
        <v>19</v>
      </c>
      <c r="G818" t="str" cm="1">
        <f t="array" ref="G818" xml:space="preserve"> FindCountryName(F818)</f>
        <v>United States of America (the)</v>
      </c>
      <c r="H818" s="1">
        <v>45313.423634259256</v>
      </c>
      <c r="I818" s="1">
        <v>45313.423634259256</v>
      </c>
      <c r="J818" s="1">
        <v>44915.003935185188</v>
      </c>
      <c r="K818" cm="1">
        <f t="array" ref="K818" xml:space="preserve"> sentimentCalc(C818)</f>
        <v>0</v>
      </c>
      <c r="L818" t="str" cm="1">
        <f t="array" ref="L818" xml:space="preserve"> sentimentCategory(K818)</f>
        <v>Neutral</v>
      </c>
    </row>
    <row r="819" spans="1:12">
      <c r="A819" t="s">
        <v>2867</v>
      </c>
      <c r="B819" t="s">
        <v>3732</v>
      </c>
      <c r="C819" t="str" cm="1">
        <f t="array" ref="C819" xml:space="preserve"> CleanText(B819)</f>
        <v>i wish they wont f this up</v>
      </c>
      <c r="D819">
        <v>0</v>
      </c>
      <c r="E819">
        <v>0</v>
      </c>
      <c r="F819" t="s">
        <v>0</v>
      </c>
      <c r="G819" t="str" cm="1">
        <f t="array" ref="G819" xml:space="preserve"> FindCountryName(F819)</f>
        <v>None</v>
      </c>
      <c r="H819" s="1">
        <v>45313.404768518521</v>
      </c>
      <c r="I819" s="1">
        <v>45313.404768518521</v>
      </c>
      <c r="J819" s="1">
        <v>44576.433240740742</v>
      </c>
      <c r="K819" cm="1">
        <f t="array" ref="K819" xml:space="preserve"> sentimentCalc(C819)</f>
        <v>1</v>
      </c>
      <c r="L819" t="str" cm="1">
        <f t="array" ref="L819" xml:space="preserve"> sentimentCategory(K819)</f>
        <v>Positive</v>
      </c>
    </row>
    <row r="820" spans="1:12">
      <c r="A820" t="s">
        <v>3731</v>
      </c>
      <c r="B820" t="s">
        <v>3730</v>
      </c>
      <c r="C820" t="str" cm="1">
        <f t="array" ref="C820" xml:space="preserve"> CleanText(B820)</f>
        <v>mr kim is getting into all the franchise!</v>
      </c>
      <c r="D820">
        <v>0</v>
      </c>
      <c r="E820">
        <v>0</v>
      </c>
      <c r="F820" t="s">
        <v>0</v>
      </c>
      <c r="G820" t="str" cm="1">
        <f t="array" ref="G820" xml:space="preserve"> FindCountryName(F820)</f>
        <v>None</v>
      </c>
      <c r="H820" s="1">
        <v>45313.379282407404</v>
      </c>
      <c r="I820" s="1">
        <v>45313.379282407404</v>
      </c>
      <c r="J820" s="1">
        <v>41558.635625000003</v>
      </c>
      <c r="K820" cm="1">
        <f t="array" ref="K820" xml:space="preserve"> sentimentCalc(C820)</f>
        <v>0</v>
      </c>
      <c r="L820" t="str" cm="1">
        <f t="array" ref="L820" xml:space="preserve"> sentimentCategory(K820)</f>
        <v>Neutral</v>
      </c>
    </row>
    <row r="821" spans="1:12">
      <c r="A821" t="s">
        <v>653</v>
      </c>
      <c r="B821" t="s">
        <v>3729</v>
      </c>
      <c r="C821" t="str" cm="1">
        <f t="array" ref="C821" xml:space="preserve"> CleanText(B821)</f>
        <v>today today hope they release the main trailer today _xDEE3_‍_xDCAB__xDD1E_</v>
      </c>
      <c r="D821">
        <v>0</v>
      </c>
      <c r="E821">
        <v>0</v>
      </c>
      <c r="F821" t="s">
        <v>0</v>
      </c>
      <c r="G821" t="str" cm="1">
        <f t="array" ref="G821" xml:space="preserve"> FindCountryName(F821)</f>
        <v>None</v>
      </c>
      <c r="H821" s="1">
        <v>45313.375254629631</v>
      </c>
      <c r="I821" s="1">
        <v>45313.375254629631</v>
      </c>
      <c r="J821" s="1">
        <v>43061.34302083333</v>
      </c>
      <c r="K821" cm="1">
        <f t="array" ref="K821" xml:space="preserve"> sentimentCalc(C821)</f>
        <v>2</v>
      </c>
      <c r="L821" t="str" cm="1">
        <f t="array" ref="L821" xml:space="preserve"> sentimentCategory(K821)</f>
        <v>Positive</v>
      </c>
    </row>
    <row r="822" spans="1:12">
      <c r="A822" t="s">
        <v>3728</v>
      </c>
      <c r="B822" t="s">
        <v>3727</v>
      </c>
      <c r="C822" t="str" cm="1">
        <f t="array" ref="C822" xml:space="preserve"> CleanText(B822)</f>
        <v>i have no idea if thisll be good or not so im choosing to not hold any expectations for it as much as is possible but seeing a real person as aang i cant help but hear in my head my name is ong im the ovetar</v>
      </c>
      <c r="D822">
        <v>9</v>
      </c>
      <c r="E822">
        <v>0</v>
      </c>
      <c r="F822" t="s">
        <v>0</v>
      </c>
      <c r="G822" t="str" cm="1">
        <f t="array" ref="G822" xml:space="preserve"> FindCountryName(F822)</f>
        <v>None</v>
      </c>
      <c r="H822" s="1">
        <v>45313.366851851853</v>
      </c>
      <c r="I822" s="1">
        <v>45313.366851851853</v>
      </c>
      <c r="J822" s="1">
        <v>42774.589039351849</v>
      </c>
      <c r="K822" cm="1">
        <f t="array" ref="K822" xml:space="preserve"> sentimentCalc(C822)</f>
        <v>4</v>
      </c>
      <c r="L822" t="str" cm="1">
        <f t="array" ref="L822" xml:space="preserve"> sentimentCategory(K822)</f>
        <v>Positive</v>
      </c>
    </row>
    <row r="823" spans="1:12">
      <c r="A823" t="s">
        <v>1565</v>
      </c>
      <c r="B823" t="s">
        <v>3726</v>
      </c>
      <c r="C823" t="str" cm="1">
        <f t="array" ref="C823" xml:space="preserve"> CleanText(B823)</f>
        <v>give us the trailer</v>
      </c>
      <c r="D823">
        <v>2</v>
      </c>
      <c r="E823">
        <v>0</v>
      </c>
      <c r="F823" t="s">
        <v>0</v>
      </c>
      <c r="G823" t="str" cm="1">
        <f t="array" ref="G823" xml:space="preserve"> FindCountryName(F823)</f>
        <v>None</v>
      </c>
      <c r="H823" s="1">
        <v>45313.345324074071</v>
      </c>
      <c r="I823" s="1">
        <v>45313.345324074071</v>
      </c>
      <c r="J823" s="1">
        <v>44384.286990740744</v>
      </c>
      <c r="K823" cm="1">
        <f t="array" ref="K823" xml:space="preserve"> sentimentCalc(C823)</f>
        <v>0</v>
      </c>
      <c r="L823" t="str" cm="1">
        <f t="array" ref="L823" xml:space="preserve"> sentimentCategory(K823)</f>
        <v>Neutral</v>
      </c>
    </row>
    <row r="824" spans="1:12">
      <c r="A824" t="s">
        <v>3725</v>
      </c>
      <c r="B824" t="s">
        <v>3724</v>
      </c>
      <c r="C824" t="str" cm="1">
        <f t="array" ref="C824" xml:space="preserve"> CleanText(B824)</f>
        <v>่ดมๆ n</v>
      </c>
      <c r="D824">
        <v>1</v>
      </c>
      <c r="E824">
        <v>0</v>
      </c>
      <c r="F824" t="s">
        <v>0</v>
      </c>
      <c r="G824" t="str" cm="1">
        <f t="array" ref="G824" xml:space="preserve"> FindCountryName(F824)</f>
        <v>None</v>
      </c>
      <c r="H824" s="1">
        <v>45313.298715277779</v>
      </c>
      <c r="I824" s="1">
        <v>45313.298715277779</v>
      </c>
      <c r="J824" s="1">
        <v>45213.266458333332</v>
      </c>
      <c r="K824" cm="1">
        <f t="array" ref="K824" xml:space="preserve"> sentimentCalc(C824)</f>
        <v>0</v>
      </c>
      <c r="L824" t="str" cm="1">
        <f t="array" ref="L824" xml:space="preserve"> sentimentCategory(K824)</f>
        <v>Neutral</v>
      </c>
    </row>
    <row r="825" spans="1:12">
      <c r="A825" t="s">
        <v>2060</v>
      </c>
      <c r="B825" t="s">
        <v>3723</v>
      </c>
      <c r="C825" t="str" cm="1">
        <f t="array" ref="C825" xml:space="preserve"> CleanText(B825)</f>
        <v>somethings are meant to be animated not everything needs to be live action</v>
      </c>
      <c r="D825">
        <v>3</v>
      </c>
      <c r="E825">
        <v>0</v>
      </c>
      <c r="F825" t="s">
        <v>0</v>
      </c>
      <c r="G825" t="str" cm="1">
        <f t="array" ref="G825" xml:space="preserve"> FindCountryName(F825)</f>
        <v>None</v>
      </c>
      <c r="H825" s="1">
        <v>45313.222881944443</v>
      </c>
      <c r="I825" s="1">
        <v>45313.222881944443</v>
      </c>
      <c r="J825" s="1">
        <v>42682.013113425928</v>
      </c>
      <c r="K825" cm="1">
        <f t="array" ref="K825" xml:space="preserve"> sentimentCalc(C825)</f>
        <v>0</v>
      </c>
      <c r="L825" t="str" cm="1">
        <f t="array" ref="L825" xml:space="preserve"> sentimentCategory(K825)</f>
        <v>Neutral</v>
      </c>
    </row>
    <row r="826" spans="1:12">
      <c r="A826" t="s">
        <v>3722</v>
      </c>
      <c r="B826" t="s">
        <v>3721</v>
      </c>
      <c r="C826" t="str" cm="1">
        <f t="array" ref="C826" xml:space="preserve"> CleanText(B826)</f>
        <v>i am hyped for this_xD83D_</v>
      </c>
      <c r="D826">
        <v>1</v>
      </c>
      <c r="E826">
        <v>0</v>
      </c>
      <c r="F826" t="s">
        <v>0</v>
      </c>
      <c r="G826" t="str" cm="1">
        <f t="array" ref="G826" xml:space="preserve"> FindCountryName(F826)</f>
        <v>None</v>
      </c>
      <c r="H826" s="1">
        <v>45313.19358796296</v>
      </c>
      <c r="I826" s="1">
        <v>45313.19358796296</v>
      </c>
      <c r="J826" s="1">
        <v>40005.27611111111</v>
      </c>
      <c r="K826" cm="1">
        <f t="array" ref="K826" xml:space="preserve"> sentimentCalc(C826)</f>
        <v>0</v>
      </c>
      <c r="L826" t="str" cm="1">
        <f t="array" ref="L826" xml:space="preserve"> sentimentCategory(K826)</f>
        <v>Neutral</v>
      </c>
    </row>
    <row r="827" spans="1:12">
      <c r="A827" t="s">
        <v>255</v>
      </c>
      <c r="B827" t="s">
        <v>3720</v>
      </c>
      <c r="C827" t="str" cm="1">
        <f t="array" ref="C827" xml:space="preserve"> CleanText(B827)</f>
        <v>directed by n morning nalamayhs</v>
      </c>
      <c r="D827">
        <v>1</v>
      </c>
      <c r="E827">
        <v>1</v>
      </c>
      <c r="F827" t="s">
        <v>1961</v>
      </c>
      <c r="G827" t="str" cm="1">
        <f t="array" ref="G827" xml:space="preserve"> FindCountryName(F827)</f>
        <v>Australia</v>
      </c>
      <c r="H827" s="1">
        <v>45313.029780092591</v>
      </c>
      <c r="I827" s="1">
        <v>45313.029780092591</v>
      </c>
      <c r="J827" s="1">
        <v>42162.283067129632</v>
      </c>
      <c r="K827" cm="1">
        <f t="array" ref="K827" xml:space="preserve"> sentimentCalc(C827)</f>
        <v>0</v>
      </c>
      <c r="L827" t="str" cm="1">
        <f t="array" ref="L827" xml:space="preserve"> sentimentCategory(K827)</f>
        <v>Neutral</v>
      </c>
    </row>
    <row r="828" spans="1:12">
      <c r="A828" t="s">
        <v>612</v>
      </c>
      <c r="B828" t="s">
        <v>3719</v>
      </c>
      <c r="C828" t="str" cm="1">
        <f t="array" ref="C828" xml:space="preserve"> CleanText(B828)</f>
        <v>this looks so good i have hope for this new adaptation</v>
      </c>
      <c r="D828">
        <v>1</v>
      </c>
      <c r="E828">
        <v>0</v>
      </c>
      <c r="F828" t="s">
        <v>1961</v>
      </c>
      <c r="G828" t="str" cm="1">
        <f t="array" ref="G828" xml:space="preserve"> FindCountryName(F828)</f>
        <v>Australia</v>
      </c>
      <c r="H828" s="1">
        <v>45312.945150462961</v>
      </c>
      <c r="I828" s="1">
        <v>45312.945150462961</v>
      </c>
      <c r="J828" s="1">
        <v>43424.194675925923</v>
      </c>
      <c r="K828" cm="1">
        <f t="array" ref="K828" xml:space="preserve"> sentimentCalc(C828)</f>
        <v>5</v>
      </c>
      <c r="L828" t="str" cm="1">
        <f t="array" ref="L828" xml:space="preserve"> sentimentCategory(K828)</f>
        <v>Positive</v>
      </c>
    </row>
    <row r="829" spans="1:12">
      <c r="A829" t="s">
        <v>799</v>
      </c>
      <c r="B829" t="s">
        <v>3718</v>
      </c>
      <c r="C829" t="str" cm="1">
        <f t="array" ref="C829" xml:space="preserve"> CleanText(B829)</f>
        <v>fool me once idk ill still check it out</v>
      </c>
      <c r="D829">
        <v>0</v>
      </c>
      <c r="E829">
        <v>0</v>
      </c>
      <c r="F829" t="s">
        <v>0</v>
      </c>
      <c r="G829" t="str" cm="1">
        <f t="array" ref="G829" xml:space="preserve"> FindCountryName(F829)</f>
        <v>None</v>
      </c>
      <c r="H829" s="1">
        <v>45312.944398148145</v>
      </c>
      <c r="I829" s="1">
        <v>45312.944398148145</v>
      </c>
      <c r="J829" s="1">
        <v>39641.066747685189</v>
      </c>
      <c r="K829" cm="1">
        <f t="array" ref="K829" xml:space="preserve"> sentimentCalc(C829)</f>
        <v>-4</v>
      </c>
      <c r="L829" t="str" cm="1">
        <f t="array" ref="L829" xml:space="preserve"> sentimentCategory(K829)</f>
        <v>Negative</v>
      </c>
    </row>
    <row r="830" spans="1:12">
      <c r="A830" t="s">
        <v>43</v>
      </c>
      <c r="B830" t="s">
        <v>3717</v>
      </c>
      <c r="C830" t="str" cm="1">
        <f t="array" ref="C830" xml:space="preserve"> CleanText(B830)</f>
        <v>why does zukos burn scar look like a birth mark it looked cartoony in the cartoon because it was a cartoon here it looks like makeup</v>
      </c>
      <c r="D830">
        <v>1</v>
      </c>
      <c r="E830">
        <v>0</v>
      </c>
      <c r="F830" t="s">
        <v>0</v>
      </c>
      <c r="G830" t="str" cm="1">
        <f t="array" ref="G830" xml:space="preserve"> FindCountryName(F830)</f>
        <v>None</v>
      </c>
      <c r="H830" s="1">
        <v>45312.888020833336</v>
      </c>
      <c r="I830" s="1">
        <v>45312.888020833336</v>
      </c>
      <c r="J830" s="1">
        <v>41552.263923611114</v>
      </c>
      <c r="K830" cm="1">
        <f t="array" ref="K830" xml:space="preserve"> sentimentCalc(C830)</f>
        <v>4</v>
      </c>
      <c r="L830" t="str" cm="1">
        <f t="array" ref="L830" xml:space="preserve"> sentimentCategory(K830)</f>
        <v>Positive</v>
      </c>
    </row>
    <row r="831" spans="1:12">
      <c r="A831" t="s">
        <v>1247</v>
      </c>
      <c r="B831" t="s">
        <v>3716</v>
      </c>
      <c r="C831" t="str" cm="1">
        <f t="array" ref="C831" xml:space="preserve"> CleanText(B831)</f>
        <v>the music alone gives me chills</v>
      </c>
      <c r="D831">
        <v>1</v>
      </c>
      <c r="E831">
        <v>0</v>
      </c>
      <c r="F831" t="s">
        <v>0</v>
      </c>
      <c r="G831" t="str" cm="1">
        <f t="array" ref="G831" xml:space="preserve"> FindCountryName(F831)</f>
        <v>None</v>
      </c>
      <c r="H831" s="1">
        <v>45312.882870370369</v>
      </c>
      <c r="I831" s="1">
        <v>45312.882870370369</v>
      </c>
      <c r="J831" s="1">
        <v>39879.608449074076</v>
      </c>
      <c r="K831" cm="1">
        <f t="array" ref="K831" xml:space="preserve"> sentimentCalc(C831)</f>
        <v>-2</v>
      </c>
      <c r="L831" t="str" cm="1">
        <f t="array" ref="L831" xml:space="preserve"> sentimentCategory(K831)</f>
        <v>Negative</v>
      </c>
    </row>
    <row r="832" spans="1:12">
      <c r="A832" t="s">
        <v>745</v>
      </c>
      <c r="B832" t="s">
        <v>3715</v>
      </c>
      <c r="C832" t="str" cm="1">
        <f t="array" ref="C832" xml:space="preserve"> CleanText(B832)</f>
        <v>5 is where aang fight lord ozai in the grand finale</v>
      </c>
      <c r="D832">
        <v>1</v>
      </c>
      <c r="E832">
        <v>1</v>
      </c>
      <c r="F832" t="s">
        <v>0</v>
      </c>
      <c r="G832" t="str" cm="1">
        <f t="array" ref="G832" xml:space="preserve"> FindCountryName(F832)</f>
        <v>None</v>
      </c>
      <c r="H832" s="1">
        <v>45312.78329861111</v>
      </c>
      <c r="I832" s="1">
        <v>45312.78329861111</v>
      </c>
      <c r="J832" s="1">
        <v>43760.067280092589</v>
      </c>
      <c r="K832" cm="1">
        <f t="array" ref="K832" xml:space="preserve"> sentimentCalc(C832)</f>
        <v>2</v>
      </c>
      <c r="L832" t="str" cm="1">
        <f t="array" ref="L832" xml:space="preserve"> sentimentCategory(K832)</f>
        <v>Positive</v>
      </c>
    </row>
    <row r="833" spans="1:12">
      <c r="A833" t="s">
        <v>3714</v>
      </c>
      <c r="B833" t="s">
        <v>3713</v>
      </c>
      <c r="C833" t="str" cm="1">
        <f t="array" ref="C833" xml:space="preserve"> CleanText(B833)</f>
        <v>unless netflix goes full woke its virtually impossible to mess up the live adaptation considering the source material is already a tv show literally just recreate it scene for scene not that anyone asked for it</v>
      </c>
      <c r="D833">
        <v>10</v>
      </c>
      <c r="E833">
        <v>1</v>
      </c>
      <c r="F833" t="s">
        <v>0</v>
      </c>
      <c r="G833" t="str" cm="1">
        <f t="array" ref="G833" xml:space="preserve"> FindCountryName(F833)</f>
        <v>None</v>
      </c>
      <c r="H833" s="1">
        <v>45312.745937500003</v>
      </c>
      <c r="I833" s="1">
        <v>45312.745937500003</v>
      </c>
      <c r="J833" s="1">
        <v>41703.812662037039</v>
      </c>
      <c r="K833" cm="1">
        <f t="array" ref="K833" xml:space="preserve"> sentimentCalc(C833)</f>
        <v>-2</v>
      </c>
      <c r="L833" t="str" cm="1">
        <f t="array" ref="L833" xml:space="preserve"> sentimentCategory(K833)</f>
        <v>Negative</v>
      </c>
    </row>
    <row r="834" spans="1:12">
      <c r="A834" t="s">
        <v>259</v>
      </c>
      <c r="B834" t="s">
        <v>3712</v>
      </c>
      <c r="C834" t="str" cm="1">
        <f t="array" ref="C834" xml:space="preserve"> CleanText(B834)</f>
        <v>this is already better than the last onelike 0 earthbenders for  rock!</v>
      </c>
      <c r="D834">
        <v>1</v>
      </c>
      <c r="E834">
        <v>0</v>
      </c>
      <c r="F834" t="s">
        <v>0</v>
      </c>
      <c r="G834" t="str" cm="1">
        <f t="array" ref="G834" xml:space="preserve"> FindCountryName(F834)</f>
        <v>None</v>
      </c>
      <c r="H834" s="1">
        <v>45312.662465277775</v>
      </c>
      <c r="I834" s="1">
        <v>45312.662546296298</v>
      </c>
      <c r="J834" s="1">
        <v>44193.230208333334</v>
      </c>
      <c r="K834" cm="1">
        <f t="array" ref="K834" xml:space="preserve"> sentimentCalc(C834)</f>
        <v>2</v>
      </c>
      <c r="L834" t="str" cm="1">
        <f t="array" ref="L834" xml:space="preserve"> sentimentCategory(K834)</f>
        <v>Positive</v>
      </c>
    </row>
    <row r="835" spans="1:12">
      <c r="A835" t="s">
        <v>458</v>
      </c>
      <c r="B835" t="s">
        <v>3711</v>
      </c>
      <c r="C835" t="str" cm="1">
        <f t="array" ref="C835" xml:space="preserve"> CleanText(B835)</f>
        <v>they made zuko so dirty bro</v>
      </c>
      <c r="D835">
        <v>0</v>
      </c>
      <c r="E835">
        <v>2</v>
      </c>
      <c r="F835" t="s">
        <v>0</v>
      </c>
      <c r="G835" t="str" cm="1">
        <f t="array" ref="G835" xml:space="preserve"> FindCountryName(F835)</f>
        <v>None</v>
      </c>
      <c r="H835" s="1">
        <v>45312.657685185186</v>
      </c>
      <c r="I835" s="1">
        <v>45312.657685185186</v>
      </c>
      <c r="J835" s="1">
        <v>43341.910393518519</v>
      </c>
      <c r="K835" cm="1">
        <f t="array" ref="K835" xml:space="preserve"> sentimentCalc(C835)</f>
        <v>-2</v>
      </c>
      <c r="L835" t="str" cm="1">
        <f t="array" ref="L835" xml:space="preserve"> sentimentCategory(K835)</f>
        <v>Negative</v>
      </c>
    </row>
    <row r="836" spans="1:12">
      <c r="A836" t="s">
        <v>1827</v>
      </c>
      <c r="B836" t="s">
        <v>3710</v>
      </c>
      <c r="C836" t="str" cm="1">
        <f t="array" ref="C836" xml:space="preserve"> CleanText(B836)</f>
        <v>i really hope this show still has some comedic moments or ill be pretty sad the original really drew me in with how funny it could be but if it was playing it straight id feel like something essential was missing ya know</v>
      </c>
      <c r="D836">
        <v>2</v>
      </c>
      <c r="E836">
        <v>1</v>
      </c>
      <c r="F836" t="s">
        <v>0</v>
      </c>
      <c r="G836" t="str" cm="1">
        <f t="array" ref="G836" xml:space="preserve"> FindCountryName(F836)</f>
        <v>None</v>
      </c>
      <c r="H836" s="1">
        <v>45312.646331018521</v>
      </c>
      <c r="I836" s="1">
        <v>45312.646331018521</v>
      </c>
      <c r="J836" s="1">
        <v>42602.627581018518</v>
      </c>
      <c r="K836" cm="1">
        <f t="array" ref="K836" xml:space="preserve"> sentimentCalc(C836)</f>
        <v>4</v>
      </c>
      <c r="L836" t="str" cm="1">
        <f t="array" ref="L836" xml:space="preserve"> sentimentCategory(K836)</f>
        <v>Positive</v>
      </c>
    </row>
    <row r="837" spans="1:12">
      <c r="A837" t="s">
        <v>462</v>
      </c>
      <c r="B837" t="s">
        <v>3709</v>
      </c>
      <c r="C837" t="str" cm="1">
        <f t="array" ref="C837" xml:space="preserve"> CleanText(B837)</f>
        <v>looks awful tbh</v>
      </c>
      <c r="D837">
        <v>0</v>
      </c>
      <c r="E837">
        <v>0</v>
      </c>
      <c r="F837" t="s">
        <v>0</v>
      </c>
      <c r="G837" t="str" cm="1">
        <f t="array" ref="G837" xml:space="preserve"> FindCountryName(F837)</f>
        <v>None</v>
      </c>
      <c r="H837" s="1">
        <v>45312.632303240738</v>
      </c>
      <c r="I837" s="1">
        <v>45312.632303240738</v>
      </c>
      <c r="J837" s="1">
        <v>43665.146249999998</v>
      </c>
      <c r="K837" cm="1">
        <f t="array" ref="K837" xml:space="preserve"> sentimentCalc(C837)</f>
        <v>-3</v>
      </c>
      <c r="L837" t="str" cm="1">
        <f t="array" ref="L837" xml:space="preserve"> sentimentCategory(K837)</f>
        <v>Negative</v>
      </c>
    </row>
    <row r="838" spans="1:12">
      <c r="A838" t="s">
        <v>28</v>
      </c>
      <c r="B838" t="s">
        <v>3708</v>
      </c>
      <c r="C838" t="str" cm="1">
        <f t="array" ref="C838" xml:space="preserve"> CleanText(B838)</f>
        <v>aang looks like aang</v>
      </c>
      <c r="D838">
        <v>3</v>
      </c>
      <c r="E838">
        <v>0</v>
      </c>
      <c r="F838" t="s">
        <v>0</v>
      </c>
      <c r="G838" t="str" cm="1">
        <f t="array" ref="G838" xml:space="preserve"> FindCountryName(F838)</f>
        <v>None</v>
      </c>
      <c r="H838" s="1">
        <v>45312.564409722225</v>
      </c>
      <c r="I838" s="1">
        <v>45312.564409722225</v>
      </c>
      <c r="J838" s="1">
        <v>44441.039664351854</v>
      </c>
      <c r="K838" cm="1">
        <f t="array" ref="K838" xml:space="preserve"> sentimentCalc(C838)</f>
        <v>2</v>
      </c>
      <c r="L838" t="str" cm="1">
        <f t="array" ref="L838" xml:space="preserve"> sentimentCategory(K838)</f>
        <v>Positive</v>
      </c>
    </row>
    <row r="839" spans="1:12">
      <c r="A839" t="s">
        <v>225</v>
      </c>
      <c r="B839" t="s">
        <v>3707</v>
      </c>
      <c r="C839" t="str" cm="1">
        <f t="array" ref="C839" xml:space="preserve"> CleanText(B839)</f>
        <v>is it just me or this sokka looks serious sokka was charasmatic funny and energetic and thats what stood him out</v>
      </c>
      <c r="D839">
        <v>0</v>
      </c>
      <c r="E839">
        <v>1</v>
      </c>
      <c r="F839" t="s">
        <v>0</v>
      </c>
      <c r="G839" t="str" cm="1">
        <f t="array" ref="G839" xml:space="preserve"> FindCountryName(F839)</f>
        <v>None</v>
      </c>
      <c r="H839" s="1">
        <v>45312.559548611112</v>
      </c>
      <c r="I839" s="1">
        <v>45312.559548611112</v>
      </c>
      <c r="J839" s="1">
        <v>42128.601504629631</v>
      </c>
      <c r="K839" cm="1">
        <f t="array" ref="K839" xml:space="preserve"> sentimentCalc(C839)</f>
        <v>6</v>
      </c>
      <c r="L839" t="str" cm="1">
        <f t="array" ref="L839" xml:space="preserve"> sentimentCategory(K839)</f>
        <v>Positive</v>
      </c>
    </row>
    <row r="840" spans="1:12">
      <c r="A840" t="s">
        <v>1981</v>
      </c>
      <c r="B840" t="s">
        <v>3706</v>
      </c>
      <c r="C840" t="str" cm="1">
        <f t="array" ref="C840" xml:space="preserve"> CleanText(B840)</f>
        <v>if the movie isnt over  hours long ill be scared to watch it</v>
      </c>
      <c r="D840">
        <v>1</v>
      </c>
      <c r="E840">
        <v>1</v>
      </c>
      <c r="F840" t="s">
        <v>0</v>
      </c>
      <c r="G840" t="str" cm="1">
        <f t="array" ref="G840" xml:space="preserve"> FindCountryName(F840)</f>
        <v>None</v>
      </c>
      <c r="H840" s="1">
        <v>45312.539143518516</v>
      </c>
      <c r="I840" s="1">
        <v>45312.539143518516</v>
      </c>
      <c r="J840" s="1">
        <v>43079.597337962965</v>
      </c>
      <c r="K840" cm="1">
        <f t="array" ref="K840" xml:space="preserve"> sentimentCalc(C840)</f>
        <v>-4</v>
      </c>
      <c r="L840" t="str" cm="1">
        <f t="array" ref="L840" xml:space="preserve"> sentimentCategory(K840)</f>
        <v>Negative</v>
      </c>
    </row>
    <row r="841" spans="1:12">
      <c r="A841" t="s">
        <v>58</v>
      </c>
      <c r="B841" t="s">
        <v>3705</v>
      </c>
      <c r="C841" t="str" cm="1">
        <f t="array" ref="C841" xml:space="preserve"> CleanText(B841)</f>
        <v>me constantly reminding myself lord ozai is the bad guy u cant find him hot _xDC40_</v>
      </c>
      <c r="D841">
        <v>0</v>
      </c>
      <c r="E841">
        <v>0</v>
      </c>
      <c r="F841" t="s">
        <v>19</v>
      </c>
      <c r="G841" t="str" cm="1">
        <f t="array" ref="G841" xml:space="preserve"> FindCountryName(F841)</f>
        <v>United States of America (the)</v>
      </c>
      <c r="H841" s="1">
        <v>45312.531863425924</v>
      </c>
      <c r="I841" s="1">
        <v>45312.531863425924</v>
      </c>
      <c r="J841" s="1">
        <v>40026.865358796298</v>
      </c>
      <c r="K841" cm="1">
        <f t="array" ref="K841" xml:space="preserve"> sentimentCalc(C841)</f>
        <v>-3</v>
      </c>
      <c r="L841" t="str" cm="1">
        <f t="array" ref="L841" xml:space="preserve"> sentimentCategory(K841)</f>
        <v>Negative</v>
      </c>
    </row>
    <row r="842" spans="1:12">
      <c r="A842" t="s">
        <v>2389</v>
      </c>
      <c r="B842" t="s">
        <v>3704</v>
      </c>
      <c r="C842" t="str" cm="1">
        <f t="array" ref="C842" xml:space="preserve"> CleanText(B842)</f>
        <v>i know im probably going to get a serious ton of hate for asking this question and if so thats okay but if you couldheavy emphasis on that word say one good thing about the liveaction film what would it be i personally thought the way they did aangs airbending tattoos was cool as hell</v>
      </c>
      <c r="D842">
        <v>0</v>
      </c>
      <c r="E842">
        <v>2</v>
      </c>
      <c r="F842" t="s">
        <v>0</v>
      </c>
      <c r="G842" t="str" cm="1">
        <f t="array" ref="G842" xml:space="preserve"> FindCountryName(F842)</f>
        <v>None</v>
      </c>
      <c r="H842" s="1">
        <v>45312.513009259259</v>
      </c>
      <c r="I842" s="1">
        <v>45312.513009259259</v>
      </c>
      <c r="J842" s="1">
        <v>45257.776307870372</v>
      </c>
      <c r="K842" cm="1">
        <f t="array" ref="K842" xml:space="preserve"> sentimentCalc(C842)</f>
        <v>-3</v>
      </c>
      <c r="L842" t="str" cm="1">
        <f t="array" ref="L842" xml:space="preserve"> sentimentCategory(K842)</f>
        <v>Negative</v>
      </c>
    </row>
    <row r="843" spans="1:12">
      <c r="A843" t="s">
        <v>1705</v>
      </c>
      <c r="B843" t="s">
        <v>3703</v>
      </c>
      <c r="C843" t="str" cm="1">
        <f t="array" ref="C843" xml:space="preserve"> CleanText(B843)</f>
        <v>is this why they did not do a rd animated series of the next avatar</v>
      </c>
      <c r="D843">
        <v>0</v>
      </c>
      <c r="E843">
        <v>1</v>
      </c>
      <c r="F843" t="s">
        <v>0</v>
      </c>
      <c r="G843" t="str" cm="1">
        <f t="array" ref="G843" xml:space="preserve"> FindCountryName(F843)</f>
        <v>None</v>
      </c>
      <c r="H843" s="1">
        <v>45312.512708333335</v>
      </c>
      <c r="I843" s="1">
        <v>45312.512708333335</v>
      </c>
      <c r="J843" s="1">
        <v>44045.053425925929</v>
      </c>
      <c r="K843" cm="1">
        <f t="array" ref="K843" xml:space="preserve"> sentimentCalc(C843)</f>
        <v>0</v>
      </c>
      <c r="L843" t="str" cm="1">
        <f t="array" ref="L843" xml:space="preserve"> sentimentCategory(K843)</f>
        <v>Neutral</v>
      </c>
    </row>
    <row r="844" spans="1:12">
      <c r="A844" t="s">
        <v>1666</v>
      </c>
      <c r="B844" t="s">
        <v>3702</v>
      </c>
      <c r="C844" t="str" cm="1">
        <f t="array" ref="C844" xml:space="preserve"> CleanText(B844)</f>
        <v>it makes my eyes water</v>
      </c>
      <c r="D844">
        <v>0</v>
      </c>
      <c r="E844">
        <v>0</v>
      </c>
      <c r="F844" t="s">
        <v>0</v>
      </c>
      <c r="G844" t="str" cm="1">
        <f t="array" ref="G844" xml:space="preserve"> FindCountryName(F844)</f>
        <v>None</v>
      </c>
      <c r="H844" s="1">
        <v>45312.49486111111</v>
      </c>
      <c r="I844" s="1">
        <v>45312.49486111111</v>
      </c>
      <c r="J844" s="1">
        <v>41282.491226851853</v>
      </c>
      <c r="K844" cm="1">
        <f t="array" ref="K844" xml:space="preserve"> sentimentCalc(C844)</f>
        <v>0</v>
      </c>
      <c r="L844" t="str" cm="1">
        <f t="array" ref="L844" xml:space="preserve"> sentimentCategory(K844)</f>
        <v>Neutral</v>
      </c>
    </row>
    <row r="845" spans="1:12">
      <c r="A845" t="s">
        <v>1565</v>
      </c>
      <c r="B845" t="s">
        <v>3701</v>
      </c>
      <c r="C845" t="str" cm="1">
        <f t="array" ref="C845" xml:space="preserve"> CleanText(B845)</f>
        <v>hopefully this one will better then the other garbage movie</v>
      </c>
      <c r="D845">
        <v>0</v>
      </c>
      <c r="E845">
        <v>0</v>
      </c>
      <c r="F845" t="s">
        <v>0</v>
      </c>
      <c r="G845" t="str" cm="1">
        <f t="array" ref="G845" xml:space="preserve"> FindCountryName(F845)</f>
        <v>None</v>
      </c>
      <c r="H845" s="1">
        <v>45312.486655092594</v>
      </c>
      <c r="I845" s="1">
        <v>45312.486655092594</v>
      </c>
      <c r="J845" s="1">
        <v>41568.477824074071</v>
      </c>
      <c r="K845" cm="1">
        <f t="array" ref="K845" xml:space="preserve"> sentimentCalc(C845)</f>
        <v>4</v>
      </c>
      <c r="L845" t="str" cm="1">
        <f t="array" ref="L845" xml:space="preserve"> sentimentCategory(K845)</f>
        <v>Positive</v>
      </c>
    </row>
    <row r="846" spans="1:12">
      <c r="A846" t="s">
        <v>255</v>
      </c>
      <c r="B846" t="s">
        <v>3700</v>
      </c>
      <c r="C846" t="str" cm="1">
        <f t="array" ref="C846" xml:space="preserve"> CleanText(B846)</f>
        <v>it looks decent enough</v>
      </c>
      <c r="D846">
        <v>0</v>
      </c>
      <c r="E846">
        <v>0</v>
      </c>
      <c r="F846" t="s">
        <v>0</v>
      </c>
      <c r="G846" t="str" cm="1">
        <f t="array" ref="G846" xml:space="preserve"> FindCountryName(F846)</f>
        <v>None</v>
      </c>
      <c r="H846" s="1">
        <v>45312.482222222221</v>
      </c>
      <c r="I846" s="1">
        <v>45312.482222222221</v>
      </c>
      <c r="J846" s="1">
        <v>41658.176562499997</v>
      </c>
      <c r="K846" cm="1">
        <f t="array" ref="K846" xml:space="preserve"> sentimentCalc(C846)</f>
        <v>0</v>
      </c>
      <c r="L846" t="str" cm="1">
        <f t="array" ref="L846" xml:space="preserve"> sentimentCategory(K846)</f>
        <v>Neutral</v>
      </c>
    </row>
    <row r="847" spans="1:12">
      <c r="A847" t="s">
        <v>3699</v>
      </c>
      <c r="B847" t="s">
        <v>3698</v>
      </c>
      <c r="C847" t="str" cm="1">
        <f t="array" ref="C847" xml:space="preserve"> CleanText(B847)</f>
        <v>cant wait for this</v>
      </c>
      <c r="D847">
        <v>0</v>
      </c>
      <c r="E847">
        <v>0</v>
      </c>
      <c r="F847" t="s">
        <v>0</v>
      </c>
      <c r="G847" t="str" cm="1">
        <f t="array" ref="G847" xml:space="preserve"> FindCountryName(F847)</f>
        <v>None</v>
      </c>
      <c r="H847" s="1">
        <v>45312.448333333334</v>
      </c>
      <c r="I847" s="1">
        <v>45312.448333333334</v>
      </c>
      <c r="J847" s="1">
        <v>43916.285740740743</v>
      </c>
      <c r="K847" cm="1">
        <f t="array" ref="K847" xml:space="preserve"> sentimentCalc(C847)</f>
        <v>0</v>
      </c>
      <c r="L847" t="str" cm="1">
        <f t="array" ref="L847" xml:space="preserve"> sentimentCategory(K847)</f>
        <v>Neutral</v>
      </c>
    </row>
    <row r="848" spans="1:12">
      <c r="A848" t="s">
        <v>376</v>
      </c>
      <c r="B848" t="s">
        <v>3697</v>
      </c>
      <c r="C848" t="str" cm="1">
        <f t="array" ref="C848" xml:space="preserve"> CleanText(B848)</f>
        <v>i do not agree with them revealing the fire lords face so early that was what made the mystery of the big baddie so good that even as a child i too feared the fire lord _xDD25_</v>
      </c>
      <c r="D848">
        <v>0</v>
      </c>
      <c r="E848">
        <v>1</v>
      </c>
      <c r="F848" t="s">
        <v>0</v>
      </c>
      <c r="G848" t="str" cm="1">
        <f t="array" ref="G848" xml:space="preserve"> FindCountryName(F848)</f>
        <v>None</v>
      </c>
      <c r="H848" s="1">
        <v>45312.337280092594</v>
      </c>
      <c r="I848" s="1">
        <v>45312.337280092594</v>
      </c>
      <c r="J848" s="1">
        <v>44238.431585648148</v>
      </c>
      <c r="K848" cm="1">
        <f t="array" ref="K848" xml:space="preserve"> sentimentCalc(C848)</f>
        <v>1</v>
      </c>
      <c r="L848" t="str" cm="1">
        <f t="array" ref="L848" xml:space="preserve"> sentimentCategory(K848)</f>
        <v>Positive</v>
      </c>
    </row>
    <row r="849" spans="1:12">
      <c r="A849" t="s">
        <v>786</v>
      </c>
      <c r="B849" t="s">
        <v>3696</v>
      </c>
      <c r="C849" t="str" cm="1">
        <f t="array" ref="C849" xml:space="preserve"> CleanText(B849)</f>
        <v>cant wait _xDE0A_</v>
      </c>
      <c r="D849">
        <v>0</v>
      </c>
      <c r="E849">
        <v>0</v>
      </c>
      <c r="F849" t="s">
        <v>0</v>
      </c>
      <c r="G849" t="str" cm="1">
        <f t="array" ref="G849" xml:space="preserve"> FindCountryName(F849)</f>
        <v>None</v>
      </c>
      <c r="H849" s="1">
        <v>45312.333611111113</v>
      </c>
      <c r="I849" s="1">
        <v>45312.333611111113</v>
      </c>
      <c r="J849" s="1">
        <v>40829.484965277778</v>
      </c>
      <c r="K849" cm="1">
        <f t="array" ref="K849" xml:space="preserve"> sentimentCalc(C849)</f>
        <v>0</v>
      </c>
      <c r="L849" t="str" cm="1">
        <f t="array" ref="L849" xml:space="preserve"> sentimentCategory(K849)</f>
        <v>Neutral</v>
      </c>
    </row>
    <row r="850" spans="1:12">
      <c r="A850" t="s">
        <v>824</v>
      </c>
      <c r="B850" t="s">
        <v>3695</v>
      </c>
      <c r="C850" t="str" cm="1">
        <f t="array" ref="C850" xml:space="preserve"> CleanText(B850)</f>
        <v>after seeing one piece i got hope</v>
      </c>
      <c r="D850">
        <v>2</v>
      </c>
      <c r="E850">
        <v>0</v>
      </c>
      <c r="F850" t="s">
        <v>0</v>
      </c>
      <c r="G850" t="str" cm="1">
        <f t="array" ref="G850" xml:space="preserve"> FindCountryName(F850)</f>
        <v>None</v>
      </c>
      <c r="H850" s="1">
        <v>45312.321087962962</v>
      </c>
      <c r="I850" s="1">
        <v>45312.321087962962</v>
      </c>
      <c r="J850" s="1">
        <v>39071.628101851849</v>
      </c>
      <c r="K850" cm="1">
        <f t="array" ref="K850" xml:space="preserve"> sentimentCalc(C850)</f>
        <v>2</v>
      </c>
      <c r="L850" t="str" cm="1">
        <f t="array" ref="L850" xml:space="preserve"> sentimentCategory(K850)</f>
        <v>Positive</v>
      </c>
    </row>
    <row r="851" spans="1:12">
      <c r="A851" t="s">
        <v>345</v>
      </c>
      <c r="B851" t="s">
        <v>3694</v>
      </c>
      <c r="C851" t="str" cm="1">
        <f t="array" ref="C851" xml:space="preserve"> CleanText(B851)</f>
        <v>daaaang its so much better than the previous live action</v>
      </c>
      <c r="D851">
        <v>1</v>
      </c>
      <c r="E851">
        <v>0</v>
      </c>
      <c r="F851" t="s">
        <v>0</v>
      </c>
      <c r="G851" t="str" cm="1">
        <f t="array" ref="G851" xml:space="preserve"> FindCountryName(F851)</f>
        <v>None</v>
      </c>
      <c r="H851" s="1">
        <v>45312.242546296293</v>
      </c>
      <c r="I851" s="1">
        <v>45312.242546296293</v>
      </c>
      <c r="J851" s="1">
        <v>42260.038356481484</v>
      </c>
      <c r="K851" cm="1">
        <f t="array" ref="K851" xml:space="preserve"> sentimentCalc(C851)</f>
        <v>2</v>
      </c>
      <c r="L851" t="str" cm="1">
        <f t="array" ref="L851" xml:space="preserve"> sentimentCategory(K851)</f>
        <v>Positive</v>
      </c>
    </row>
    <row r="852" spans="1:12">
      <c r="A852" t="s">
        <v>76</v>
      </c>
      <c r="B852" t="s">
        <v>3693</v>
      </c>
      <c r="C852" t="str" cm="1">
        <f t="array" ref="C852" xml:space="preserve"> CleanText(B852)</f>
        <v>trailer comes out tomorrow folks get readyy</v>
      </c>
      <c r="D852">
        <v>2</v>
      </c>
      <c r="E852">
        <v>9</v>
      </c>
      <c r="F852" t="s">
        <v>0</v>
      </c>
      <c r="G852" t="str" cm="1">
        <f t="array" ref="G852" xml:space="preserve"> FindCountryName(F852)</f>
        <v>None</v>
      </c>
      <c r="H852" s="1">
        <v>45312.221192129633</v>
      </c>
      <c r="I852" s="1">
        <v>45312.221192129633</v>
      </c>
      <c r="J852" s="1">
        <v>42201.278506944444</v>
      </c>
      <c r="K852" cm="1">
        <f t="array" ref="K852" xml:space="preserve"> sentimentCalc(C852)</f>
        <v>0</v>
      </c>
      <c r="L852" t="str" cm="1">
        <f t="array" ref="L852" xml:space="preserve"> sentimentCategory(K852)</f>
        <v>Neutral</v>
      </c>
    </row>
    <row r="853" spans="1:12">
      <c r="A853" t="s">
        <v>3692</v>
      </c>
      <c r="B853" t="s">
        <v>3691</v>
      </c>
      <c r="C853" t="str" cm="1">
        <f t="array" ref="C853" xml:space="preserve"> CleanText(B853)</f>
        <v>it looks really promising in some ways but have you seen sokka and katara theyre obviously way older especially sokka as id like to see more reality of the war like violence and trauma i cant stand seeing characters to be aged up just to throw in an adult scene why thats the worst thing you could do to the atla bitter and scepticism only</v>
      </c>
      <c r="D853">
        <v>0</v>
      </c>
      <c r="E853">
        <v>0</v>
      </c>
      <c r="F853" t="s">
        <v>0</v>
      </c>
      <c r="G853" t="str" cm="1">
        <f t="array" ref="G853" xml:space="preserve"> FindCountryName(F853)</f>
        <v>None</v>
      </c>
      <c r="H853" s="1">
        <v>45312.21738425926</v>
      </c>
      <c r="I853" s="1">
        <v>45312.21738425926</v>
      </c>
      <c r="J853" s="1">
        <v>42470.066550925927</v>
      </c>
      <c r="K853" cm="1">
        <f t="array" ref="K853" xml:space="preserve"> sentimentCalc(C853)</f>
        <v>-9</v>
      </c>
      <c r="L853" t="str" cm="1">
        <f t="array" ref="L853" xml:space="preserve"> sentimentCategory(K853)</f>
        <v>Negative</v>
      </c>
    </row>
    <row r="854" spans="1:12">
      <c r="A854" t="s">
        <v>3690</v>
      </c>
      <c r="B854" t="s">
        <v>3689</v>
      </c>
      <c r="C854" t="str" cm="1">
        <f t="array" ref="C854" xml:space="preserve"> CleanText(B854)</f>
        <v>б    р         р         n</v>
      </c>
      <c r="D854">
        <v>1</v>
      </c>
      <c r="E854">
        <v>0</v>
      </c>
      <c r="F854" t="s">
        <v>0</v>
      </c>
      <c r="G854" t="str" cm="1">
        <f t="array" ref="G854" xml:space="preserve"> FindCountryName(F854)</f>
        <v>None</v>
      </c>
      <c r="H854" s="1">
        <v>45312.208993055552</v>
      </c>
      <c r="I854" s="1">
        <v>45312.209560185183</v>
      </c>
      <c r="J854" s="1">
        <v>42175.662280092591</v>
      </c>
      <c r="K854" cm="1">
        <f t="array" ref="K854" xml:space="preserve"> sentimentCalc(C854)</f>
        <v>0</v>
      </c>
      <c r="L854" t="str" cm="1">
        <f t="array" ref="L854" xml:space="preserve"> sentimentCategory(K854)</f>
        <v>Neutral</v>
      </c>
    </row>
    <row r="855" spans="1:12">
      <c r="A855" t="s">
        <v>259</v>
      </c>
      <c r="B855" t="s">
        <v>3688</v>
      </c>
      <c r="C855" t="str" cm="1">
        <f t="array" ref="C855" xml:space="preserve"> CleanText(B855)</f>
        <v>the fact that the original show runners quit on this is on its self a bad start</v>
      </c>
      <c r="D855">
        <v>0</v>
      </c>
      <c r="E855">
        <v>1</v>
      </c>
      <c r="F855" t="s">
        <v>0</v>
      </c>
      <c r="G855" t="str" cm="1">
        <f t="array" ref="G855" xml:space="preserve"> FindCountryName(F855)</f>
        <v>None</v>
      </c>
      <c r="H855" s="1">
        <v>45312.188159722224</v>
      </c>
      <c r="I855" s="1">
        <v>45312.188159722224</v>
      </c>
      <c r="J855" s="1">
        <v>45032.130497685182</v>
      </c>
      <c r="K855" cm="1">
        <f t="array" ref="K855" xml:space="preserve"> sentimentCalc(C855)</f>
        <v>-3</v>
      </c>
      <c r="L855" t="str" cm="1">
        <f t="array" ref="L855" xml:space="preserve"> sentimentCategory(K855)</f>
        <v>Negative</v>
      </c>
    </row>
    <row r="856" spans="1:12">
      <c r="A856" t="s">
        <v>4</v>
      </c>
      <c r="B856" t="s">
        <v>3687</v>
      </c>
      <c r="C856" t="str" cm="1">
        <f t="array" ref="C856" xml:space="preserve"> CleanText(B856)</f>
        <v>currently rewatching the og show on netflix as we speak on book iii watching one of my favorite episodes  _xDDD4__xDE03_ _xDDF1_  _xDDD9__xDDFC__xDDF1_" i sincerely hope as we all do that this show lives up to all of our expectations except m night shyamalama</v>
      </c>
      <c r="D856">
        <v>0</v>
      </c>
      <c r="E856">
        <v>0</v>
      </c>
      <c r="F856" t="s">
        <v>19</v>
      </c>
      <c r="G856" t="str" cm="1">
        <f t="array" ref="G856" xml:space="preserve"> FindCountryName(F856)</f>
        <v>United States of America (the)</v>
      </c>
      <c r="H856" s="1">
        <v>45312.157199074078</v>
      </c>
      <c r="I856" s="1">
        <v>45312.157199074078</v>
      </c>
      <c r="J856" s="1">
        <v>42934.929814814815</v>
      </c>
      <c r="K856" cm="1">
        <f t="array" ref="K856" xml:space="preserve"> sentimentCalc(C856)</f>
        <v>6</v>
      </c>
      <c r="L856" t="str" cm="1">
        <f t="array" ref="L856" xml:space="preserve"> sentimentCategory(K856)</f>
        <v>Positive</v>
      </c>
    </row>
    <row r="857" spans="1:12">
      <c r="A857" t="s">
        <v>1762</v>
      </c>
      <c r="B857" t="s">
        <v>3686</v>
      </c>
      <c r="C857" t="str" cm="1">
        <f t="array" ref="C857" xml:space="preserve"> CleanText(B857)</f>
        <v>just wait for its release</v>
      </c>
      <c r="D857">
        <v>0</v>
      </c>
      <c r="E857">
        <v>0</v>
      </c>
      <c r="F857" t="s">
        <v>0</v>
      </c>
      <c r="G857" t="str" cm="1">
        <f t="array" ref="G857" xml:space="preserve"> FindCountryName(F857)</f>
        <v>None</v>
      </c>
      <c r="H857" s="1">
        <v>45312.151469907411</v>
      </c>
      <c r="I857" s="1">
        <v>45312.151469907411</v>
      </c>
      <c r="J857" s="1">
        <v>44851.006145833337</v>
      </c>
      <c r="K857" cm="1">
        <f t="array" ref="K857" xml:space="preserve"> sentimentCalc(C857)</f>
        <v>0</v>
      </c>
      <c r="L857" t="str" cm="1">
        <f t="array" ref="L857" xml:space="preserve"> sentimentCategory(K857)</f>
        <v>Neutral</v>
      </c>
    </row>
    <row r="858" spans="1:12">
      <c r="A858" t="s">
        <v>1112</v>
      </c>
      <c r="B858" t="s">
        <v>3685</v>
      </c>
      <c r="C858" t="str" cm="1">
        <f t="array" ref="C858" xml:space="preserve"> CleanText(B858)</f>
        <v>cant wait to see aang become the ocean spirit live on the last episode</v>
      </c>
      <c r="D858">
        <v>1</v>
      </c>
      <c r="E858">
        <v>0</v>
      </c>
      <c r="F858" t="s">
        <v>0</v>
      </c>
      <c r="G858" t="str" cm="1">
        <f t="array" ref="G858" xml:space="preserve"> FindCountryName(F858)</f>
        <v>None</v>
      </c>
      <c r="H858" s="1">
        <v>45312.135844907411</v>
      </c>
      <c r="I858" s="1">
        <v>45312.135844907411</v>
      </c>
      <c r="J858" s="1">
        <v>44780.166967592595</v>
      </c>
      <c r="K858" cm="1">
        <f t="array" ref="K858" xml:space="preserve"> sentimentCalc(C858)</f>
        <v>1</v>
      </c>
      <c r="L858" t="str" cm="1">
        <f t="array" ref="L858" xml:space="preserve"> sentimentCategory(K858)</f>
        <v>Positive</v>
      </c>
    </row>
    <row r="859" spans="1:12">
      <c r="A859" t="s">
        <v>1000</v>
      </c>
      <c r="B859" t="s">
        <v>3684</v>
      </c>
      <c r="C859" t="str" cm="1">
        <f t="array" ref="C859" xml:space="preserve"> CleanText(B859)</f>
        <v>ive had doubts but this looks promising will see next month</v>
      </c>
      <c r="D859">
        <v>3</v>
      </c>
      <c r="E859">
        <v>0</v>
      </c>
      <c r="F859" t="s">
        <v>0</v>
      </c>
      <c r="G859" t="str" cm="1">
        <f t="array" ref="G859" xml:space="preserve"> FindCountryName(F859)</f>
        <v>None</v>
      </c>
      <c r="H859" s="1">
        <v>45312.030740740738</v>
      </c>
      <c r="I859" s="1">
        <v>45312.030740740738</v>
      </c>
      <c r="J859" s="1">
        <v>44298.420092592591</v>
      </c>
      <c r="K859" cm="1">
        <f t="array" ref="K859" xml:space="preserve"> sentimentCalc(C859)</f>
        <v>-1</v>
      </c>
      <c r="L859" t="str" cm="1">
        <f t="array" ref="L859" xml:space="preserve"> sentimentCategory(K859)</f>
        <v>Negative</v>
      </c>
    </row>
    <row r="860" spans="1:12">
      <c r="A860" t="s">
        <v>76</v>
      </c>
      <c r="B860" t="s">
        <v>3683</v>
      </c>
      <c r="C860" t="str" cm="1">
        <f t="array" ref="C860" xml:space="preserve"> CleanText(B860)</f>
        <v>omgthe quality is superbwhen watching my hair stood up</v>
      </c>
      <c r="D860">
        <v>0</v>
      </c>
      <c r="E860">
        <v>0</v>
      </c>
      <c r="F860" t="s">
        <v>0</v>
      </c>
      <c r="G860" t="str" cm="1">
        <f t="array" ref="G860" xml:space="preserve"> FindCountryName(F860)</f>
        <v>None</v>
      </c>
      <c r="H860" s="1">
        <v>45311.998182870368</v>
      </c>
      <c r="I860" s="1">
        <v>45311.998182870368</v>
      </c>
      <c r="J860" s="1">
        <v>41657.418877314813</v>
      </c>
      <c r="K860" cm="1">
        <f t="array" ref="K860" xml:space="preserve"> sentimentCalc(C860)</f>
        <v>0</v>
      </c>
      <c r="L860" t="str" cm="1">
        <f t="array" ref="L860" xml:space="preserve"> sentimentCategory(K860)</f>
        <v>Neutral</v>
      </c>
    </row>
    <row r="861" spans="1:12">
      <c r="A861" t="s">
        <v>3682</v>
      </c>
      <c r="B861" t="s">
        <v>3681</v>
      </c>
      <c r="C861" t="str" cm="1">
        <f t="array" ref="C861" xml:space="preserve"> CleanText(B861)</f>
        <v>unpopular opinion but it would have been sick if they had created a new avatar for the liveaction reset expectations and continue the story</v>
      </c>
      <c r="D861">
        <v>0</v>
      </c>
      <c r="E861">
        <v>1</v>
      </c>
      <c r="F861" t="s">
        <v>0</v>
      </c>
      <c r="G861" t="str" cm="1">
        <f t="array" ref="G861" xml:space="preserve"> FindCountryName(F861)</f>
        <v>None</v>
      </c>
      <c r="H861" s="1">
        <v>45311.954861111109</v>
      </c>
      <c r="I861" s="1">
        <v>45311.954861111109</v>
      </c>
      <c r="J861" s="1">
        <v>41634.748148148145</v>
      </c>
      <c r="K861" cm="1">
        <f t="array" ref="K861" xml:space="preserve"> sentimentCalc(C861)</f>
        <v>-2</v>
      </c>
      <c r="L861" t="str" cm="1">
        <f t="array" ref="L861" xml:space="preserve"> sentimentCategory(K861)</f>
        <v>Negative</v>
      </c>
    </row>
    <row r="862" spans="1:12">
      <c r="A862" t="s">
        <v>510</v>
      </c>
      <c r="B862" t="s">
        <v>3680</v>
      </c>
      <c r="C862" t="str" cm="1">
        <f t="array" ref="C862" xml:space="preserve"> CleanText(B862)</f>
        <v>who is the narrator supposed to be is that roku</v>
      </c>
      <c r="D862">
        <v>0</v>
      </c>
      <c r="E862">
        <v>1</v>
      </c>
      <c r="F862" t="s">
        <v>0</v>
      </c>
      <c r="G862" t="str" cm="1">
        <f t="array" ref="G862" xml:space="preserve"> FindCountryName(F862)</f>
        <v>None</v>
      </c>
      <c r="H862" s="1">
        <v>45311.856863425928</v>
      </c>
      <c r="I862" s="1">
        <v>45311.856863425928</v>
      </c>
      <c r="J862" s="1">
        <v>39176.6403125</v>
      </c>
      <c r="K862" cm="1">
        <f t="array" ref="K862" xml:space="preserve"> sentimentCalc(C862)</f>
        <v>0</v>
      </c>
      <c r="L862" t="str" cm="1">
        <f t="array" ref="L862" xml:space="preserve"> sentimentCategory(K862)</f>
        <v>Neutral</v>
      </c>
    </row>
    <row r="863" spans="1:12">
      <c r="A863" t="s">
        <v>1258</v>
      </c>
      <c r="B863" t="s">
        <v>3679</v>
      </c>
      <c r="C863" t="str" cm="1">
        <f t="array" ref="C863" xml:space="preserve"> CleanText(B863)</f>
        <v>when aang gets on shadowfax and says show us the meaning of haste literally chills</v>
      </c>
      <c r="D863">
        <v>0</v>
      </c>
      <c r="E863">
        <v>0</v>
      </c>
      <c r="F863" t="s">
        <v>0</v>
      </c>
      <c r="G863" t="str" cm="1">
        <f t="array" ref="G863" xml:space="preserve"> FindCountryName(F863)</f>
        <v>None</v>
      </c>
      <c r="H863" s="1">
        <v>45311.82712962963</v>
      </c>
      <c r="I863" s="1">
        <v>45311.82712962963</v>
      </c>
      <c r="J863" s="1">
        <v>40960.848958333336</v>
      </c>
      <c r="K863" cm="1">
        <f t="array" ref="K863" xml:space="preserve"> sentimentCalc(C863)</f>
        <v>0</v>
      </c>
      <c r="L863" t="str" cm="1">
        <f t="array" ref="L863" xml:space="preserve"> sentimentCategory(K863)</f>
        <v>Neutral</v>
      </c>
    </row>
    <row r="864" spans="1:12">
      <c r="A864" t="s">
        <v>26</v>
      </c>
      <c r="B864" t="s">
        <v>3678</v>
      </c>
      <c r="C864" t="str" cm="1">
        <f t="array" ref="C864" xml:space="preserve"> CleanText(B864)</f>
        <v>sabrszlkla bekliyorum en sevdiim izgi film milyon kere izledim fragman sper film gibi tam bir hayal kkrlna benzemiyor</v>
      </c>
      <c r="D864">
        <v>0</v>
      </c>
      <c r="E864">
        <v>0</v>
      </c>
      <c r="F864" t="s">
        <v>0</v>
      </c>
      <c r="G864" t="str" cm="1">
        <f t="array" ref="G864" xml:space="preserve"> FindCountryName(F864)</f>
        <v>None</v>
      </c>
      <c r="H864" s="1">
        <v>45311.794374999998</v>
      </c>
      <c r="I864" s="1">
        <v>45311.794374999998</v>
      </c>
      <c r="J864" s="1">
        <v>42174.86886574074</v>
      </c>
      <c r="K864" cm="1">
        <f t="array" ref="K864" xml:space="preserve"> sentimentCalc(C864)</f>
        <v>0</v>
      </c>
      <c r="L864" t="str" cm="1">
        <f t="array" ref="L864" xml:space="preserve"> sentimentCategory(K864)</f>
        <v>Neutral</v>
      </c>
    </row>
    <row r="865" spans="1:12">
      <c r="A865" t="s">
        <v>144</v>
      </c>
      <c r="B865" t="s">
        <v>3677</v>
      </c>
      <c r="C865" t="str" cm="1">
        <f t="array" ref="C865" xml:space="preserve"> CleanText(B865)</f>
        <v>i cant wait _xDD29__xDF7F_</v>
      </c>
      <c r="D865">
        <v>0</v>
      </c>
      <c r="E865">
        <v>0</v>
      </c>
      <c r="F865" t="s">
        <v>0</v>
      </c>
      <c r="G865" t="str" cm="1">
        <f t="array" ref="G865" xml:space="preserve"> FindCountryName(F865)</f>
        <v>None</v>
      </c>
      <c r="H865" s="1">
        <v>45311.766041666669</v>
      </c>
      <c r="I865" s="1">
        <v>45311.766041666669</v>
      </c>
      <c r="J865" s="1">
        <v>42368.613391203704</v>
      </c>
      <c r="K865" cm="1">
        <f t="array" ref="K865" xml:space="preserve"> sentimentCalc(C865)</f>
        <v>0</v>
      </c>
      <c r="L865" t="str" cm="1">
        <f t="array" ref="L865" xml:space="preserve"> sentimentCategory(K865)</f>
        <v>Neutral</v>
      </c>
    </row>
    <row r="866" spans="1:12">
      <c r="A866" t="s">
        <v>1675</v>
      </c>
      <c r="B866" t="s">
        <v>3676</v>
      </c>
      <c r="C866" t="str" cm="1">
        <f t="array" ref="C866" xml:space="preserve"> CleanText(B866)</f>
        <v>i still love the fact that the first live action was demolished for being a whitewashed adaption of an animated tv series where half the characters had blue eyes and was created by  white guys</v>
      </c>
      <c r="D866">
        <v>0</v>
      </c>
      <c r="E866">
        <v>2</v>
      </c>
      <c r="F866" t="s">
        <v>0</v>
      </c>
      <c r="G866" t="str" cm="1">
        <f t="array" ref="G866" xml:space="preserve"> FindCountryName(F866)</f>
        <v>None</v>
      </c>
      <c r="H866" s="1">
        <v>45311.754131944443</v>
      </c>
      <c r="I866" s="1">
        <v>45311.754131944443</v>
      </c>
      <c r="J866" s="1">
        <v>40808.013749999998</v>
      </c>
      <c r="K866" cm="1">
        <f t="array" ref="K866" xml:space="preserve"> sentimentCalc(C866)</f>
        <v>3</v>
      </c>
      <c r="L866" t="str" cm="1">
        <f t="array" ref="L866" xml:space="preserve"> sentimentCategory(K866)</f>
        <v>Positive</v>
      </c>
    </row>
    <row r="867" spans="1:12">
      <c r="A867" t="s">
        <v>68</v>
      </c>
      <c r="B867" t="s">
        <v>3675</v>
      </c>
      <c r="C867" t="str" cm="1">
        <f t="array" ref="C867" xml:space="preserve"> CleanText(B867)</f>
        <v>please dont f this up</v>
      </c>
      <c r="D867">
        <v>0</v>
      </c>
      <c r="E867">
        <v>0</v>
      </c>
      <c r="F867" t="s">
        <v>0</v>
      </c>
      <c r="G867" t="str" cm="1">
        <f t="array" ref="G867" xml:space="preserve"> FindCountryName(F867)</f>
        <v>None</v>
      </c>
      <c r="H867" s="1">
        <v>45311.736608796295</v>
      </c>
      <c r="I867" s="1">
        <v>45311.736608796295</v>
      </c>
      <c r="J867" s="1">
        <v>41631.658356481479</v>
      </c>
      <c r="K867" cm="1">
        <f t="array" ref="K867" xml:space="preserve"> sentimentCalc(C867)</f>
        <v>1</v>
      </c>
      <c r="L867" t="str" cm="1">
        <f t="array" ref="L867" xml:space="preserve"> sentimentCategory(K867)</f>
        <v>Positive</v>
      </c>
    </row>
    <row r="868" spans="1:12">
      <c r="A868" t="s">
        <v>28</v>
      </c>
      <c r="B868" t="s">
        <v>3674</v>
      </c>
      <c r="C868" t="str" cm="1">
        <f t="array" ref="C868" xml:space="preserve"> CleanText(B868)</f>
        <v>yessssssss im cryin</v>
      </c>
      <c r="D868">
        <v>0</v>
      </c>
      <c r="E868">
        <v>0</v>
      </c>
      <c r="F868" t="s">
        <v>0</v>
      </c>
      <c r="G868" t="str" cm="1">
        <f t="array" ref="G868" xml:space="preserve"> FindCountryName(F868)</f>
        <v>None</v>
      </c>
      <c r="H868" s="1">
        <v>45311.731724537036</v>
      </c>
      <c r="I868" s="1">
        <v>45311.731724537036</v>
      </c>
      <c r="J868" s="1">
        <v>44441.039664351854</v>
      </c>
      <c r="K868" cm="1">
        <f t="array" ref="K868" xml:space="preserve"> sentimentCalc(C868)</f>
        <v>0</v>
      </c>
      <c r="L868" t="str" cm="1">
        <f t="array" ref="L868" xml:space="preserve"> sentimentCategory(K868)</f>
        <v>Neutral</v>
      </c>
    </row>
    <row r="869" spans="1:12">
      <c r="A869" t="s">
        <v>3673</v>
      </c>
      <c r="B869" t="s">
        <v>3672</v>
      </c>
      <c r="C869" t="str" cm="1">
        <f t="array" ref="C869" xml:space="preserve"> CleanText(B869)</f>
        <v>aang looks way too young</v>
      </c>
      <c r="D869">
        <v>0</v>
      </c>
      <c r="E869">
        <v>1</v>
      </c>
      <c r="F869" t="s">
        <v>0</v>
      </c>
      <c r="G869" t="str" cm="1">
        <f t="array" ref="G869" xml:space="preserve"> FindCountryName(F869)</f>
        <v>None</v>
      </c>
      <c r="H869" s="1">
        <v>45311.684675925928</v>
      </c>
      <c r="I869" s="1">
        <v>45311.684675925928</v>
      </c>
      <c r="J869" s="1">
        <v>41241.514305555553</v>
      </c>
      <c r="K869" cm="1">
        <f t="array" ref="K869" xml:space="preserve"> sentimentCalc(C869)</f>
        <v>0</v>
      </c>
      <c r="L869" t="str" cm="1">
        <f t="array" ref="L869" xml:space="preserve"> sentimentCategory(K869)</f>
        <v>Neutral</v>
      </c>
    </row>
    <row r="870" spans="1:12">
      <c r="A870" t="s">
        <v>8</v>
      </c>
      <c r="B870" t="s">
        <v>3671</v>
      </c>
      <c r="C870" t="str" cm="1">
        <f t="array" ref="C870" xml:space="preserve"> CleanText(B870)</f>
        <v>creators leaving put a huge bad omen on the show  especially since it was do to creative directions _xDE22_</v>
      </c>
      <c r="D870">
        <v>0</v>
      </c>
      <c r="E870">
        <v>0</v>
      </c>
      <c r="F870" t="s">
        <v>0</v>
      </c>
      <c r="G870" t="str" cm="1">
        <f t="array" ref="G870" xml:space="preserve"> FindCountryName(F870)</f>
        <v>None</v>
      </c>
      <c r="H870" s="1">
        <v>45311.670995370368</v>
      </c>
      <c r="I870" s="1">
        <v>45311.670995370368</v>
      </c>
      <c r="J870" s="1">
        <v>41488.051817129628</v>
      </c>
      <c r="K870" cm="1">
        <f t="array" ref="K870" xml:space="preserve"> sentimentCalc(C870)</f>
        <v>0</v>
      </c>
      <c r="L870" t="str" cm="1">
        <f t="array" ref="L870" xml:space="preserve"> sentimentCategory(K870)</f>
        <v>Neutral</v>
      </c>
    </row>
    <row r="871" spans="1:12">
      <c r="A871" t="s">
        <v>816</v>
      </c>
      <c r="B871" t="s">
        <v>3670</v>
      </c>
      <c r="C871" t="str" cm="1">
        <f t="array" ref="C871" xml:space="preserve"> CleanText(B871)</f>
        <v>hopefully not only staying true to the source material but take their time and not rush this like they did with the live action yu yu hakusho</v>
      </c>
      <c r="D871">
        <v>0</v>
      </c>
      <c r="E871">
        <v>0</v>
      </c>
      <c r="F871" t="s">
        <v>0</v>
      </c>
      <c r="G871" t="str" cm="1">
        <f t="array" ref="G871" xml:space="preserve"> FindCountryName(F871)</f>
        <v>None</v>
      </c>
      <c r="H871" s="1">
        <v>45311.646296296298</v>
      </c>
      <c r="I871" s="1">
        <v>45311.646296296298</v>
      </c>
      <c r="J871" s="1">
        <v>40262.814965277779</v>
      </c>
      <c r="K871" cm="1">
        <f t="array" ref="K871" xml:space="preserve"> sentimentCalc(C871)</f>
        <v>6</v>
      </c>
      <c r="L871" t="str" cm="1">
        <f t="array" ref="L871" xml:space="preserve"> sentimentCategory(K871)</f>
        <v>Positive</v>
      </c>
    </row>
    <row r="872" spans="1:12">
      <c r="A872" t="s">
        <v>153</v>
      </c>
      <c r="B872" t="s">
        <v>3669</v>
      </c>
      <c r="C872" t="str" cm="1">
        <f t="array" ref="C872" xml:space="preserve"> CleanText(B872)</f>
        <v>looking good so far must watch it would be cool if they do a live action of kora as well_xDE0A_</v>
      </c>
      <c r="D872">
        <v>0</v>
      </c>
      <c r="E872">
        <v>0</v>
      </c>
      <c r="F872" t="s">
        <v>0</v>
      </c>
      <c r="G872" t="str" cm="1">
        <f t="array" ref="G872" xml:space="preserve"> FindCountryName(F872)</f>
        <v>None</v>
      </c>
      <c r="H872" s="1">
        <v>45311.627384259256</v>
      </c>
      <c r="I872" s="1">
        <v>45311.627384259256</v>
      </c>
      <c r="J872" s="1">
        <v>44145.475243055553</v>
      </c>
      <c r="K872" cm="1">
        <f t="array" ref="K872" xml:space="preserve"> sentimentCalc(C872)</f>
        <v>4</v>
      </c>
      <c r="L872" t="str" cm="1">
        <f t="array" ref="L872" xml:space="preserve"> sentimentCategory(K872)</f>
        <v>Positive</v>
      </c>
    </row>
    <row r="873" spans="1:12">
      <c r="A873" t="s">
        <v>1156</v>
      </c>
      <c r="B873" t="s">
        <v>3668</v>
      </c>
      <c r="C873" t="str" cm="1">
        <f t="array" ref="C873" xml:space="preserve"> CleanText(B873)</f>
        <v>i am feeling this but i really wish they would give us avatar roku he he he</v>
      </c>
      <c r="D873">
        <v>0</v>
      </c>
      <c r="E873">
        <v>0</v>
      </c>
      <c r="F873" t="s">
        <v>0</v>
      </c>
      <c r="G873" t="str" cm="1">
        <f t="array" ref="G873" xml:space="preserve"> FindCountryName(F873)</f>
        <v>None</v>
      </c>
      <c r="H873" s="1">
        <v>45311.619953703703</v>
      </c>
      <c r="I873" s="1">
        <v>45311.620555555557</v>
      </c>
      <c r="J873" s="1">
        <v>40447.08289351852</v>
      </c>
      <c r="K873" cm="1">
        <f t="array" ref="K873" xml:space="preserve"> sentimentCalc(C873)</f>
        <v>2</v>
      </c>
      <c r="L873" t="str" cm="1">
        <f t="array" ref="L873" xml:space="preserve"> sentimentCategory(K873)</f>
        <v>Positive</v>
      </c>
    </row>
    <row r="874" spans="1:12">
      <c r="A874" t="s">
        <v>494</v>
      </c>
      <c r="B874" t="s">
        <v>3667</v>
      </c>
      <c r="C874" t="str" cm="1">
        <f t="array" ref="C874" xml:space="preserve"> CleanText(B874)</f>
        <v>n</v>
      </c>
      <c r="D874">
        <v>0</v>
      </c>
      <c r="E874">
        <v>0</v>
      </c>
      <c r="F874" t="s">
        <v>0</v>
      </c>
      <c r="G874" t="str" cm="1">
        <f t="array" ref="G874" xml:space="preserve"> FindCountryName(F874)</f>
        <v>None</v>
      </c>
      <c r="H874" s="1">
        <v>45311.613483796296</v>
      </c>
      <c r="I874" s="1">
        <v>45311.613483796296</v>
      </c>
      <c r="J874" s="1">
        <v>44218.531238425923</v>
      </c>
      <c r="K874" cm="1">
        <f t="array" ref="K874" xml:space="preserve"> sentimentCalc(C874)</f>
        <v>0</v>
      </c>
      <c r="L874" t="str" cm="1">
        <f t="array" ref="L874" xml:space="preserve"> sentimentCategory(K874)</f>
        <v>Neutral</v>
      </c>
    </row>
    <row r="875" spans="1:12">
      <c r="A875" t="s">
        <v>1454</v>
      </c>
      <c r="B875" t="s">
        <v>3666</v>
      </c>
      <c r="C875" t="str" cm="1">
        <f t="array" ref="C875" xml:space="preserve"> CleanText(B875)</f>
        <v>its horrendous wtf are those</v>
      </c>
      <c r="D875">
        <v>0</v>
      </c>
      <c r="E875">
        <v>0</v>
      </c>
      <c r="F875" t="s">
        <v>323</v>
      </c>
      <c r="G875" t="str" cm="1">
        <f t="array" ref="G875" xml:space="preserve"> FindCountryName(F875)</f>
        <v>Netherlands (the)</v>
      </c>
      <c r="H875" s="1">
        <v>45311.588043981479</v>
      </c>
      <c r="I875" s="1">
        <v>45311.588043981479</v>
      </c>
      <c r="J875" s="1">
        <v>45164.610046296293</v>
      </c>
      <c r="K875" cm="1">
        <f t="array" ref="K875" xml:space="preserve"> sentimentCalc(C875)</f>
        <v>-3</v>
      </c>
      <c r="L875" t="str" cm="1">
        <f t="array" ref="L875" xml:space="preserve"> sentimentCategory(K875)</f>
        <v>Negative</v>
      </c>
    </row>
    <row r="876" spans="1:12">
      <c r="A876" t="s">
        <v>1883</v>
      </c>
      <c r="B876" t="s">
        <v>3665</v>
      </c>
      <c r="C876" t="str" cm="1">
        <f t="array" ref="C876" xml:space="preserve"> CleanText(B876)</f>
        <v>please tell me they say aang correctly</v>
      </c>
      <c r="D876">
        <v>1</v>
      </c>
      <c r="E876">
        <v>1</v>
      </c>
      <c r="F876" t="s">
        <v>19</v>
      </c>
      <c r="G876" t="str" cm="1">
        <f t="array" ref="G876" xml:space="preserve"> FindCountryName(F876)</f>
        <v>United States of America (the)</v>
      </c>
      <c r="H876" s="1">
        <v>45311.555578703701</v>
      </c>
      <c r="I876" s="1">
        <v>45311.555578703701</v>
      </c>
      <c r="J876" s="1">
        <v>44090.979629629626</v>
      </c>
      <c r="K876" cm="1">
        <f t="array" ref="K876" xml:space="preserve"> sentimentCalc(C876)</f>
        <v>1</v>
      </c>
      <c r="L876" t="str" cm="1">
        <f t="array" ref="L876" xml:space="preserve"> sentimentCategory(K876)</f>
        <v>Positive</v>
      </c>
    </row>
    <row r="877" spans="1:12">
      <c r="A877" t="s">
        <v>460</v>
      </c>
      <c r="B877" t="s">
        <v>3664</v>
      </c>
      <c r="C877" t="str" cm="1">
        <f t="array" ref="C877" xml:space="preserve"> CleanText(B877)</f>
        <v>aang have a old face</v>
      </c>
      <c r="D877">
        <v>0</v>
      </c>
      <c r="E877">
        <v>0</v>
      </c>
      <c r="F877" t="s">
        <v>0</v>
      </c>
      <c r="G877" t="str" cm="1">
        <f t="array" ref="G877" xml:space="preserve"> FindCountryName(F877)</f>
        <v>None</v>
      </c>
      <c r="H877" s="1">
        <v>45311.472129629627</v>
      </c>
      <c r="I877" s="1">
        <v>45311.472129629627</v>
      </c>
      <c r="J877" s="1">
        <v>41458.861863425926</v>
      </c>
      <c r="K877" cm="1">
        <f t="array" ref="K877" xml:space="preserve"> sentimentCalc(C877)</f>
        <v>0</v>
      </c>
      <c r="L877" t="str" cm="1">
        <f t="array" ref="L877" xml:space="preserve"> sentimentCategory(K877)</f>
        <v>Neutral</v>
      </c>
    </row>
    <row r="878" spans="1:12">
      <c r="A878" t="s">
        <v>1386</v>
      </c>
      <c r="B878" t="s">
        <v>3663</v>
      </c>
      <c r="C878" t="str" cm="1">
        <f t="array" ref="C878" xml:space="preserve"> CleanText(B878)</f>
        <v>netflix i beg you please stop making live action crap make another season of the same show animated thats what he wanna see not this</v>
      </c>
      <c r="D878">
        <v>0</v>
      </c>
      <c r="E878">
        <v>0</v>
      </c>
      <c r="F878" t="s">
        <v>0</v>
      </c>
      <c r="G878" t="str" cm="1">
        <f t="array" ref="G878" xml:space="preserve"> FindCountryName(F878)</f>
        <v>None</v>
      </c>
      <c r="H878" s="1">
        <v>45311.451481481483</v>
      </c>
      <c r="I878" s="1">
        <v>45311.451481481483</v>
      </c>
      <c r="J878" s="1">
        <v>44659.649965277778</v>
      </c>
      <c r="K878" cm="1">
        <f t="array" ref="K878" xml:space="preserve"> sentimentCalc(C878)</f>
        <v>-3</v>
      </c>
      <c r="L878" t="str" cm="1">
        <f t="array" ref="L878" xml:space="preserve"> sentimentCategory(K878)</f>
        <v>Negative</v>
      </c>
    </row>
    <row r="879" spans="1:12">
      <c r="A879" t="s">
        <v>190</v>
      </c>
      <c r="B879" t="s">
        <v>3662</v>
      </c>
      <c r="C879" t="str" cm="1">
        <f t="array" ref="C879" xml:space="preserve"> CleanText(B879)</f>
        <v>good netflix avatar the last airbender  official teaser good  netflix</v>
      </c>
      <c r="D879">
        <v>1</v>
      </c>
      <c r="E879">
        <v>0</v>
      </c>
      <c r="F879" t="s">
        <v>0</v>
      </c>
      <c r="G879" t="str" cm="1">
        <f t="array" ref="G879" xml:space="preserve"> FindCountryName(F879)</f>
        <v>None</v>
      </c>
      <c r="H879" s="1">
        <v>45311.438773148147</v>
      </c>
      <c r="I879" s="1">
        <v>45311.438773148147</v>
      </c>
      <c r="J879" s="1">
        <v>43776.527418981481</v>
      </c>
      <c r="K879" cm="1">
        <f t="array" ref="K879" xml:space="preserve"> sentimentCalc(C879)</f>
        <v>6</v>
      </c>
      <c r="L879" t="str" cm="1">
        <f t="array" ref="L879" xml:space="preserve"> sentimentCategory(K879)</f>
        <v>Positive</v>
      </c>
    </row>
    <row r="880" spans="1:12">
      <c r="A880" t="s">
        <v>23</v>
      </c>
      <c r="B880" t="s">
        <v>3661</v>
      </c>
      <c r="C880" t="str" cm="1">
        <f t="array" ref="C880" xml:space="preserve"> CleanText(B880)</f>
        <v>tarihin en iyi filmlerinden biri muhteem</v>
      </c>
      <c r="D880">
        <v>1</v>
      </c>
      <c r="E880">
        <v>0</v>
      </c>
      <c r="F880" t="s">
        <v>0</v>
      </c>
      <c r="G880" t="str" cm="1">
        <f t="array" ref="G880" xml:space="preserve"> FindCountryName(F880)</f>
        <v>None</v>
      </c>
      <c r="H880" s="1">
        <v>45311.394652777781</v>
      </c>
      <c r="I880" s="1">
        <v>45311.394652777781</v>
      </c>
      <c r="J880" s="1">
        <v>44235.013796296298</v>
      </c>
      <c r="K880" cm="1">
        <f t="array" ref="K880" xml:space="preserve"> sentimentCalc(C880)</f>
        <v>0</v>
      </c>
      <c r="L880" t="str" cm="1">
        <f t="array" ref="L880" xml:space="preserve"> sentimentCategory(K880)</f>
        <v>Neutral</v>
      </c>
    </row>
    <row r="881" spans="1:12">
      <c r="A881" t="s">
        <v>1195</v>
      </c>
      <c r="B881" t="s">
        <v>3660</v>
      </c>
      <c r="C881" t="str" cm="1">
        <f t="array" ref="C881" xml:space="preserve"> CleanText(B881)</f>
        <v>bu uzun zamandr grdğm en iyi animasyona benziyor _xDD24_</v>
      </c>
      <c r="D881">
        <v>0</v>
      </c>
      <c r="E881">
        <v>0</v>
      </c>
      <c r="F881" t="s">
        <v>0</v>
      </c>
      <c r="G881" t="str" cm="1">
        <f t="array" ref="G881" xml:space="preserve"> FindCountryName(F881)</f>
        <v>None</v>
      </c>
      <c r="H881" s="1">
        <v>45311.392581018517</v>
      </c>
      <c r="I881" s="1">
        <v>45311.392581018517</v>
      </c>
      <c r="J881" s="1">
        <v>42108.370219907411</v>
      </c>
      <c r="K881" cm="1">
        <f t="array" ref="K881" xml:space="preserve"> sentimentCalc(C881)</f>
        <v>0</v>
      </c>
      <c r="L881" t="str" cm="1">
        <f t="array" ref="L881" xml:space="preserve"> sentimentCategory(K881)</f>
        <v>Neutral</v>
      </c>
    </row>
    <row r="882" spans="1:12">
      <c r="A882" t="s">
        <v>76</v>
      </c>
      <c r="B882" t="s">
        <v>3659</v>
      </c>
      <c r="C882" t="str" cm="1">
        <f t="array" ref="C882" xml:space="preserve"> CleanText(B882)</f>
        <v>mkemmel</v>
      </c>
      <c r="D882">
        <v>0</v>
      </c>
      <c r="E882">
        <v>0</v>
      </c>
      <c r="F882" t="s">
        <v>0</v>
      </c>
      <c r="G882" t="str" cm="1">
        <f t="array" ref="G882" xml:space="preserve"> FindCountryName(F882)</f>
        <v>None</v>
      </c>
      <c r="H882" s="1">
        <v>45311.365624999999</v>
      </c>
      <c r="I882" s="1">
        <v>45311.365624999999</v>
      </c>
      <c r="J882" s="1">
        <v>43426.115844907406</v>
      </c>
      <c r="K882" cm="1">
        <f t="array" ref="K882" xml:space="preserve"> sentimentCalc(C882)</f>
        <v>0</v>
      </c>
      <c r="L882" t="str" cm="1">
        <f t="array" ref="L882" xml:space="preserve"> sentimentCategory(K882)</f>
        <v>Neutral</v>
      </c>
    </row>
    <row r="883" spans="1:12">
      <c r="A883" t="s">
        <v>547</v>
      </c>
      <c r="B883" t="s">
        <v>3658</v>
      </c>
      <c r="C883" t="str" cm="1">
        <f t="array" ref="C883" xml:space="preserve"> CleanText(B883)</f>
        <v>gzel grnyor _xDE0A_</v>
      </c>
      <c r="D883">
        <v>0</v>
      </c>
      <c r="E883">
        <v>0</v>
      </c>
      <c r="F883" t="s">
        <v>0</v>
      </c>
      <c r="G883" t="str" cm="1">
        <f t="array" ref="G883" xml:space="preserve"> FindCountryName(F883)</f>
        <v>None</v>
      </c>
      <c r="H883" s="1">
        <v>45311.35597222222</v>
      </c>
      <c r="I883" s="1">
        <v>45311.35597222222</v>
      </c>
      <c r="J883" s="1">
        <v>45310.172372685185</v>
      </c>
      <c r="K883" cm="1">
        <f t="array" ref="K883" xml:space="preserve"> sentimentCalc(C883)</f>
        <v>0</v>
      </c>
      <c r="L883" t="str" cm="1">
        <f t="array" ref="L883" xml:space="preserve"> sentimentCategory(K883)</f>
        <v>Neutral</v>
      </c>
    </row>
    <row r="884" spans="1:12">
      <c r="A884" t="s">
        <v>960</v>
      </c>
      <c r="B884" t="s">
        <v>3657</v>
      </c>
      <c r="C884" t="str" cm="1">
        <f t="array" ref="C884" xml:space="preserve"> CleanText(B884)</f>
        <v>zlerken kendimi alamadim ok gzel film _xDE02_</v>
      </c>
      <c r="D884">
        <v>0</v>
      </c>
      <c r="E884">
        <v>0</v>
      </c>
      <c r="F884" t="s">
        <v>0</v>
      </c>
      <c r="G884" t="str" cm="1">
        <f t="array" ref="G884" xml:space="preserve"> FindCountryName(F884)</f>
        <v>None</v>
      </c>
      <c r="H884" s="1">
        <v>45311.343576388892</v>
      </c>
      <c r="I884" s="1">
        <v>45311.343576388892</v>
      </c>
      <c r="J884" s="1">
        <v>43784.242754629631</v>
      </c>
      <c r="K884" cm="1">
        <f t="array" ref="K884" xml:space="preserve"> sentimentCalc(C884)</f>
        <v>0</v>
      </c>
      <c r="L884" t="str" cm="1">
        <f t="array" ref="L884" xml:space="preserve"> sentimentCategory(K884)</f>
        <v>Neutral</v>
      </c>
    </row>
    <row r="885" spans="1:12">
      <c r="A885" t="s">
        <v>3656</v>
      </c>
      <c r="B885" t="s">
        <v>3655</v>
      </c>
      <c r="C885" t="str" cm="1">
        <f t="array" ref="C885" xml:space="preserve"> CleanText(B885)</f>
        <v>simply cant wait</v>
      </c>
      <c r="D885">
        <v>1</v>
      </c>
      <c r="E885">
        <v>0</v>
      </c>
      <c r="F885" t="s">
        <v>0</v>
      </c>
      <c r="G885" t="str" cm="1">
        <f t="array" ref="G885" xml:space="preserve"> FindCountryName(F885)</f>
        <v>None</v>
      </c>
      <c r="H885" s="1">
        <v>45311.337569444448</v>
      </c>
      <c r="I885" s="1">
        <v>45311.337569444448</v>
      </c>
      <c r="J885" s="1">
        <v>40271.910787037035</v>
      </c>
      <c r="K885" cm="1">
        <f t="array" ref="K885" xml:space="preserve"> sentimentCalc(C885)</f>
        <v>0</v>
      </c>
      <c r="L885" t="str" cm="1">
        <f t="array" ref="L885" xml:space="preserve"> sentimentCategory(K885)</f>
        <v>Neutral</v>
      </c>
    </row>
    <row r="886" spans="1:12">
      <c r="A886" t="s">
        <v>26</v>
      </c>
      <c r="B886" t="s">
        <v>3654</v>
      </c>
      <c r="C886" t="str" cm="1">
        <f t="array" ref="C886" xml:space="preserve"> CleanText(B886)</f>
        <v>a great movie to watch with pleasure</v>
      </c>
      <c r="D886">
        <v>1</v>
      </c>
      <c r="E886">
        <v>0</v>
      </c>
      <c r="F886" t="s">
        <v>0</v>
      </c>
      <c r="G886" t="str" cm="1">
        <f t="array" ref="G886" xml:space="preserve"> FindCountryName(F886)</f>
        <v>None</v>
      </c>
      <c r="H886" s="1">
        <v>45311.332615740743</v>
      </c>
      <c r="I886" s="1">
        <v>45311.332615740743</v>
      </c>
      <c r="J886" s="1">
        <v>43946.540636574071</v>
      </c>
      <c r="K886" cm="1">
        <f t="array" ref="K886" xml:space="preserve"> sentimentCalc(C886)</f>
        <v>6</v>
      </c>
      <c r="L886" t="str" cm="1">
        <f t="array" ref="L886" xml:space="preserve"> sentimentCategory(K886)</f>
        <v>Positive</v>
      </c>
    </row>
    <row r="887" spans="1:12">
      <c r="A887" t="s">
        <v>257</v>
      </c>
      <c r="B887" t="s">
        <v>3653</v>
      </c>
      <c r="C887" t="str" cm="1">
        <f t="array" ref="C887" xml:space="preserve"> CleanText(B887)</f>
        <v>zlenmeye deer bir film</v>
      </c>
      <c r="D887">
        <v>0</v>
      </c>
      <c r="E887">
        <v>0</v>
      </c>
      <c r="F887" t="s">
        <v>0</v>
      </c>
      <c r="G887" t="str" cm="1">
        <f t="array" ref="G887" xml:space="preserve"> FindCountryName(F887)</f>
        <v>None</v>
      </c>
      <c r="H887" s="1">
        <v>45311.296574074076</v>
      </c>
      <c r="I887" s="1">
        <v>45311.296574074076</v>
      </c>
      <c r="J887" s="1">
        <v>41397.836539351854</v>
      </c>
      <c r="K887" cm="1">
        <f t="array" ref="K887" xml:space="preserve"> sentimentCalc(C887)</f>
        <v>0</v>
      </c>
      <c r="L887" t="str" cm="1">
        <f t="array" ref="L887" xml:space="preserve"> sentimentCategory(K887)</f>
        <v>Neutral</v>
      </c>
    </row>
    <row r="888" spans="1:12">
      <c r="A888" t="s">
        <v>267</v>
      </c>
      <c r="B888" t="s">
        <v>3652</v>
      </c>
      <c r="C888" t="str" cm="1">
        <f t="array" ref="C888" xml:space="preserve"> CleanText(B888)</f>
        <v>mkemmel tesi yaa</v>
      </c>
      <c r="D888">
        <v>0</v>
      </c>
      <c r="E888">
        <v>0</v>
      </c>
      <c r="F888" t="s">
        <v>0</v>
      </c>
      <c r="G888" t="str" cm="1">
        <f t="array" ref="G888" xml:space="preserve"> FindCountryName(F888)</f>
        <v>None</v>
      </c>
      <c r="H888" s="1">
        <v>45311.282708333332</v>
      </c>
      <c r="I888" s="1">
        <v>45311.282708333332</v>
      </c>
      <c r="J888" s="1">
        <v>44529.551435185182</v>
      </c>
      <c r="K888" cm="1">
        <f t="array" ref="K888" xml:space="preserve"> sentimentCalc(C888)</f>
        <v>0</v>
      </c>
      <c r="L888" t="str" cm="1">
        <f t="array" ref="L888" xml:space="preserve"> sentimentCategory(K888)</f>
        <v>Neutral</v>
      </c>
    </row>
    <row r="889" spans="1:12">
      <c r="A889" t="s">
        <v>1446</v>
      </c>
      <c r="B889" t="s">
        <v>3651</v>
      </c>
      <c r="C889" t="str" cm="1">
        <f t="array" ref="C889" xml:space="preserve"> CleanText(B889)</f>
        <v>ok baarl</v>
      </c>
      <c r="D889">
        <v>0</v>
      </c>
      <c r="E889">
        <v>0</v>
      </c>
      <c r="F889" t="s">
        <v>0</v>
      </c>
      <c r="G889" t="str" cm="1">
        <f t="array" ref="G889" xml:space="preserve"> FindCountryName(F889)</f>
        <v>None</v>
      </c>
      <c r="H889" s="1">
        <v>45311.279699074075</v>
      </c>
      <c r="I889" s="1">
        <v>45311.279699074075</v>
      </c>
      <c r="J889" s="1">
        <v>43137.990949074076</v>
      </c>
      <c r="K889" cm="1">
        <f t="array" ref="K889" xml:space="preserve"> sentimentCalc(C889)</f>
        <v>0</v>
      </c>
      <c r="L889" t="str" cm="1">
        <f t="array" ref="L889" xml:space="preserve"> sentimentCategory(K889)</f>
        <v>Neutral</v>
      </c>
    </row>
    <row r="890" spans="1:12">
      <c r="A890" t="s">
        <v>2712</v>
      </c>
      <c r="B890" t="s">
        <v>3650</v>
      </c>
      <c r="C890" t="str" cm="1">
        <f t="array" ref="C890" xml:space="preserve"> CleanText(B890)</f>
        <v>ok iyi ok harika mkemmel tesi</v>
      </c>
      <c r="D890">
        <v>0</v>
      </c>
      <c r="E890">
        <v>0</v>
      </c>
      <c r="F890" t="s">
        <v>0</v>
      </c>
      <c r="G890" t="str" cm="1">
        <f t="array" ref="G890" xml:space="preserve"> FindCountryName(F890)</f>
        <v>None</v>
      </c>
      <c r="H890" s="1">
        <v>45311.279351851852</v>
      </c>
      <c r="I890" s="1">
        <v>45311.279351851852</v>
      </c>
      <c r="J890" s="1">
        <v>41953.381516203706</v>
      </c>
      <c r="K890" cm="1">
        <f t="array" ref="K890" xml:space="preserve"> sentimentCalc(C890)</f>
        <v>0</v>
      </c>
      <c r="L890" t="str" cm="1">
        <f t="array" ref="L890" xml:space="preserve"> sentimentCategory(K890)</f>
        <v>Neutral</v>
      </c>
    </row>
    <row r="891" spans="1:12">
      <c r="A891" t="s">
        <v>575</v>
      </c>
      <c r="B891" t="s">
        <v>3649</v>
      </c>
      <c r="C891" t="str" cm="1">
        <f t="array" ref="C891" xml:space="preserve"> CleanText(B891)</f>
        <v>netflix please work on fma brotherhood as well and death note and all other series which were ruined by making into movies _xDE0A_ please bring honour to these stories</v>
      </c>
      <c r="D891">
        <v>0</v>
      </c>
      <c r="E891">
        <v>0</v>
      </c>
      <c r="F891" t="s">
        <v>0</v>
      </c>
      <c r="G891" t="str" cm="1">
        <f t="array" ref="G891" xml:space="preserve"> FindCountryName(F891)</f>
        <v>None</v>
      </c>
      <c r="H891" s="1">
        <v>45311.274594907409</v>
      </c>
      <c r="I891" s="1">
        <v>45311.274594907409</v>
      </c>
      <c r="J891" s="1">
        <v>42094.267928240741</v>
      </c>
      <c r="K891" cm="1">
        <f t="array" ref="K891" xml:space="preserve"> sentimentCalc(C891)</f>
        <v>0</v>
      </c>
      <c r="L891" t="str" cm="1">
        <f t="array" ref="L891" xml:space="preserve"> sentimentCategory(K891)</f>
        <v>Neutral</v>
      </c>
    </row>
    <row r="892" spans="1:12">
      <c r="A892" t="s">
        <v>340</v>
      </c>
      <c r="B892" t="s">
        <v>3648</v>
      </c>
      <c r="C892" t="str" cm="1">
        <f t="array" ref="C892" xml:space="preserve"> CleanText(B892)</f>
        <v>harika bir film herkese izlemeyi tavsiye ederim_xDF89_</v>
      </c>
      <c r="D892">
        <v>0</v>
      </c>
      <c r="E892">
        <v>0</v>
      </c>
      <c r="F892" t="s">
        <v>0</v>
      </c>
      <c r="G892" t="str" cm="1">
        <f t="array" ref="G892" xml:space="preserve"> FindCountryName(F892)</f>
        <v>None</v>
      </c>
      <c r="H892" s="1">
        <v>45311.270243055558</v>
      </c>
      <c r="I892" s="1">
        <v>45311.270243055558</v>
      </c>
      <c r="J892" s="1">
        <v>43459.719212962962</v>
      </c>
      <c r="K892" cm="1">
        <f t="array" ref="K892" xml:space="preserve"> sentimentCalc(C892)</f>
        <v>0</v>
      </c>
      <c r="L892" t="str" cm="1">
        <f t="array" ref="L892" xml:space="preserve"> sentimentCategory(K892)</f>
        <v>Neutral</v>
      </c>
    </row>
    <row r="893" spans="1:12">
      <c r="A893" t="s">
        <v>1769</v>
      </c>
      <c r="B893" t="s">
        <v>3647</v>
      </c>
      <c r="C893" t="str" cm="1">
        <f t="array" ref="C893" xml:space="preserve"> CleanText(B893)</f>
        <v>harika</v>
      </c>
      <c r="D893">
        <v>0</v>
      </c>
      <c r="E893">
        <v>0</v>
      </c>
      <c r="F893" t="s">
        <v>0</v>
      </c>
      <c r="G893" t="str" cm="1">
        <f t="array" ref="G893" xml:space="preserve"> FindCountryName(F893)</f>
        <v>None</v>
      </c>
      <c r="H893" s="1">
        <v>45311.263807870368</v>
      </c>
      <c r="I893" s="1">
        <v>45311.263807870368</v>
      </c>
      <c r="J893" s="1">
        <v>44808.839375000003</v>
      </c>
      <c r="K893" cm="1">
        <f t="array" ref="K893" xml:space="preserve"> sentimentCalc(C893)</f>
        <v>0</v>
      </c>
      <c r="L893" t="str" cm="1">
        <f t="array" ref="L893" xml:space="preserve"> sentimentCategory(K893)</f>
        <v>Neutral</v>
      </c>
    </row>
    <row r="894" spans="1:12">
      <c r="A894" t="s">
        <v>3646</v>
      </c>
      <c r="B894" t="s">
        <v>3645</v>
      </c>
      <c r="C894" t="str" cm="1">
        <f t="array" ref="C894" xml:space="preserve"> CleanText(B894)</f>
        <v>film ok gzel</v>
      </c>
      <c r="D894">
        <v>0</v>
      </c>
      <c r="E894">
        <v>0</v>
      </c>
      <c r="F894" t="s">
        <v>0</v>
      </c>
      <c r="G894" t="str" cm="1">
        <f t="array" ref="G894" xml:space="preserve"> FindCountryName(F894)</f>
        <v>None</v>
      </c>
      <c r="H894" s="1">
        <v>45311.262858796297</v>
      </c>
      <c r="I894" s="1">
        <v>45311.262858796297</v>
      </c>
      <c r="J894" s="1">
        <v>41561.497314814813</v>
      </c>
      <c r="K894" cm="1">
        <f t="array" ref="K894" xml:space="preserve"> sentimentCalc(C894)</f>
        <v>0</v>
      </c>
      <c r="L894" t="str" cm="1">
        <f t="array" ref="L894" xml:space="preserve"> sentimentCategory(K894)</f>
        <v>Neutral</v>
      </c>
    </row>
    <row r="895" spans="1:12">
      <c r="A895" t="s">
        <v>3518</v>
      </c>
      <c r="B895" t="s">
        <v>94</v>
      </c>
      <c r="C895" t="str" cm="1">
        <f t="array" ref="C895" xml:space="preserve"> CleanText(B895)</f>
        <v>good</v>
      </c>
      <c r="D895">
        <v>0</v>
      </c>
      <c r="E895">
        <v>0</v>
      </c>
      <c r="F895" t="s">
        <v>0</v>
      </c>
      <c r="G895" t="str" cm="1">
        <f t="array" ref="G895" xml:space="preserve"> FindCountryName(F895)</f>
        <v>None</v>
      </c>
      <c r="H895" s="1">
        <v>45311.262824074074</v>
      </c>
      <c r="I895" s="1">
        <v>45311.262824074074</v>
      </c>
      <c r="J895" s="1">
        <v>44471.731666666667</v>
      </c>
      <c r="K895" cm="1">
        <f t="array" ref="K895" xml:space="preserve"> sentimentCalc(C895)</f>
        <v>3</v>
      </c>
      <c r="L895" t="str" cm="1">
        <f t="array" ref="L895" xml:space="preserve"> sentimentCategory(K895)</f>
        <v>Positive</v>
      </c>
    </row>
    <row r="896" spans="1:12">
      <c r="A896" t="s">
        <v>1673</v>
      </c>
      <c r="B896" t="s">
        <v>3644</v>
      </c>
      <c r="C896" t="str" cm="1">
        <f t="array" ref="C896" xml:space="preserve"> CleanText(B896)</f>
        <v>muazzammm</v>
      </c>
      <c r="D896">
        <v>0</v>
      </c>
      <c r="E896">
        <v>0</v>
      </c>
      <c r="F896" t="s">
        <v>0</v>
      </c>
      <c r="G896" t="str" cm="1">
        <f t="array" ref="G896" xml:space="preserve"> FindCountryName(F896)</f>
        <v>None</v>
      </c>
      <c r="H896" s="1">
        <v>45311.262812499997</v>
      </c>
      <c r="I896" s="1">
        <v>45311.262812499997</v>
      </c>
      <c r="J896" s="1">
        <v>42245.737442129626</v>
      </c>
      <c r="K896" cm="1">
        <f t="array" ref="K896" xml:space="preserve"> sentimentCalc(C896)</f>
        <v>0</v>
      </c>
      <c r="L896" t="str" cm="1">
        <f t="array" ref="L896" xml:space="preserve"> sentimentCategory(K896)</f>
        <v>Neutral</v>
      </c>
    </row>
    <row r="897" spans="1:12">
      <c r="A897" t="s">
        <v>76</v>
      </c>
      <c r="B897" t="s">
        <v>3643</v>
      </c>
      <c r="C897" t="str" cm="1">
        <f t="array" ref="C897" xml:space="preserve"> CleanText(B897)</f>
        <v>harika tesi bir filmherkese tavsiye ederim</v>
      </c>
      <c r="D897">
        <v>0</v>
      </c>
      <c r="E897">
        <v>0</v>
      </c>
      <c r="F897" t="s">
        <v>0</v>
      </c>
      <c r="G897" t="str" cm="1">
        <f t="array" ref="G897" xml:space="preserve"> FindCountryName(F897)</f>
        <v>None</v>
      </c>
      <c r="H897" s="1">
        <v>45311.262071759258</v>
      </c>
      <c r="I897" s="1">
        <v>45311.262071759258</v>
      </c>
      <c r="J897" s="1">
        <v>42132.516331018516</v>
      </c>
      <c r="K897" cm="1">
        <f t="array" ref="K897" xml:space="preserve"> sentimentCalc(C897)</f>
        <v>0</v>
      </c>
      <c r="L897" t="str" cm="1">
        <f t="array" ref="L897" xml:space="preserve"> sentimentCategory(K897)</f>
        <v>Neutral</v>
      </c>
    </row>
    <row r="898" spans="1:12">
      <c r="A898" t="s">
        <v>483</v>
      </c>
      <c r="B898" t="s">
        <v>3642</v>
      </c>
      <c r="C898" t="str" cm="1">
        <f t="array" ref="C898" xml:space="preserve"> CleanText(B898)</f>
        <v>ok gzel bir film olmu drt gzle bekliyorum</v>
      </c>
      <c r="D898">
        <v>0</v>
      </c>
      <c r="E898">
        <v>0</v>
      </c>
      <c r="F898" t="s">
        <v>0</v>
      </c>
      <c r="G898" t="str" cm="1">
        <f t="array" ref="G898" xml:space="preserve"> FindCountryName(F898)</f>
        <v>None</v>
      </c>
      <c r="H898" s="1">
        <v>45311.260428240741</v>
      </c>
      <c r="I898" s="1">
        <v>45311.260428240741</v>
      </c>
      <c r="J898" s="1">
        <v>41768.403564814813</v>
      </c>
      <c r="K898" cm="1">
        <f t="array" ref="K898" xml:space="preserve"> sentimentCalc(C898)</f>
        <v>0</v>
      </c>
      <c r="L898" t="str" cm="1">
        <f t="array" ref="L898" xml:space="preserve"> sentimentCategory(K898)</f>
        <v>Neutral</v>
      </c>
    </row>
    <row r="899" spans="1:12">
      <c r="A899" t="s">
        <v>146</v>
      </c>
      <c r="B899" t="s">
        <v>3641</v>
      </c>
      <c r="C899" t="str" cm="1">
        <f t="array" ref="C899" xml:space="preserve"> CleanText(B899)</f>
        <v>harika bir film olmu ok baarl bayldm</v>
      </c>
      <c r="D899">
        <v>0</v>
      </c>
      <c r="E899">
        <v>0</v>
      </c>
      <c r="F899" t="s">
        <v>0</v>
      </c>
      <c r="G899" t="str" cm="1">
        <f t="array" ref="G899" xml:space="preserve"> FindCountryName(F899)</f>
        <v>None</v>
      </c>
      <c r="H899" s="1">
        <v>45311.260069444441</v>
      </c>
      <c r="I899" s="1">
        <v>45311.260069444441</v>
      </c>
      <c r="J899" s="1">
        <v>45311.260057870371</v>
      </c>
      <c r="K899" cm="1">
        <f t="array" ref="K899" xml:space="preserve"> sentimentCalc(C899)</f>
        <v>0</v>
      </c>
      <c r="L899" t="str" cm="1">
        <f t="array" ref="L899" xml:space="preserve"> sentimentCategory(K899)</f>
        <v>Neutral</v>
      </c>
    </row>
    <row r="900" spans="1:12">
      <c r="A900" t="s">
        <v>2181</v>
      </c>
      <c r="B900" t="s">
        <v>3640</v>
      </c>
      <c r="C900" t="str" cm="1">
        <f t="array" ref="C900" xml:space="preserve"> CleanText(B900)</f>
        <v>gerekten sper harika bir fragman bravo</v>
      </c>
      <c r="D900">
        <v>0</v>
      </c>
      <c r="E900">
        <v>0</v>
      </c>
      <c r="F900" t="s">
        <v>0</v>
      </c>
      <c r="G900" t="str" cm="1">
        <f t="array" ref="G900" xml:space="preserve"> FindCountryName(F900)</f>
        <v>None</v>
      </c>
      <c r="H900" s="1">
        <v>45311.259872685187</v>
      </c>
      <c r="I900" s="1">
        <v>45311.259872685187</v>
      </c>
      <c r="J900" s="1">
        <v>42111.080925925926</v>
      </c>
      <c r="K900" cm="1">
        <f t="array" ref="K900" xml:space="preserve"> sentimentCalc(C900)</f>
        <v>0</v>
      </c>
      <c r="L900" t="str" cm="1">
        <f t="array" ref="L900" xml:space="preserve"> sentimentCategory(K900)</f>
        <v>Neutral</v>
      </c>
    </row>
    <row r="901" spans="1:12">
      <c r="A901" t="s">
        <v>1059</v>
      </c>
      <c r="B901" t="s">
        <v>3639</v>
      </c>
      <c r="C901" t="str" cm="1">
        <f t="array" ref="C901" xml:space="preserve"> CleanText(B901)</f>
        <v>harika ok srkleyici bir filme benziyor</v>
      </c>
      <c r="D901">
        <v>0</v>
      </c>
      <c r="E901">
        <v>0</v>
      </c>
      <c r="F901" t="s">
        <v>0</v>
      </c>
      <c r="G901" t="str" cm="1">
        <f t="array" ref="G901" xml:space="preserve"> FindCountryName(F901)</f>
        <v>None</v>
      </c>
      <c r="H901" s="1">
        <v>45311.259826388887</v>
      </c>
      <c r="I901" s="1">
        <v>45311.259826388887</v>
      </c>
      <c r="J901" s="1">
        <v>44084.861215277779</v>
      </c>
      <c r="K901" cm="1">
        <f t="array" ref="K901" xml:space="preserve"> sentimentCalc(C901)</f>
        <v>0</v>
      </c>
      <c r="L901" t="str" cm="1">
        <f t="array" ref="L901" xml:space="preserve"> sentimentCategory(K901)</f>
        <v>Neutral</v>
      </c>
    </row>
    <row r="902" spans="1:12">
      <c r="A902" t="s">
        <v>2503</v>
      </c>
      <c r="B902" t="s">
        <v>3638</v>
      </c>
      <c r="C902" t="str" cm="1">
        <f t="array" ref="C902" xml:space="preserve"> CleanText(B902)</f>
        <v>nice film</v>
      </c>
      <c r="D902">
        <v>0</v>
      </c>
      <c r="E902">
        <v>1</v>
      </c>
      <c r="F902" t="s">
        <v>0</v>
      </c>
      <c r="G902" t="str" cm="1">
        <f t="array" ref="G902" xml:space="preserve"> FindCountryName(F902)</f>
        <v>None</v>
      </c>
      <c r="H902" s="1">
        <v>45311.258969907409</v>
      </c>
      <c r="I902" s="1">
        <v>45311.258969907409</v>
      </c>
      <c r="J902" s="1">
        <v>44815.557349537034</v>
      </c>
      <c r="K902" cm="1">
        <f t="array" ref="K902" xml:space="preserve"> sentimentCalc(C902)</f>
        <v>3</v>
      </c>
      <c r="L902" t="str" cm="1">
        <f t="array" ref="L902" xml:space="preserve"> sentimentCategory(K902)</f>
        <v>Positive</v>
      </c>
    </row>
    <row r="903" spans="1:12">
      <c r="A903" t="s">
        <v>566</v>
      </c>
      <c r="B903" t="s">
        <v>3637</v>
      </c>
      <c r="C903" t="str" cm="1">
        <f t="array" ref="C903" xml:space="preserve"> CleanText(B903)</f>
        <v>harika bir bayapt kesinlikle izlenmeli izlenmeli ve izlenmeli</v>
      </c>
      <c r="D903">
        <v>0</v>
      </c>
      <c r="E903">
        <v>0</v>
      </c>
      <c r="F903" t="s">
        <v>0</v>
      </c>
      <c r="G903" t="str" cm="1">
        <f t="array" ref="G903" xml:space="preserve"> FindCountryName(F903)</f>
        <v>None</v>
      </c>
      <c r="H903" s="1">
        <v>45311.256574074076</v>
      </c>
      <c r="I903" s="1">
        <v>45311.256574074076</v>
      </c>
      <c r="J903" s="1">
        <v>41506.317962962959</v>
      </c>
      <c r="K903" cm="1">
        <f t="array" ref="K903" xml:space="preserve"> sentimentCalc(C903)</f>
        <v>0</v>
      </c>
      <c r="L903" t="str" cm="1">
        <f t="array" ref="L903" xml:space="preserve"> sentimentCategory(K903)</f>
        <v>Neutral</v>
      </c>
    </row>
    <row r="904" spans="1:12">
      <c r="A904" t="s">
        <v>1613</v>
      </c>
      <c r="B904" t="s">
        <v>3636</v>
      </c>
      <c r="C904" t="str" cm="1">
        <f t="array" ref="C904" xml:space="preserve"> CleanText(B904)</f>
        <v>merak uyandran izleyiciyi sabrszlandran bir film</v>
      </c>
      <c r="D904">
        <v>0</v>
      </c>
      <c r="E904">
        <v>0</v>
      </c>
      <c r="F904" t="s">
        <v>0</v>
      </c>
      <c r="G904" t="str" cm="1">
        <f t="array" ref="G904" xml:space="preserve"> FindCountryName(F904)</f>
        <v>None</v>
      </c>
      <c r="H904" s="1">
        <v>45311.256388888891</v>
      </c>
      <c r="I904" s="1">
        <v>45311.256388888891</v>
      </c>
      <c r="J904" s="1">
        <v>45311.256365740737</v>
      </c>
      <c r="K904" cm="1">
        <f t="array" ref="K904" xml:space="preserve"> sentimentCalc(C904)</f>
        <v>0</v>
      </c>
      <c r="L904" t="str" cm="1">
        <f t="array" ref="L904" xml:space="preserve"> sentimentCategory(K904)</f>
        <v>Neutral</v>
      </c>
    </row>
    <row r="905" spans="1:12">
      <c r="A905" t="s">
        <v>3635</v>
      </c>
      <c r="B905" t="s">
        <v>3634</v>
      </c>
      <c r="C905" t="str" cm="1">
        <f t="array" ref="C905" xml:space="preserve"> CleanText(B905)</f>
        <v>this show has a special place in my heart</v>
      </c>
      <c r="D905">
        <v>4</v>
      </c>
      <c r="E905">
        <v>0</v>
      </c>
      <c r="F905" t="s">
        <v>0</v>
      </c>
      <c r="G905" t="str" cm="1">
        <f t="array" ref="G905" xml:space="preserve"> FindCountryName(F905)</f>
        <v>None</v>
      </c>
      <c r="H905" s="1">
        <v>45311.255231481482</v>
      </c>
      <c r="I905" s="1">
        <v>45311.255231481482</v>
      </c>
      <c r="J905" s="1">
        <v>45311.25445601852</v>
      </c>
      <c r="K905" cm="1">
        <f t="array" ref="K905" xml:space="preserve"> sentimentCalc(C905)</f>
        <v>0</v>
      </c>
      <c r="L905" t="str" cm="1">
        <f t="array" ref="L905" xml:space="preserve"> sentimentCategory(K905)</f>
        <v>Neutral</v>
      </c>
    </row>
    <row r="906" spans="1:12">
      <c r="A906" t="s">
        <v>3633</v>
      </c>
      <c r="B906" t="s">
        <v>94</v>
      </c>
      <c r="C906" t="str" cm="1">
        <f t="array" ref="C906" xml:space="preserve"> CleanText(B906)</f>
        <v>good</v>
      </c>
      <c r="D906">
        <v>0</v>
      </c>
      <c r="E906">
        <v>0</v>
      </c>
      <c r="F906" t="s">
        <v>0</v>
      </c>
      <c r="G906" t="str" cm="1">
        <f t="array" ref="G906" xml:space="preserve"> FindCountryName(F906)</f>
        <v>None</v>
      </c>
      <c r="H906" s="1">
        <v>45311.254872685182</v>
      </c>
      <c r="I906" s="1">
        <v>45311.254872685182</v>
      </c>
      <c r="J906" s="1">
        <v>42396.709386574075</v>
      </c>
      <c r="K906" cm="1">
        <f t="array" ref="K906" xml:space="preserve"> sentimentCalc(C906)</f>
        <v>3</v>
      </c>
      <c r="L906" t="str" cm="1">
        <f t="array" ref="L906" xml:space="preserve"> sentimentCategory(K906)</f>
        <v>Positive</v>
      </c>
    </row>
    <row r="907" spans="1:12">
      <c r="A907" t="s">
        <v>966</v>
      </c>
      <c r="B907" t="s">
        <v>3632</v>
      </c>
      <c r="C907" t="str" cm="1">
        <f t="array" ref="C907" xml:space="preserve"> CleanText(B907)</f>
        <v>wow last we have something fresh it looks like very new depictions of avatar franchise _xDE00_</v>
      </c>
      <c r="D907">
        <v>0</v>
      </c>
      <c r="E907">
        <v>0</v>
      </c>
      <c r="F907" t="s">
        <v>1523</v>
      </c>
      <c r="G907" t="str" cm="1">
        <f t="array" ref="G907" xml:space="preserve"> FindCountryName(F907)</f>
        <v>Turkey</v>
      </c>
      <c r="H907" s="1">
        <v>45311.25472222222</v>
      </c>
      <c r="I907" s="1">
        <v>45311.25472222222</v>
      </c>
      <c r="J907" s="1">
        <v>40878.409675925926</v>
      </c>
      <c r="K907" cm="1">
        <f t="array" ref="K907" xml:space="preserve"> sentimentCalc(C907)</f>
        <v>7</v>
      </c>
      <c r="L907" t="str" cm="1">
        <f t="array" ref="L907" xml:space="preserve"> sentimentCategory(K907)</f>
        <v>Positive</v>
      </c>
    </row>
    <row r="908" spans="1:12">
      <c r="A908" t="s">
        <v>227</v>
      </c>
      <c r="B908" t="s">
        <v>3631</v>
      </c>
      <c r="C908" t="str" cm="1">
        <f t="array" ref="C908" xml:space="preserve"> CleanText(B908)</f>
        <v>zlemeyen ok ey karr</v>
      </c>
      <c r="D908">
        <v>0</v>
      </c>
      <c r="E908">
        <v>0</v>
      </c>
      <c r="F908" t="s">
        <v>0</v>
      </c>
      <c r="G908" t="str" cm="1">
        <f t="array" ref="G908" xml:space="preserve"> FindCountryName(F908)</f>
        <v>None</v>
      </c>
      <c r="H908" s="1">
        <v>45311.254282407404</v>
      </c>
      <c r="I908" s="1">
        <v>45311.254282407404</v>
      </c>
      <c r="J908" s="1">
        <v>42412.232997685183</v>
      </c>
      <c r="K908" cm="1">
        <f t="array" ref="K908" xml:space="preserve"> sentimentCalc(C908)</f>
        <v>0</v>
      </c>
      <c r="L908" t="str" cm="1">
        <f t="array" ref="L908" xml:space="preserve"> sentimentCategory(K908)</f>
        <v>Neutral</v>
      </c>
    </row>
    <row r="909" spans="1:12">
      <c r="A909" t="s">
        <v>30</v>
      </c>
      <c r="B909" t="s">
        <v>3630</v>
      </c>
      <c r="C909" t="str" cm="1">
        <f t="array" ref="C909" xml:space="preserve"> CleanText(B909)</f>
        <v>bu film ok gzelherkes kesinlikle izlemeli</v>
      </c>
      <c r="D909">
        <v>0</v>
      </c>
      <c r="E909">
        <v>0</v>
      </c>
      <c r="F909" t="s">
        <v>0</v>
      </c>
      <c r="G909" t="str" cm="1">
        <f t="array" ref="G909" xml:space="preserve"> FindCountryName(F909)</f>
        <v>None</v>
      </c>
      <c r="H909" s="1">
        <v>45311.254108796296</v>
      </c>
      <c r="I909" s="1">
        <v>45311.254108796296</v>
      </c>
      <c r="J909" s="1">
        <v>42818.220659722225</v>
      </c>
      <c r="K909" cm="1">
        <f t="array" ref="K909" xml:space="preserve"> sentimentCalc(C909)</f>
        <v>0</v>
      </c>
      <c r="L909" t="str" cm="1">
        <f t="array" ref="L909" xml:space="preserve"> sentimentCategory(K909)</f>
        <v>Neutral</v>
      </c>
    </row>
    <row r="910" spans="1:12">
      <c r="A910" t="s">
        <v>1977</v>
      </c>
      <c r="B910" t="s">
        <v>3629</v>
      </c>
      <c r="C910" t="str" cm="1">
        <f t="array" ref="C910" xml:space="preserve"> CleanText(B910)</f>
        <v>mkemmel olmu</v>
      </c>
      <c r="D910">
        <v>0</v>
      </c>
      <c r="E910">
        <v>0</v>
      </c>
      <c r="F910" t="s">
        <v>0</v>
      </c>
      <c r="G910" t="str" cm="1">
        <f t="array" ref="G910" xml:space="preserve"> FindCountryName(F910)</f>
        <v>None</v>
      </c>
      <c r="H910" s="1">
        <v>45311.253912037035</v>
      </c>
      <c r="I910" s="1">
        <v>45311.253912037035</v>
      </c>
      <c r="J910" s="1">
        <v>43189.526319444441</v>
      </c>
      <c r="K910" cm="1">
        <f t="array" ref="K910" xml:space="preserve"> sentimentCalc(C910)</f>
        <v>0</v>
      </c>
      <c r="L910" t="str" cm="1">
        <f t="array" ref="L910" xml:space="preserve"> sentimentCategory(K910)</f>
        <v>Neutral</v>
      </c>
    </row>
    <row r="911" spans="1:12">
      <c r="A911" t="s">
        <v>1710</v>
      </c>
      <c r="B911" t="s">
        <v>3628</v>
      </c>
      <c r="C911" t="str" cm="1">
        <f t="array" ref="C911" xml:space="preserve"> CleanText(B911)</f>
        <v>cokgzel olmu</v>
      </c>
      <c r="D911">
        <v>0</v>
      </c>
      <c r="E911">
        <v>0</v>
      </c>
      <c r="F911" t="s">
        <v>0</v>
      </c>
      <c r="G911" t="str" cm="1">
        <f t="array" ref="G911" xml:space="preserve"> FindCountryName(F911)</f>
        <v>None</v>
      </c>
      <c r="H911" s="1">
        <v>45311.253854166665</v>
      </c>
      <c r="I911" s="1">
        <v>45311.253854166665</v>
      </c>
      <c r="J911" s="1">
        <v>45311.251307870371</v>
      </c>
      <c r="K911" cm="1">
        <f t="array" ref="K911" xml:space="preserve"> sentimentCalc(C911)</f>
        <v>0</v>
      </c>
      <c r="L911" t="str" cm="1">
        <f t="array" ref="L911" xml:space="preserve"> sentimentCategory(K911)</f>
        <v>Neutral</v>
      </c>
    </row>
    <row r="912" spans="1:12">
      <c r="A912" t="s">
        <v>23</v>
      </c>
      <c r="B912" t="s">
        <v>3627</v>
      </c>
      <c r="C912" t="str" cm="1">
        <f t="array" ref="C912" xml:space="preserve"> CleanText(B912)</f>
        <v>harika bir film herkese tavsiye ederim _xDE0A_</v>
      </c>
      <c r="D912">
        <v>0</v>
      </c>
      <c r="E912">
        <v>0</v>
      </c>
      <c r="F912" t="s">
        <v>0</v>
      </c>
      <c r="G912" t="str" cm="1">
        <f t="array" ref="G912" xml:space="preserve"> FindCountryName(F912)</f>
        <v>None</v>
      </c>
      <c r="H912" s="1">
        <v>45311.253831018519</v>
      </c>
      <c r="I912" s="1">
        <v>45311.253831018519</v>
      </c>
      <c r="J912" s="1">
        <v>45311.251516203702</v>
      </c>
      <c r="K912" cm="1">
        <f t="array" ref="K912" xml:space="preserve"> sentimentCalc(C912)</f>
        <v>0</v>
      </c>
      <c r="L912" t="str" cm="1">
        <f t="array" ref="L912" xml:space="preserve"> sentimentCategory(K912)</f>
        <v>Neutral</v>
      </c>
    </row>
    <row r="913" spans="1:12">
      <c r="A913" t="s">
        <v>483</v>
      </c>
      <c r="B913" t="s">
        <v>3626</v>
      </c>
      <c r="C913" t="str" cm="1">
        <f t="array" ref="C913" xml:space="preserve"> CleanText(B913)</f>
        <v>harikaaa_xDE0A_</v>
      </c>
      <c r="D913">
        <v>0</v>
      </c>
      <c r="E913">
        <v>0</v>
      </c>
      <c r="F913" t="s">
        <v>0</v>
      </c>
      <c r="G913" t="str" cm="1">
        <f t="array" ref="G913" xml:space="preserve"> FindCountryName(F913)</f>
        <v>None</v>
      </c>
      <c r="H913" s="1">
        <v>45311.253159722219</v>
      </c>
      <c r="I913" s="1">
        <v>45311.253159722219</v>
      </c>
      <c r="J913" s="1">
        <v>42264.33048611111</v>
      </c>
      <c r="K913" cm="1">
        <f t="array" ref="K913" xml:space="preserve"> sentimentCalc(C913)</f>
        <v>0</v>
      </c>
      <c r="L913" t="str" cm="1">
        <f t="array" ref="L913" xml:space="preserve"> sentimentCategory(K913)</f>
        <v>Neutral</v>
      </c>
    </row>
    <row r="914" spans="1:12">
      <c r="A914" t="s">
        <v>1386</v>
      </c>
      <c r="B914" t="s">
        <v>3625</v>
      </c>
      <c r="C914" t="str" cm="1">
        <f t="array" ref="C914" xml:space="preserve"> CleanText(B914)</f>
        <v>zlediim en guzel filmlerden biri</v>
      </c>
      <c r="D914">
        <v>0</v>
      </c>
      <c r="E914">
        <v>0</v>
      </c>
      <c r="F914" t="s">
        <v>0</v>
      </c>
      <c r="G914" t="str" cm="1">
        <f t="array" ref="G914" xml:space="preserve"> FindCountryName(F914)</f>
        <v>None</v>
      </c>
      <c r="H914" s="1">
        <v>45311.25309027778</v>
      </c>
      <c r="I914" s="1">
        <v>45311.25309027778</v>
      </c>
      <c r="J914" s="1">
        <v>41863.677766203706</v>
      </c>
      <c r="K914" cm="1">
        <f t="array" ref="K914" xml:space="preserve"> sentimentCalc(C914)</f>
        <v>0</v>
      </c>
      <c r="L914" t="str" cm="1">
        <f t="array" ref="L914" xml:space="preserve"> sentimentCategory(K914)</f>
        <v>Neutral</v>
      </c>
    </row>
    <row r="915" spans="1:12">
      <c r="A915" t="s">
        <v>259</v>
      </c>
      <c r="B915" t="s">
        <v>3624</v>
      </c>
      <c r="C915" t="str" cm="1">
        <f t="array" ref="C915" xml:space="preserve"> CleanText(B915)</f>
        <v>gerekten yllardr beklediim filmlerden birisi</v>
      </c>
      <c r="D915">
        <v>0</v>
      </c>
      <c r="E915">
        <v>0</v>
      </c>
      <c r="F915" t="s">
        <v>0</v>
      </c>
      <c r="G915" t="str" cm="1">
        <f t="array" ref="G915" xml:space="preserve"> FindCountryName(F915)</f>
        <v>None</v>
      </c>
      <c r="H915" s="1">
        <v>45311.253032407411</v>
      </c>
      <c r="I915" s="1">
        <v>45311.253032407411</v>
      </c>
      <c r="J915" s="1">
        <v>43174.662581018521</v>
      </c>
      <c r="K915" cm="1">
        <f t="array" ref="K915" xml:space="preserve"> sentimentCalc(C915)</f>
        <v>0</v>
      </c>
      <c r="L915" t="str" cm="1">
        <f t="array" ref="L915" xml:space="preserve"> sentimentCategory(K915)</f>
        <v>Neutral</v>
      </c>
    </row>
    <row r="916" spans="1:12">
      <c r="A916" t="s">
        <v>2824</v>
      </c>
      <c r="B916" t="s">
        <v>3623</v>
      </c>
      <c r="C916" t="str" cm="1">
        <f t="array" ref="C916" xml:space="preserve"> CleanText(B916)</f>
        <v>gzel film olmu izlemeye deer diye dnyorum</v>
      </c>
      <c r="D916">
        <v>0</v>
      </c>
      <c r="E916">
        <v>0</v>
      </c>
      <c r="F916" t="s">
        <v>0</v>
      </c>
      <c r="G916" t="str" cm="1">
        <f t="array" ref="G916" xml:space="preserve"> FindCountryName(F916)</f>
        <v>None</v>
      </c>
      <c r="H916" s="1">
        <v>45311.25277777778</v>
      </c>
      <c r="I916" s="1">
        <v>45311.25277777778</v>
      </c>
      <c r="J916" s="1">
        <v>41718.56763888889</v>
      </c>
      <c r="K916" cm="1">
        <f t="array" ref="K916" xml:space="preserve"> sentimentCalc(C916)</f>
        <v>0</v>
      </c>
      <c r="L916" t="str" cm="1">
        <f t="array" ref="L916" xml:space="preserve"> sentimentCategory(K916)</f>
        <v>Neutral</v>
      </c>
    </row>
    <row r="917" spans="1:12">
      <c r="A917" t="s">
        <v>340</v>
      </c>
      <c r="B917" t="s">
        <v>3622</v>
      </c>
      <c r="C917" t="str" cm="1">
        <f t="array" ref="C917" xml:space="preserve"> CleanText(B917)</f>
        <v>_xDF89_efsane geri dnmmuhteem grseller var_xDC4D_</v>
      </c>
      <c r="D917">
        <v>0</v>
      </c>
      <c r="E917">
        <v>0</v>
      </c>
      <c r="F917" t="s">
        <v>0</v>
      </c>
      <c r="G917" t="str" cm="1">
        <f t="array" ref="G917" xml:space="preserve"> FindCountryName(F917)</f>
        <v>None</v>
      </c>
      <c r="H917" s="1">
        <v>45311.252604166664</v>
      </c>
      <c r="I917" s="1">
        <v>45311.252604166664</v>
      </c>
      <c r="J917" s="1">
        <v>44511.563472222224</v>
      </c>
      <c r="K917" cm="1">
        <f t="array" ref="K917" xml:space="preserve"> sentimentCalc(C917)</f>
        <v>0</v>
      </c>
      <c r="L917" t="str" cm="1">
        <f t="array" ref="L917" xml:space="preserve"> sentimentCategory(K917)</f>
        <v>Neutral</v>
      </c>
    </row>
    <row r="918" spans="1:12">
      <c r="A918" t="s">
        <v>1525</v>
      </c>
      <c r="B918" t="s">
        <v>3621</v>
      </c>
      <c r="C918" t="str" cm="1">
        <f t="array" ref="C918" xml:space="preserve"> CleanText(B918)</f>
        <v>ok gzel herkese tavsiye ederim</v>
      </c>
      <c r="D918">
        <v>0</v>
      </c>
      <c r="E918">
        <v>0</v>
      </c>
      <c r="F918" t="s">
        <v>0</v>
      </c>
      <c r="G918" t="str" cm="1">
        <f t="array" ref="G918" xml:space="preserve"> FindCountryName(F918)</f>
        <v>None</v>
      </c>
      <c r="H918" s="1">
        <v>45311.252372685187</v>
      </c>
      <c r="I918" s="1">
        <v>45311.252372685187</v>
      </c>
      <c r="J918" s="1">
        <v>43118.55097222222</v>
      </c>
      <c r="K918" cm="1">
        <f t="array" ref="K918" xml:space="preserve"> sentimentCalc(C918)</f>
        <v>0</v>
      </c>
      <c r="L918" t="str" cm="1">
        <f t="array" ref="L918" xml:space="preserve"> sentimentCategory(K918)</f>
        <v>Neutral</v>
      </c>
    </row>
    <row r="919" spans="1:12">
      <c r="A919" t="s">
        <v>926</v>
      </c>
      <c r="B919" t="s">
        <v>3620</v>
      </c>
      <c r="C919" t="str" cm="1">
        <f t="array" ref="C919" xml:space="preserve"> CleanText(B919)</f>
        <v>harika ve fantastik</v>
      </c>
      <c r="D919">
        <v>0</v>
      </c>
      <c r="E919">
        <v>0</v>
      </c>
      <c r="F919" t="s">
        <v>0</v>
      </c>
      <c r="G919" t="str" cm="1">
        <f t="array" ref="G919" xml:space="preserve"> FindCountryName(F919)</f>
        <v>None</v>
      </c>
      <c r="H919" s="1">
        <v>45311.252349537041</v>
      </c>
      <c r="I919" s="1">
        <v>45311.252349537041</v>
      </c>
      <c r="J919" s="1">
        <v>41157.098773148151</v>
      </c>
      <c r="K919" cm="1">
        <f t="array" ref="K919" xml:space="preserve"> sentimentCalc(C919)</f>
        <v>0</v>
      </c>
      <c r="L919" t="str" cm="1">
        <f t="array" ref="L919" xml:space="preserve"> sentimentCategory(K919)</f>
        <v>Neutral</v>
      </c>
    </row>
    <row r="920" spans="1:12">
      <c r="A920" t="s">
        <v>3619</v>
      </c>
      <c r="B920" t="s">
        <v>3618</v>
      </c>
      <c r="C920" t="str" cm="1">
        <f t="array" ref="C920" xml:space="preserve"> CleanText(B920)</f>
        <v>ok gzel olmu</v>
      </c>
      <c r="D920">
        <v>0</v>
      </c>
      <c r="E920">
        <v>0</v>
      </c>
      <c r="F920" t="s">
        <v>0</v>
      </c>
      <c r="G920" t="str" cm="1">
        <f t="array" ref="G920" xml:space="preserve"> FindCountryName(F920)</f>
        <v>None</v>
      </c>
      <c r="H920" s="1">
        <v>45311.252233796295</v>
      </c>
      <c r="I920" s="1">
        <v>45311.252233796295</v>
      </c>
      <c r="J920" s="1">
        <v>45013.444490740738</v>
      </c>
      <c r="K920" cm="1">
        <f t="array" ref="K920" xml:space="preserve"> sentimentCalc(C920)</f>
        <v>0</v>
      </c>
      <c r="L920" t="str" cm="1">
        <f t="array" ref="L920" xml:space="preserve"> sentimentCategory(K920)</f>
        <v>Neutral</v>
      </c>
    </row>
    <row r="921" spans="1:12">
      <c r="A921" t="s">
        <v>1059</v>
      </c>
      <c r="B921" t="s">
        <v>3617</v>
      </c>
      <c r="C921" t="str" cm="1">
        <f t="array" ref="C921" xml:space="preserve"> CleanText(B921)</f>
        <v>sper</v>
      </c>
      <c r="D921">
        <v>0</v>
      </c>
      <c r="E921">
        <v>0</v>
      </c>
      <c r="F921" t="s">
        <v>0</v>
      </c>
      <c r="G921" t="str" cm="1">
        <f t="array" ref="G921" xml:space="preserve"> FindCountryName(F921)</f>
        <v>None</v>
      </c>
      <c r="H921" s="1">
        <v>45311.252199074072</v>
      </c>
      <c r="I921" s="1">
        <v>45311.252199074072</v>
      </c>
      <c r="J921" s="1">
        <v>43586.5312962963</v>
      </c>
      <c r="K921" cm="1">
        <f t="array" ref="K921" xml:space="preserve"> sentimentCalc(C921)</f>
        <v>0</v>
      </c>
      <c r="L921" t="str" cm="1">
        <f t="array" ref="L921" xml:space="preserve"> sentimentCategory(K921)</f>
        <v>Neutral</v>
      </c>
    </row>
    <row r="922" spans="1:12">
      <c r="A922" t="s">
        <v>2928</v>
      </c>
      <c r="B922" t="s">
        <v>3616</v>
      </c>
      <c r="C922" t="str" cm="1">
        <f t="array" ref="C922" xml:space="preserve"> CleanText(B922)</f>
        <v>bugne kadar grdm en iyi film diyebilirim❤❤</v>
      </c>
      <c r="D922">
        <v>0</v>
      </c>
      <c r="E922">
        <v>0</v>
      </c>
      <c r="F922" t="s">
        <v>0</v>
      </c>
      <c r="G922" t="str" cm="1">
        <f t="array" ref="G922" xml:space="preserve"> FindCountryName(F922)</f>
        <v>None</v>
      </c>
      <c r="H922" s="1">
        <v>45311.252187500002</v>
      </c>
      <c r="I922" s="1">
        <v>45311.252187500002</v>
      </c>
      <c r="J922" s="1">
        <v>41582.503530092596</v>
      </c>
      <c r="K922" cm="1">
        <f t="array" ref="K922" xml:space="preserve"> sentimentCalc(C922)</f>
        <v>0</v>
      </c>
      <c r="L922" t="str" cm="1">
        <f t="array" ref="L922" xml:space="preserve"> sentimentCategory(K922)</f>
        <v>Neutral</v>
      </c>
    </row>
    <row r="923" spans="1:12">
      <c r="A923" t="s">
        <v>1121</v>
      </c>
      <c r="B923" t="s">
        <v>3615</v>
      </c>
      <c r="C923" t="str" cm="1">
        <f t="array" ref="C923" xml:space="preserve"> CleanText(B923)</f>
        <v>avatar ok sevdiim b tapmdr izlemenizi tavsiye ederim</v>
      </c>
      <c r="D923">
        <v>0</v>
      </c>
      <c r="E923">
        <v>0</v>
      </c>
      <c r="F923" t="s">
        <v>0</v>
      </c>
      <c r="G923" t="str" cm="1">
        <f t="array" ref="G923" xml:space="preserve"> FindCountryName(F923)</f>
        <v>None</v>
      </c>
      <c r="H923" s="1">
        <v>45311.252129629633</v>
      </c>
      <c r="I923" s="1">
        <v>45311.252129629633</v>
      </c>
      <c r="J923" s="1">
        <v>42909.775729166664</v>
      </c>
      <c r="K923" cm="1">
        <f t="array" ref="K923" xml:space="preserve"> sentimentCalc(C923)</f>
        <v>0</v>
      </c>
      <c r="L923" t="str" cm="1">
        <f t="array" ref="L923" xml:space="preserve"> sentimentCategory(K923)</f>
        <v>Neutral</v>
      </c>
    </row>
    <row r="924" spans="1:12">
      <c r="A924" t="s">
        <v>23</v>
      </c>
      <c r="B924" t="s">
        <v>3614</v>
      </c>
      <c r="C924" t="str" cm="1">
        <f t="array" ref="C924" xml:space="preserve"> CleanText(B924)</f>
        <v>ok gzel ve heyecanl</v>
      </c>
      <c r="D924">
        <v>0</v>
      </c>
      <c r="E924">
        <v>0</v>
      </c>
      <c r="F924" t="s">
        <v>0</v>
      </c>
      <c r="G924" t="str" cm="1">
        <f t="array" ref="G924" xml:space="preserve"> FindCountryName(F924)</f>
        <v>None</v>
      </c>
      <c r="H924" s="1">
        <v>45311.251944444448</v>
      </c>
      <c r="I924" s="1">
        <v>45311.251944444448</v>
      </c>
      <c r="J924" s="1">
        <v>45311.251516203702</v>
      </c>
      <c r="K924" cm="1">
        <f t="array" ref="K924" xml:space="preserve"> sentimentCalc(C924)</f>
        <v>0</v>
      </c>
      <c r="L924" t="str" cm="1">
        <f t="array" ref="L924" xml:space="preserve"> sentimentCategory(K924)</f>
        <v>Neutral</v>
      </c>
    </row>
    <row r="925" spans="1:12">
      <c r="A925" t="s">
        <v>82</v>
      </c>
      <c r="B925" t="s">
        <v>3613</v>
      </c>
      <c r="C925" t="str" cm="1">
        <f t="array" ref="C925" xml:space="preserve"> CleanText(B925)</f>
        <v>ok iyi</v>
      </c>
      <c r="D925">
        <v>0</v>
      </c>
      <c r="E925">
        <v>0</v>
      </c>
      <c r="F925" t="s">
        <v>0</v>
      </c>
      <c r="G925" t="str" cm="1">
        <f t="array" ref="G925" xml:space="preserve"> FindCountryName(F925)</f>
        <v>None</v>
      </c>
      <c r="H925" s="1">
        <v>45311.251805555556</v>
      </c>
      <c r="I925" s="1">
        <v>45311.251805555556</v>
      </c>
      <c r="J925" s="1">
        <v>45242.680474537039</v>
      </c>
      <c r="K925" cm="1">
        <f t="array" ref="K925" xml:space="preserve"> sentimentCalc(C925)</f>
        <v>0</v>
      </c>
      <c r="L925" t="str" cm="1">
        <f t="array" ref="L925" xml:space="preserve"> sentimentCategory(K925)</f>
        <v>Neutral</v>
      </c>
    </row>
    <row r="926" spans="1:12">
      <c r="A926" t="s">
        <v>156</v>
      </c>
      <c r="B926" t="s">
        <v>3612</v>
      </c>
      <c r="C926" t="str" cm="1">
        <f t="array" ref="C926" xml:space="preserve"> CleanText(B926)</f>
        <v>gerekten ok gzel bir film  izlerken insan baka diyarlara gtryor</v>
      </c>
      <c r="D926">
        <v>0</v>
      </c>
      <c r="E926">
        <v>0</v>
      </c>
      <c r="F926" t="s">
        <v>0</v>
      </c>
      <c r="G926" t="str" cm="1">
        <f t="array" ref="G926" xml:space="preserve"> FindCountryName(F926)</f>
        <v>None</v>
      </c>
      <c r="H926" s="1">
        <v>45311.25167824074</v>
      </c>
      <c r="I926" s="1">
        <v>45311.25167824074</v>
      </c>
      <c r="J926" s="1">
        <v>45311.251655092594</v>
      </c>
      <c r="K926" cm="1">
        <f t="array" ref="K926" xml:space="preserve"> sentimentCalc(C926)</f>
        <v>0</v>
      </c>
      <c r="L926" t="str" cm="1">
        <f t="array" ref="L926" xml:space="preserve"> sentimentCategory(K926)</f>
        <v>Neutral</v>
      </c>
    </row>
    <row r="927" spans="1:12">
      <c r="A927" t="s">
        <v>1067</v>
      </c>
      <c r="B927" t="s">
        <v>3611</v>
      </c>
      <c r="C927" t="str" cm="1">
        <f t="array" ref="C927" xml:space="preserve"> CleanText(B927)</f>
        <v>ok gzel bir film olmu</v>
      </c>
      <c r="D927">
        <v>0</v>
      </c>
      <c r="E927">
        <v>0</v>
      </c>
      <c r="F927" t="s">
        <v>0</v>
      </c>
      <c r="G927" t="str" cm="1">
        <f t="array" ref="G927" xml:space="preserve"> FindCountryName(F927)</f>
        <v>None</v>
      </c>
      <c r="H927" s="1">
        <v>45311.251620370371</v>
      </c>
      <c r="I927" s="1">
        <v>45311.251620370371</v>
      </c>
      <c r="J927" s="1">
        <v>42394.446539351855</v>
      </c>
      <c r="K927" cm="1">
        <f t="array" ref="K927" xml:space="preserve"> sentimentCalc(C927)</f>
        <v>0</v>
      </c>
      <c r="L927" t="str" cm="1">
        <f t="array" ref="L927" xml:space="preserve"> sentimentCategory(K927)</f>
        <v>Neutral</v>
      </c>
    </row>
    <row r="928" spans="1:12">
      <c r="A928" t="s">
        <v>23</v>
      </c>
      <c r="B928" t="s">
        <v>3610</v>
      </c>
      <c r="C928" t="str" cm="1">
        <f t="array" ref="C928" xml:space="preserve"> CleanText(B928)</f>
        <v>yine ok gzel bir film izlemek iin sabrszlk la bekliyorum</v>
      </c>
      <c r="D928">
        <v>0</v>
      </c>
      <c r="E928">
        <v>0</v>
      </c>
      <c r="F928" t="s">
        <v>0</v>
      </c>
      <c r="G928" t="str" cm="1">
        <f t="array" ref="G928" xml:space="preserve"> FindCountryName(F928)</f>
        <v>None</v>
      </c>
      <c r="H928" s="1">
        <v>45311.251539351855</v>
      </c>
      <c r="I928" s="1">
        <v>45311.251539351855</v>
      </c>
      <c r="J928" s="1">
        <v>45311.251516203702</v>
      </c>
      <c r="K928" cm="1">
        <f t="array" ref="K928" xml:space="preserve"> sentimentCalc(C928)</f>
        <v>0</v>
      </c>
      <c r="L928" t="str" cm="1">
        <f t="array" ref="L928" xml:space="preserve"> sentimentCategory(K928)</f>
        <v>Neutral</v>
      </c>
    </row>
    <row r="929" spans="1:12">
      <c r="A929" t="s">
        <v>3609</v>
      </c>
      <c r="B929" t="s">
        <v>3608</v>
      </c>
      <c r="C929" t="str" cm="1">
        <f t="array" ref="C929" xml:space="preserve"> CleanText(B929)</f>
        <v>olduka etkileyici insan izlerken kaplp gidiyor ok srkleyici</v>
      </c>
      <c r="D929">
        <v>0</v>
      </c>
      <c r="E929">
        <v>0</v>
      </c>
      <c r="F929" t="s">
        <v>0</v>
      </c>
      <c r="G929" t="str" cm="1">
        <f t="array" ref="G929" xml:space="preserve"> FindCountryName(F929)</f>
        <v>None</v>
      </c>
      <c r="H929" s="1">
        <v>45311.251481481479</v>
      </c>
      <c r="I929" s="1">
        <v>45311.252997685187</v>
      </c>
      <c r="J929" s="1">
        <v>45159.72960648148</v>
      </c>
      <c r="K929" cm="1">
        <f t="array" ref="K929" xml:space="preserve"> sentimentCalc(C929)</f>
        <v>0</v>
      </c>
      <c r="L929" t="str" cm="1">
        <f t="array" ref="L929" xml:space="preserve"> sentimentCategory(K929)</f>
        <v>Neutral</v>
      </c>
    </row>
    <row r="930" spans="1:12">
      <c r="A930" t="s">
        <v>1710</v>
      </c>
      <c r="B930" t="s">
        <v>3607</v>
      </c>
      <c r="C930" t="str" cm="1">
        <f t="array" ref="C930" xml:space="preserve"> CleanText(B930)</f>
        <v>ok gzel film</v>
      </c>
      <c r="D930">
        <v>0</v>
      </c>
      <c r="E930">
        <v>0</v>
      </c>
      <c r="F930" t="s">
        <v>0</v>
      </c>
      <c r="G930" t="str" cm="1">
        <f t="array" ref="G930" xml:space="preserve"> FindCountryName(F930)</f>
        <v>None</v>
      </c>
      <c r="H930" s="1">
        <v>45311.251446759263</v>
      </c>
      <c r="I930" s="1">
        <v>45311.251446759263</v>
      </c>
      <c r="J930" s="1">
        <v>45311.251435185186</v>
      </c>
      <c r="K930" cm="1">
        <f t="array" ref="K930" xml:space="preserve"> sentimentCalc(C930)</f>
        <v>0</v>
      </c>
      <c r="L930" t="str" cm="1">
        <f t="array" ref="L930" xml:space="preserve"> sentimentCategory(K930)</f>
        <v>Neutral</v>
      </c>
    </row>
    <row r="931" spans="1:12">
      <c r="A931" t="s">
        <v>291</v>
      </c>
      <c r="B931" t="s">
        <v>3606</v>
      </c>
      <c r="C931" t="str" cm="1">
        <f t="array" ref="C931" xml:space="preserve"> CleanText(B931)</f>
        <v>harika bi alma olmu emek verenlere teekkr ediyorum</v>
      </c>
      <c r="D931">
        <v>0</v>
      </c>
      <c r="E931">
        <v>0</v>
      </c>
      <c r="F931" t="s">
        <v>0</v>
      </c>
      <c r="G931" t="str" cm="1">
        <f t="array" ref="G931" xml:space="preserve"> FindCountryName(F931)</f>
        <v>None</v>
      </c>
      <c r="H931" s="1">
        <v>45311.251377314817</v>
      </c>
      <c r="I931" s="1">
        <v>45311.251377314817</v>
      </c>
      <c r="J931" s="1">
        <v>41613.704467592594</v>
      </c>
      <c r="K931" cm="1">
        <f t="array" ref="K931" xml:space="preserve"> sentimentCalc(C931)</f>
        <v>0</v>
      </c>
      <c r="L931" t="str" cm="1">
        <f t="array" ref="L931" xml:space="preserve"> sentimentCategory(K931)</f>
        <v>Neutral</v>
      </c>
    </row>
    <row r="932" spans="1:12">
      <c r="A932" t="s">
        <v>1710</v>
      </c>
      <c r="B932" t="s">
        <v>3605</v>
      </c>
      <c r="C932" t="str" cm="1">
        <f t="array" ref="C932" xml:space="preserve"> CleanText(B932)</f>
        <v>o numara fil olmu</v>
      </c>
      <c r="D932">
        <v>0</v>
      </c>
      <c r="E932">
        <v>0</v>
      </c>
      <c r="F932" t="s">
        <v>0</v>
      </c>
      <c r="G932" t="str" cm="1">
        <f t="array" ref="G932" xml:space="preserve"> FindCountryName(F932)</f>
        <v>None</v>
      </c>
      <c r="H932" s="1">
        <v>45311.251319444447</v>
      </c>
      <c r="I932" s="1">
        <v>45311.251319444447</v>
      </c>
      <c r="J932" s="1">
        <v>45311.251307870371</v>
      </c>
      <c r="K932" cm="1">
        <f t="array" ref="K932" xml:space="preserve"> sentimentCalc(C932)</f>
        <v>0</v>
      </c>
      <c r="L932" t="str" cm="1">
        <f t="array" ref="L932" xml:space="preserve"> sentimentCategory(K932)</f>
        <v>Neutral</v>
      </c>
    </row>
    <row r="933" spans="1:12">
      <c r="A933" t="s">
        <v>128</v>
      </c>
      <c r="B933" t="s">
        <v>3604</v>
      </c>
      <c r="C933" t="str" cm="1">
        <f t="array" ref="C933" xml:space="preserve"> CleanText(B933)</f>
        <v>sper bir filim izlemenizi neririm</v>
      </c>
      <c r="D933">
        <v>0</v>
      </c>
      <c r="E933">
        <v>0</v>
      </c>
      <c r="F933" t="s">
        <v>0</v>
      </c>
      <c r="G933" t="str" cm="1">
        <f t="array" ref="G933" xml:space="preserve"> FindCountryName(F933)</f>
        <v>None</v>
      </c>
      <c r="H933" s="1">
        <v>45311.251168981478</v>
      </c>
      <c r="I933" s="1">
        <v>45311.251168981478</v>
      </c>
      <c r="J933" s="1">
        <v>43969.324224537035</v>
      </c>
      <c r="K933" cm="1">
        <f t="array" ref="K933" xml:space="preserve"> sentimentCalc(C933)</f>
        <v>0</v>
      </c>
      <c r="L933" t="str" cm="1">
        <f t="array" ref="L933" xml:space="preserve"> sentimentCategory(K933)</f>
        <v>Neutral</v>
      </c>
    </row>
    <row r="934" spans="1:12">
      <c r="A934" t="s">
        <v>653</v>
      </c>
      <c r="B934" t="s">
        <v>3603</v>
      </c>
      <c r="C934" t="str" cm="1">
        <f t="array" ref="C934" xml:space="preserve"> CleanText(B934)</f>
        <v>ok iyi grnyor</v>
      </c>
      <c r="D934">
        <v>0</v>
      </c>
      <c r="E934">
        <v>0</v>
      </c>
      <c r="F934" t="s">
        <v>0</v>
      </c>
      <c r="G934" t="str" cm="1">
        <f t="array" ref="G934" xml:space="preserve"> FindCountryName(F934)</f>
        <v>None</v>
      </c>
      <c r="H934" s="1">
        <v>45311.250879629632</v>
      </c>
      <c r="I934" s="1">
        <v>45311.250879629632</v>
      </c>
      <c r="J934" s="1">
        <v>41628.556712962964</v>
      </c>
      <c r="K934" cm="1">
        <f t="array" ref="K934" xml:space="preserve"> sentimentCalc(C934)</f>
        <v>0</v>
      </c>
      <c r="L934" t="str" cm="1">
        <f t="array" ref="L934" xml:space="preserve"> sentimentCategory(K934)</f>
        <v>Neutral</v>
      </c>
    </row>
    <row r="935" spans="1:12">
      <c r="A935" t="s">
        <v>516</v>
      </c>
      <c r="B935" t="s">
        <v>3602</v>
      </c>
      <c r="C935" t="str" cm="1">
        <f t="array" ref="C935" xml:space="preserve"> CleanText(B935)</f>
        <v>bu filmi izlemek iin sabrszlanyorum</v>
      </c>
      <c r="D935">
        <v>0</v>
      </c>
      <c r="E935">
        <v>0</v>
      </c>
      <c r="F935" t="s">
        <v>0</v>
      </c>
      <c r="G935" t="str" cm="1">
        <f t="array" ref="G935" xml:space="preserve"> FindCountryName(F935)</f>
        <v>None</v>
      </c>
      <c r="H935" s="1">
        <v>45311.249930555554</v>
      </c>
      <c r="I935" s="1">
        <v>45311.249930555554</v>
      </c>
      <c r="J935" s="1">
        <v>43725.264062499999</v>
      </c>
      <c r="K935" cm="1">
        <f t="array" ref="K935" xml:space="preserve"> sentimentCalc(C935)</f>
        <v>0</v>
      </c>
      <c r="L935" t="str" cm="1">
        <f t="array" ref="L935" xml:space="preserve"> sentimentCategory(K935)</f>
        <v>Neutral</v>
      </c>
    </row>
    <row r="936" spans="1:12">
      <c r="A936" t="s">
        <v>3601</v>
      </c>
      <c r="B936" t="s">
        <v>3600</v>
      </c>
      <c r="C936" t="str" cm="1">
        <f t="array" ref="C936" xml:space="preserve"> CleanText(B936)</f>
        <v>gzel olmu gle giy canm yakm</v>
      </c>
      <c r="D936">
        <v>0</v>
      </c>
      <c r="E936">
        <v>0</v>
      </c>
      <c r="F936" t="s">
        <v>1523</v>
      </c>
      <c r="G936" t="str" cm="1">
        <f t="array" ref="G936" xml:space="preserve"> FindCountryName(F936)</f>
        <v>Turkey</v>
      </c>
      <c r="H936" s="1">
        <v>45311.249652777777</v>
      </c>
      <c r="I936" s="1">
        <v>45311.249652777777</v>
      </c>
      <c r="J936" s="1">
        <v>43248.238819444443</v>
      </c>
      <c r="K936" cm="1">
        <f t="array" ref="K936" xml:space="preserve"> sentimentCalc(C936)</f>
        <v>0</v>
      </c>
      <c r="L936" t="str" cm="1">
        <f t="array" ref="L936" xml:space="preserve"> sentimentCategory(K936)</f>
        <v>Neutral</v>
      </c>
    </row>
    <row r="937" spans="1:12">
      <c r="A937" t="s">
        <v>977</v>
      </c>
      <c r="B937" t="s">
        <v>3599</v>
      </c>
      <c r="C937" t="str" cm="1">
        <f t="array" ref="C937" xml:space="preserve"> CleanText(B937)</f>
        <v>albatar</v>
      </c>
      <c r="D937">
        <v>0</v>
      </c>
      <c r="E937">
        <v>0</v>
      </c>
      <c r="F937" t="s">
        <v>2796</v>
      </c>
      <c r="G937" t="str" cm="1">
        <f t="array" ref="G937" xml:space="preserve"> FindCountryName(F937)</f>
        <v>France</v>
      </c>
      <c r="H937" s="1">
        <v>45311.198518518519</v>
      </c>
      <c r="I937" s="1">
        <v>45311.198518518519</v>
      </c>
      <c r="J937" s="1">
        <v>44980.816886574074</v>
      </c>
      <c r="K937" cm="1">
        <f t="array" ref="K937" xml:space="preserve"> sentimentCalc(C937)</f>
        <v>0</v>
      </c>
      <c r="L937" t="str" cm="1">
        <f t="array" ref="L937" xml:space="preserve"> sentimentCategory(K937)</f>
        <v>Neutral</v>
      </c>
    </row>
    <row r="938" spans="1:12">
      <c r="A938" t="s">
        <v>1185</v>
      </c>
      <c r="B938" t="s">
        <v>3598</v>
      </c>
      <c r="C938" t="str" cm="1">
        <f t="array" ref="C938" xml:space="preserve"> CleanText(B938)</f>
        <v>i stg if he says my name is uung again im killing everybody</v>
      </c>
      <c r="D938">
        <v>0</v>
      </c>
      <c r="E938">
        <v>0</v>
      </c>
      <c r="F938" t="s">
        <v>0</v>
      </c>
      <c r="G938" t="str" cm="1">
        <f t="array" ref="G938" xml:space="preserve"> FindCountryName(F938)</f>
        <v>None</v>
      </c>
      <c r="H938" s="1">
        <v>45311.148333333331</v>
      </c>
      <c r="I938" s="1">
        <v>45311.148333333331</v>
      </c>
      <c r="J938" s="1">
        <v>43339.809560185182</v>
      </c>
      <c r="K938" cm="1">
        <f t="array" ref="K938" xml:space="preserve"> sentimentCalc(C938)</f>
        <v>-3</v>
      </c>
      <c r="L938" t="str" cm="1">
        <f t="array" ref="L938" xml:space="preserve"> sentimentCategory(K938)</f>
        <v>Negative</v>
      </c>
    </row>
    <row r="939" spans="1:12">
      <c r="A939" t="s">
        <v>430</v>
      </c>
      <c r="B939" t="s">
        <v>3597</v>
      </c>
      <c r="C939" t="str" cm="1">
        <f t="array" ref="C939" xml:space="preserve"> CleanText(B939)</f>
        <v>n</v>
      </c>
      <c r="D939">
        <v>1</v>
      </c>
      <c r="E939">
        <v>0</v>
      </c>
      <c r="F939" t="s">
        <v>0</v>
      </c>
      <c r="G939" t="str" cm="1">
        <f t="array" ref="G939" xml:space="preserve"> FindCountryName(F939)</f>
        <v>None</v>
      </c>
      <c r="H939" s="1">
        <v>45311.142800925925</v>
      </c>
      <c r="I939" s="1">
        <v>45311.142800925925</v>
      </c>
      <c r="J939" s="1">
        <v>45100.559027777781</v>
      </c>
      <c r="K939" cm="1">
        <f t="array" ref="K939" xml:space="preserve"> sentimentCalc(C939)</f>
        <v>0</v>
      </c>
      <c r="L939" t="str" cm="1">
        <f t="array" ref="L939" xml:space="preserve"> sentimentCategory(K939)</f>
        <v>Neutral</v>
      </c>
    </row>
    <row r="940" spans="1:12">
      <c r="A940" t="s">
        <v>1376</v>
      </c>
      <c r="B940" t="s">
        <v>3596</v>
      </c>
      <c r="C940" t="str" cm="1">
        <f t="array" ref="C940" xml:space="preserve"> CleanText(B940)</f>
        <v>this ang actor is too low energy to play that ang should be hyper and funny and playful and smart because he is a child not an actor playing the character like he is cute he doesnt look bad ass at all</v>
      </c>
      <c r="D940">
        <v>0</v>
      </c>
      <c r="E940">
        <v>1</v>
      </c>
      <c r="F940" t="s">
        <v>0</v>
      </c>
      <c r="G940" t="str" cm="1">
        <f t="array" ref="G940" xml:space="preserve"> FindCountryName(F940)</f>
        <v>None</v>
      </c>
      <c r="H940" s="1">
        <v>45311.117581018516</v>
      </c>
      <c r="I940" s="1">
        <v>45311.117581018516</v>
      </c>
      <c r="J940" s="1">
        <v>40587.635185185187</v>
      </c>
      <c r="K940" cm="1">
        <f t="array" ref="K940" xml:space="preserve"> sentimentCalc(C940)</f>
        <v>4</v>
      </c>
      <c r="L940" t="str" cm="1">
        <f t="array" ref="L940" xml:space="preserve"> sentimentCategory(K940)</f>
        <v>Positive</v>
      </c>
    </row>
    <row r="941" spans="1:12">
      <c r="A941" t="s">
        <v>1376</v>
      </c>
      <c r="B941" t="s">
        <v>3595</v>
      </c>
      <c r="C941" t="str" cm="1">
        <f t="array" ref="C941" xml:space="preserve"> CleanText(B941)</f>
        <v>ang should look mean when im the avatar state because he is not in control he must look like possessed to be exact but instead he looks like no emotions at all id netflix doesnt tackle the personalities emotions anger and playful behavior of ang i highly doubt it they will make a good impression because netflix is more concerned about the male up and the stage and picture quality while the acting part sucks i cant let this film ruined my experience with the original series i cant i smell disappointment all over the place they should have found real chinese martial artist to play the fire nation and air benders characters just saying</v>
      </c>
      <c r="D941">
        <v>0</v>
      </c>
      <c r="E941">
        <v>0</v>
      </c>
      <c r="F941" t="s">
        <v>0</v>
      </c>
      <c r="G941" t="str" cm="1">
        <f t="array" ref="G941" xml:space="preserve"> FindCountryName(F941)</f>
        <v>None</v>
      </c>
      <c r="H941" s="1">
        <v>45311.113865740743</v>
      </c>
      <c r="I941" s="1">
        <v>45311.113865740743</v>
      </c>
      <c r="J941" s="1">
        <v>40587.635185185187</v>
      </c>
      <c r="K941" cm="1">
        <f t="array" ref="K941" xml:space="preserve"> sentimentCalc(C941)</f>
        <v>-5</v>
      </c>
      <c r="L941" t="str" cm="1">
        <f t="array" ref="L941" xml:space="preserve"> sentimentCategory(K941)</f>
        <v>Negative</v>
      </c>
    </row>
    <row r="942" spans="1:12">
      <c r="A942" t="s">
        <v>1376</v>
      </c>
      <c r="B942" t="s">
        <v>3594</v>
      </c>
      <c r="C942" t="str" cm="1">
        <f t="array" ref="C942" xml:space="preserve"> CleanText(B942)</f>
        <v>these main characters have good customs but the way they act doesnt reflect the personalities nor the character of the original characters and looks like too soft when in the avatar state zuko and the fire nation king as well nobody looks like angry nor evil everybody looks like getting along besides the story line says otherwise why is that so hard to accomplish is the director so out of touch he cant see what we see and zuko scar what that heck is that doesnt even look like a scar at all but painted make up he is too soft as well to be the son of the most evil man on earth not good netflix they dont even care whatever i am not watching it</v>
      </c>
      <c r="D942">
        <v>0</v>
      </c>
      <c r="E942">
        <v>0</v>
      </c>
      <c r="F942" t="s">
        <v>0</v>
      </c>
      <c r="G942" t="str" cm="1">
        <f t="array" ref="G942" xml:space="preserve"> FindCountryName(F942)</f>
        <v>None</v>
      </c>
      <c r="H942" s="1">
        <v>45311.109479166669</v>
      </c>
      <c r="I942" s="1">
        <v>45311.109479166669</v>
      </c>
      <c r="J942" s="1">
        <v>40587.635185185187</v>
      </c>
      <c r="K942" cm="1">
        <f t="array" ref="K942" xml:space="preserve"> sentimentCalc(C942)</f>
        <v>6</v>
      </c>
      <c r="L942" t="str" cm="1">
        <f t="array" ref="L942" xml:space="preserve"> sentimentCategory(K942)</f>
        <v>Positive</v>
      </c>
    </row>
    <row r="943" spans="1:12">
      <c r="A943" t="s">
        <v>1386</v>
      </c>
      <c r="B943" t="s">
        <v>3593</v>
      </c>
      <c r="C943" t="str" cm="1">
        <f t="array" ref="C943" xml:space="preserve"> CleanText(B943)</f>
        <v>im already not going to watch idc if its a cartoon why does katara look like that in this show who is that and sakka too who is that white man lol casting is terrible not watching this trash ass show</v>
      </c>
      <c r="D943">
        <v>0</v>
      </c>
      <c r="E943">
        <v>2</v>
      </c>
      <c r="F943" t="s">
        <v>0</v>
      </c>
      <c r="G943" t="str" cm="1">
        <f t="array" ref="G943" xml:space="preserve"> FindCountryName(F943)</f>
        <v>None</v>
      </c>
      <c r="H943" s="1">
        <v>45311.037106481483</v>
      </c>
      <c r="I943" s="1">
        <v>45311.037106481483</v>
      </c>
      <c r="J943" s="1">
        <v>44659.649965277778</v>
      </c>
      <c r="K943" cm="1">
        <f t="array" ref="K943" xml:space="preserve"> sentimentCalc(C943)</f>
        <v>-5</v>
      </c>
      <c r="L943" t="str" cm="1">
        <f t="array" ref="L943" xml:space="preserve"> sentimentCategory(K943)</f>
        <v>Negative</v>
      </c>
    </row>
    <row r="944" spans="1:12">
      <c r="A944" t="s">
        <v>1908</v>
      </c>
      <c r="B944" t="s">
        <v>3592</v>
      </c>
      <c r="C944" t="str" cm="1">
        <f t="array" ref="C944" xml:space="preserve"> CleanText(B944)</f>
        <v>aang here played by gordon kyle diez cormier his smile really resembled that of aang in animated series</v>
      </c>
      <c r="D944">
        <v>1</v>
      </c>
      <c r="E944">
        <v>0</v>
      </c>
      <c r="F944" t="s">
        <v>0</v>
      </c>
      <c r="G944" t="str" cm="1">
        <f t="array" ref="G944" xml:space="preserve"> FindCountryName(F944)</f>
        <v>None</v>
      </c>
      <c r="H944" s="1">
        <v>45311.036203703705</v>
      </c>
      <c r="I944" s="1">
        <v>45311.036203703705</v>
      </c>
      <c r="J944" s="1">
        <v>41323.338171296295</v>
      </c>
      <c r="K944" cm="1">
        <f t="array" ref="K944" xml:space="preserve"> sentimentCalc(C944)</f>
        <v>2</v>
      </c>
      <c r="L944" t="str" cm="1">
        <f t="array" ref="L944" xml:space="preserve"> sentimentCategory(K944)</f>
        <v>Positive</v>
      </c>
    </row>
    <row r="945" spans="1:12">
      <c r="A945" t="s">
        <v>2467</v>
      </c>
      <c r="B945" t="s">
        <v>3591</v>
      </c>
      <c r="C945" t="str" cm="1">
        <f t="array" ref="C945" xml:space="preserve"> CleanText(B945)</f>
        <v>i dont know if its just me or not but i have always wondered this about bending why is that fire seems to be the only element that doesnt need the element around to bend  cuz with air you just assume it always around all the time but with water and earth you never see bender just those bender those elements unless they are near water for example  yet a fire bender just snaps his fingers and a flame appears even if they are in a desert  so how does it work</v>
      </c>
      <c r="D945">
        <v>0</v>
      </c>
      <c r="E945">
        <v>0</v>
      </c>
      <c r="F945" t="s">
        <v>0</v>
      </c>
      <c r="G945" t="str" cm="1">
        <f t="array" ref="G945" xml:space="preserve"> FindCountryName(F945)</f>
        <v>None</v>
      </c>
      <c r="H945" s="1">
        <v>45311.020624999997</v>
      </c>
      <c r="I945" s="1">
        <v>45311.021562499998</v>
      </c>
      <c r="J945" s="1">
        <v>38792.215648148151</v>
      </c>
      <c r="K945" cm="1">
        <f t="array" ref="K945" xml:space="preserve"> sentimentCalc(C945)</f>
        <v>-4</v>
      </c>
      <c r="L945" t="str" cm="1">
        <f t="array" ref="L945" xml:space="preserve"> sentimentCategory(K945)</f>
        <v>Negative</v>
      </c>
    </row>
    <row r="946" spans="1:12">
      <c r="A946" t="s">
        <v>310</v>
      </c>
      <c r="B946" t="s">
        <v>3590</v>
      </c>
      <c r="C946" t="str" cm="1">
        <f t="array" ref="C946" xml:space="preserve"> CleanText(B946)</f>
        <v>only problem i have is its netflix and they tend to cancel shows quickly  this though looks great</v>
      </c>
      <c r="D946">
        <v>0</v>
      </c>
      <c r="E946">
        <v>0</v>
      </c>
      <c r="F946" t="s">
        <v>0</v>
      </c>
      <c r="G946" t="str" cm="1">
        <f t="array" ref="G946" xml:space="preserve"> FindCountryName(F946)</f>
        <v>None</v>
      </c>
      <c r="H946" s="1">
        <v>45310.996365740742</v>
      </c>
      <c r="I946" s="1">
        <v>45310.996365740742</v>
      </c>
      <c r="J946" s="1">
        <v>42522.681979166664</v>
      </c>
      <c r="K946" cm="1">
        <f t="array" ref="K946" xml:space="preserve"> sentimentCalc(C946)</f>
        <v>0</v>
      </c>
      <c r="L946" t="str" cm="1">
        <f t="array" ref="L946" xml:space="preserve"> sentimentCategory(K946)</f>
        <v>Neutral</v>
      </c>
    </row>
    <row r="947" spans="1:12">
      <c r="A947" t="s">
        <v>204</v>
      </c>
      <c r="B947" t="s">
        <v>3589</v>
      </c>
      <c r="C947" t="str" cm="1">
        <f t="array" ref="C947" xml:space="preserve"> CleanText(B947)</f>
        <v>i hope they dont turn it into some lame woke shit</v>
      </c>
      <c r="D947">
        <v>0</v>
      </c>
      <c r="E947">
        <v>0</v>
      </c>
      <c r="F947" t="s">
        <v>0</v>
      </c>
      <c r="G947" t="str" cm="1">
        <f t="array" ref="G947" xml:space="preserve"> FindCountryName(F947)</f>
        <v>None</v>
      </c>
      <c r="H947" s="1">
        <v>45310.988067129627</v>
      </c>
      <c r="I947" s="1">
        <v>45310.988067129627</v>
      </c>
      <c r="J947" s="1">
        <v>44422.65111111111</v>
      </c>
      <c r="K947" cm="1">
        <f t="array" ref="K947" xml:space="preserve"> sentimentCalc(C947)</f>
        <v>0</v>
      </c>
      <c r="L947" t="str" cm="1">
        <f t="array" ref="L947" xml:space="preserve"> sentimentCategory(K947)</f>
        <v>Neutral</v>
      </c>
    </row>
    <row r="948" spans="1:12">
      <c r="A948" t="s">
        <v>223</v>
      </c>
      <c r="B948" t="s">
        <v>3588</v>
      </c>
      <c r="C948" t="str" cm="1">
        <f t="array" ref="C948" xml:space="preserve"> CleanText(B948)</f>
        <v>lets hope they dont mess this up</v>
      </c>
      <c r="D948">
        <v>0</v>
      </c>
      <c r="E948">
        <v>0</v>
      </c>
      <c r="F948" t="s">
        <v>0</v>
      </c>
      <c r="G948" t="str" cm="1">
        <f t="array" ref="G948" xml:space="preserve"> FindCountryName(F948)</f>
        <v>None</v>
      </c>
      <c r="H948" s="1">
        <v>45310.957175925927</v>
      </c>
      <c r="I948" s="1">
        <v>45310.957175925927</v>
      </c>
      <c r="J948" s="1">
        <v>44533.077453703707</v>
      </c>
      <c r="K948" cm="1">
        <f t="array" ref="K948" xml:space="preserve"> sentimentCalc(C948)</f>
        <v>0</v>
      </c>
      <c r="L948" t="str" cm="1">
        <f t="array" ref="L948" xml:space="preserve"> sentimentCategory(K948)</f>
        <v>Neutral</v>
      </c>
    </row>
    <row r="949" spans="1:12">
      <c r="A949" t="s">
        <v>380</v>
      </c>
      <c r="B949" t="s">
        <v>3587</v>
      </c>
      <c r="C949" t="str" cm="1">
        <f t="array" ref="C949" xml:space="preserve"> CleanText(B949)</f>
        <v>se ve bien pero no me quiero ilusionar todavia _xDD72_</v>
      </c>
      <c r="D949">
        <v>0</v>
      </c>
      <c r="E949">
        <v>0</v>
      </c>
      <c r="F949" t="s">
        <v>0</v>
      </c>
      <c r="G949" t="str" cm="1">
        <f t="array" ref="G949" xml:space="preserve"> FindCountryName(F949)</f>
        <v>None</v>
      </c>
      <c r="H949" s="1">
        <v>45310.932395833333</v>
      </c>
      <c r="I949" s="1">
        <v>45310.932395833333</v>
      </c>
      <c r="J949" s="1">
        <v>39821.848541666666</v>
      </c>
      <c r="K949" cm="1">
        <f t="array" ref="K949" xml:space="preserve"> sentimentCalc(C949)</f>
        <v>-1</v>
      </c>
      <c r="L949" t="str" cm="1">
        <f t="array" ref="L949" xml:space="preserve"> sentimentCategory(K949)</f>
        <v>Negative</v>
      </c>
    </row>
    <row r="950" spans="1:12">
      <c r="A950" t="s">
        <v>3586</v>
      </c>
      <c r="B950" t="s">
        <v>3585</v>
      </c>
      <c r="C950" t="str" cm="1">
        <f t="array" ref="C950" xml:space="preserve"> CleanText(B950)</f>
        <v>omg looks godd</v>
      </c>
      <c r="D950">
        <v>1</v>
      </c>
      <c r="E950">
        <v>0</v>
      </c>
      <c r="F950" t="s">
        <v>0</v>
      </c>
      <c r="G950" t="str" cm="1">
        <f t="array" ref="G950" xml:space="preserve"> FindCountryName(F950)</f>
        <v>None</v>
      </c>
      <c r="H950" s="1">
        <v>45310.859502314815</v>
      </c>
      <c r="I950" s="1">
        <v>45310.859502314815</v>
      </c>
      <c r="J950" s="1">
        <v>44789.340613425928</v>
      </c>
      <c r="K950" cm="1">
        <f t="array" ref="K950" xml:space="preserve"> sentimentCalc(C950)</f>
        <v>0</v>
      </c>
      <c r="L950" t="str" cm="1">
        <f t="array" ref="L950" xml:space="preserve"> sentimentCategory(K950)</f>
        <v>Neutral</v>
      </c>
    </row>
    <row r="951" spans="1:12">
      <c r="A951" t="s">
        <v>3584</v>
      </c>
      <c r="B951" t="s">
        <v>3583</v>
      </c>
      <c r="C951" t="str" cm="1">
        <f t="array" ref="C951" xml:space="preserve"> CleanText(B951)</f>
        <v>about to be the best series of 0!</v>
      </c>
      <c r="D951">
        <v>1</v>
      </c>
      <c r="E951">
        <v>0</v>
      </c>
      <c r="F951" t="s">
        <v>0</v>
      </c>
      <c r="G951" t="str" cm="1">
        <f t="array" ref="G951" xml:space="preserve"> FindCountryName(F951)</f>
        <v>None</v>
      </c>
      <c r="H951" s="1">
        <v>45310.788738425923</v>
      </c>
      <c r="I951" s="1">
        <v>45310.788738425923</v>
      </c>
      <c r="J951" s="1">
        <v>42863.255150462966</v>
      </c>
      <c r="K951" cm="1">
        <f t="array" ref="K951" xml:space="preserve"> sentimentCalc(C951)</f>
        <v>3</v>
      </c>
      <c r="L951" t="str" cm="1">
        <f t="array" ref="L951" xml:space="preserve"> sentimentCategory(K951)</f>
        <v>Positive</v>
      </c>
    </row>
    <row r="952" spans="1:12">
      <c r="A952" t="s">
        <v>2503</v>
      </c>
      <c r="B952" t="s">
        <v>3582</v>
      </c>
      <c r="C952" t="str" cm="1">
        <f t="array" ref="C952" xml:space="preserve"> CleanText(B952)</f>
        <v>tengo miedo gente</v>
      </c>
      <c r="D952">
        <v>1</v>
      </c>
      <c r="E952">
        <v>0</v>
      </c>
      <c r="F952" t="s">
        <v>0</v>
      </c>
      <c r="G952" t="str" cm="1">
        <f t="array" ref="G952" xml:space="preserve"> FindCountryName(F952)</f>
        <v>None</v>
      </c>
      <c r="H952" s="1">
        <v>45310.76734953704</v>
      </c>
      <c r="I952" s="1">
        <v>45310.76734953704</v>
      </c>
      <c r="J952" s="1">
        <v>41298.63790509259</v>
      </c>
      <c r="K952" cm="1">
        <f t="array" ref="K952" xml:space="preserve"> sentimentCalc(C952)</f>
        <v>0</v>
      </c>
      <c r="L952" t="str" cm="1">
        <f t="array" ref="L952" xml:space="preserve"> sentimentCategory(K952)</f>
        <v>Neutral</v>
      </c>
    </row>
    <row r="953" spans="1:12">
      <c r="A953" t="s">
        <v>43</v>
      </c>
      <c r="B953" t="s">
        <v>3581</v>
      </c>
      <c r="C953" t="str" cm="1">
        <f t="array" ref="C953" xml:space="preserve"> CleanText(B953)</f>
        <v>i almost peed my pants  icant wait and mr kim is there omg omg omg</v>
      </c>
      <c r="D953">
        <v>1</v>
      </c>
      <c r="E953">
        <v>0</v>
      </c>
      <c r="F953" t="s">
        <v>0</v>
      </c>
      <c r="G953" t="str" cm="1">
        <f t="array" ref="G953" xml:space="preserve"> FindCountryName(F953)</f>
        <v>None</v>
      </c>
      <c r="H953" s="1">
        <v>45310.750347222223</v>
      </c>
      <c r="I953" s="1">
        <v>45310.750347222223</v>
      </c>
      <c r="J953" s="1">
        <v>41560.841446759259</v>
      </c>
      <c r="K953" cm="1">
        <f t="array" ref="K953" xml:space="preserve"> sentimentCalc(C953)</f>
        <v>0</v>
      </c>
      <c r="L953" t="str" cm="1">
        <f t="array" ref="L953" xml:space="preserve"> sentimentCategory(K953)</f>
        <v>Neutral</v>
      </c>
    </row>
    <row r="954" spans="1:12">
      <c r="A954" t="s">
        <v>192</v>
      </c>
      <c r="B954" t="s">
        <v>3580</v>
      </c>
      <c r="C954" t="str" cm="1">
        <f t="array" ref="C954" xml:space="preserve"> CleanText(B954)</f>
        <v>oh yay the first ever live action of the last airbender _xDE07_ i cant wait for the first ever live action of the last airbender to come out the first ever</v>
      </c>
      <c r="D954">
        <v>1</v>
      </c>
      <c r="E954">
        <v>0</v>
      </c>
      <c r="F954" t="s">
        <v>0</v>
      </c>
      <c r="G954" t="str" cm="1">
        <f t="array" ref="G954" xml:space="preserve"> FindCountryName(F954)</f>
        <v>None</v>
      </c>
      <c r="H954" s="1">
        <v>45310.745034722226</v>
      </c>
      <c r="I954" s="1">
        <v>45310.745034722226</v>
      </c>
      <c r="J954" s="1">
        <v>45093.347719907404</v>
      </c>
      <c r="K954" cm="1">
        <f t="array" ref="K954" xml:space="preserve"> sentimentCalc(C954)</f>
        <v>0</v>
      </c>
      <c r="L954" t="str" cm="1">
        <f t="array" ref="L954" xml:space="preserve"> sentimentCategory(K954)</f>
        <v>Neutral</v>
      </c>
    </row>
    <row r="955" spans="1:12">
      <c r="A955" t="s">
        <v>3070</v>
      </c>
      <c r="B955" t="s">
        <v>3579</v>
      </c>
      <c r="C955" t="str" cm="1">
        <f t="array" ref="C955" xml:space="preserve"> CleanText(B955)</f>
        <v>can we get a new animation for the comics</v>
      </c>
      <c r="D955">
        <v>0</v>
      </c>
      <c r="E955">
        <v>0</v>
      </c>
      <c r="F955" t="s">
        <v>19</v>
      </c>
      <c r="G955" t="str" cm="1">
        <f t="array" ref="G955" xml:space="preserve"> FindCountryName(F955)</f>
        <v>United States of America (the)</v>
      </c>
      <c r="H955" s="1">
        <v>45310.699675925927</v>
      </c>
      <c r="I955" s="1">
        <v>45310.699675925927</v>
      </c>
      <c r="J955" s="1">
        <v>40666.285798611112</v>
      </c>
      <c r="K955" cm="1">
        <f t="array" ref="K955" xml:space="preserve"> sentimentCalc(C955)</f>
        <v>0</v>
      </c>
      <c r="L955" t="str" cm="1">
        <f t="array" ref="L955" xml:space="preserve"> sentimentCategory(K955)</f>
        <v>Neutral</v>
      </c>
    </row>
    <row r="956" spans="1:12">
      <c r="A956" t="s">
        <v>1204</v>
      </c>
      <c r="B956" t="s">
        <v>3578</v>
      </c>
      <c r="C956" t="str" cm="1">
        <f t="array" ref="C956" xml:space="preserve"> CleanText(B956)</f>
        <v>n</v>
      </c>
      <c r="D956">
        <v>0</v>
      </c>
      <c r="E956">
        <v>0</v>
      </c>
      <c r="F956" t="s">
        <v>0</v>
      </c>
      <c r="G956" t="str" cm="1">
        <f t="array" ref="G956" xml:space="preserve"> FindCountryName(F956)</f>
        <v>None</v>
      </c>
      <c r="H956" s="1">
        <v>45310.680474537039</v>
      </c>
      <c r="I956" s="1">
        <v>45310.680474537039</v>
      </c>
      <c r="J956" s="1">
        <v>44750.067488425928</v>
      </c>
      <c r="K956" cm="1">
        <f t="array" ref="K956" xml:space="preserve"> sentimentCalc(C956)</f>
        <v>0</v>
      </c>
      <c r="L956" t="str" cm="1">
        <f t="array" ref="L956" xml:space="preserve"> sentimentCategory(K956)</f>
        <v>Neutral</v>
      </c>
    </row>
    <row r="957" spans="1:12">
      <c r="A957" t="s">
        <v>210</v>
      </c>
      <c r="B957" t="s">
        <v>3577</v>
      </c>
      <c r="C957" t="str" cm="1">
        <f t="array" ref="C957" xml:space="preserve"> CleanText(B957)</f>
        <v>all i want is season four</v>
      </c>
      <c r="D957">
        <v>0</v>
      </c>
      <c r="E957">
        <v>0</v>
      </c>
      <c r="F957" t="s">
        <v>0</v>
      </c>
      <c r="G957" t="str" cm="1">
        <f t="array" ref="G957" xml:space="preserve"> FindCountryName(F957)</f>
        <v>None</v>
      </c>
      <c r="H957" s="1">
        <v>45310.672708333332</v>
      </c>
      <c r="I957" s="1">
        <v>45310.672708333332</v>
      </c>
      <c r="J957" s="1">
        <v>43277.992939814816</v>
      </c>
      <c r="K957" cm="1">
        <f t="array" ref="K957" xml:space="preserve"> sentimentCalc(C957)</f>
        <v>1</v>
      </c>
      <c r="L957" t="str" cm="1">
        <f t="array" ref="L957" xml:space="preserve"> sentimentCategory(K957)</f>
        <v>Positive</v>
      </c>
    </row>
    <row r="958" spans="1:12">
      <c r="A958" t="s">
        <v>458</v>
      </c>
      <c r="B958" t="s">
        <v>3576</v>
      </c>
      <c r="C958" t="str" cm="1">
        <f t="array" ref="C958" xml:space="preserve"> CleanText(B958)</f>
        <v>avatar is taking over television so quickly</v>
      </c>
      <c r="D958">
        <v>5</v>
      </c>
      <c r="E958">
        <v>0</v>
      </c>
      <c r="F958" t="s">
        <v>0</v>
      </c>
      <c r="G958" t="str" cm="1">
        <f t="array" ref="G958" xml:space="preserve"> FindCountryName(F958)</f>
        <v>None</v>
      </c>
      <c r="H958" s="1">
        <v>45310.646967592591</v>
      </c>
      <c r="I958" s="1">
        <v>45310.646967592591</v>
      </c>
      <c r="J958" s="1">
        <v>44017.989814814813</v>
      </c>
      <c r="K958" cm="1">
        <f t="array" ref="K958" xml:space="preserve"> sentimentCalc(C958)</f>
        <v>0</v>
      </c>
      <c r="L958" t="str" cm="1">
        <f t="array" ref="L958" xml:space="preserve"> sentimentCategory(K958)</f>
        <v>Neutral</v>
      </c>
    </row>
    <row r="959" spans="1:12">
      <c r="A959" t="s">
        <v>233</v>
      </c>
      <c r="B959" t="s">
        <v>3575</v>
      </c>
      <c r="C959" t="str" cm="1">
        <f t="array" ref="C959" xml:space="preserve"> CleanText(B959)</f>
        <v>okif netflix made it i think soka is gay</v>
      </c>
      <c r="D959">
        <v>0</v>
      </c>
      <c r="E959">
        <v>0</v>
      </c>
      <c r="F959" t="s">
        <v>1523</v>
      </c>
      <c r="G959" t="str" cm="1">
        <f t="array" ref="G959" xml:space="preserve"> FindCountryName(F959)</f>
        <v>Turkey</v>
      </c>
      <c r="H959" s="1">
        <v>45310.635196759256</v>
      </c>
      <c r="I959" s="1">
        <v>45310.635196759256</v>
      </c>
      <c r="J959" s="1">
        <v>41145.544259259259</v>
      </c>
      <c r="K959" cm="1">
        <f t="array" ref="K959" xml:space="preserve"> sentimentCalc(C959)</f>
        <v>0</v>
      </c>
      <c r="L959" t="str" cm="1">
        <f t="array" ref="L959" xml:space="preserve"> sentimentCategory(K959)</f>
        <v>Neutral</v>
      </c>
    </row>
    <row r="960" spans="1:12">
      <c r="A960" t="s">
        <v>225</v>
      </c>
      <c r="B960" t="s">
        <v>3574</v>
      </c>
      <c r="C960" t="str" cm="1">
        <f t="array" ref="C960" xml:space="preserve"> CleanText(B960)</f>
        <v>cast bout ugly asl</v>
      </c>
      <c r="D960">
        <v>0</v>
      </c>
      <c r="E960">
        <v>0</v>
      </c>
      <c r="F960" t="s">
        <v>0</v>
      </c>
      <c r="G960" t="str" cm="1">
        <f t="array" ref="G960" xml:space="preserve"> FindCountryName(F960)</f>
        <v>None</v>
      </c>
      <c r="H960" s="1">
        <v>45310.614479166667</v>
      </c>
      <c r="I960" s="1">
        <v>45310.614479166667</v>
      </c>
      <c r="J960" s="1">
        <v>44865.849907407406</v>
      </c>
      <c r="K960" cm="1">
        <f t="array" ref="K960" xml:space="preserve"> sentimentCalc(C960)</f>
        <v>-3</v>
      </c>
      <c r="L960" t="str" cm="1">
        <f t="array" ref="L960" xml:space="preserve"> sentimentCategory(K960)</f>
        <v>Negative</v>
      </c>
    </row>
    <row r="961" spans="1:12">
      <c r="A961" t="s">
        <v>1488</v>
      </c>
      <c r="B961" t="s">
        <v>3573</v>
      </c>
      <c r="C961" t="str" cm="1">
        <f t="array" ref="C961" xml:space="preserve"> CleanText(B961)</f>
        <v>welp redemption seems near</v>
      </c>
      <c r="D961">
        <v>4</v>
      </c>
      <c r="E961">
        <v>0</v>
      </c>
      <c r="F961" t="s">
        <v>19</v>
      </c>
      <c r="G961" t="str" cm="1">
        <f t="array" ref="G961" xml:space="preserve"> FindCountryName(F961)</f>
        <v>United States of America (the)</v>
      </c>
      <c r="H961" s="1">
        <v>45310.581979166665</v>
      </c>
      <c r="I961" s="1">
        <v>45310.581979166665</v>
      </c>
      <c r="J961" s="1">
        <v>44062.554756944446</v>
      </c>
      <c r="K961" cm="1">
        <f t="array" ref="K961" xml:space="preserve"> sentimentCalc(C961)</f>
        <v>0</v>
      </c>
      <c r="L961" t="str" cm="1">
        <f t="array" ref="L961" xml:space="preserve"> sentimentCategory(K961)</f>
        <v>Neutral</v>
      </c>
    </row>
    <row r="962" spans="1:12">
      <c r="A962" t="s">
        <v>2503</v>
      </c>
      <c r="B962" t="s">
        <v>3572</v>
      </c>
      <c r="C962" t="str" cm="1">
        <f t="array" ref="C962" xml:space="preserve"> CleanText(B962)</f>
        <v>im so tired of waiting for this  next trailer please</v>
      </c>
      <c r="D962">
        <v>3</v>
      </c>
      <c r="E962">
        <v>0</v>
      </c>
      <c r="F962" t="s">
        <v>0</v>
      </c>
      <c r="G962" t="str" cm="1">
        <f t="array" ref="G962" xml:space="preserve"> FindCountryName(F962)</f>
        <v>None</v>
      </c>
      <c r="H962" s="1">
        <v>45310.534189814818</v>
      </c>
      <c r="I962" s="1">
        <v>45310.534189814818</v>
      </c>
      <c r="J962" s="1">
        <v>40712.523321759261</v>
      </c>
      <c r="K962" cm="1">
        <f t="array" ref="K962" xml:space="preserve"> sentimentCalc(C962)</f>
        <v>-1</v>
      </c>
      <c r="L962" t="str" cm="1">
        <f t="array" ref="L962" xml:space="preserve"> sentimentCategory(K962)</f>
        <v>Negative</v>
      </c>
    </row>
    <row r="963" spans="1:12">
      <c r="A963" t="s">
        <v>969</v>
      </c>
      <c r="B963" t="s">
        <v>3571</v>
      </c>
      <c r="C963" t="str" cm="1">
        <f t="array" ref="C963" xml:space="preserve"> CleanText(B963)</f>
        <v>wheres toph_xDD28_</v>
      </c>
      <c r="D963">
        <v>0</v>
      </c>
      <c r="E963">
        <v>1</v>
      </c>
      <c r="F963" t="s">
        <v>0</v>
      </c>
      <c r="G963" t="str" cm="1">
        <f t="array" ref="G963" xml:space="preserve"> FindCountryName(F963)</f>
        <v>None</v>
      </c>
      <c r="H963" s="1">
        <v>45310.502256944441</v>
      </c>
      <c r="I963" s="1">
        <v>45310.502256944441</v>
      </c>
      <c r="J963" s="1">
        <v>42531.770636574074</v>
      </c>
      <c r="K963" cm="1">
        <f t="array" ref="K963" xml:space="preserve"> sentimentCalc(C963)</f>
        <v>0</v>
      </c>
      <c r="L963" t="str" cm="1">
        <f t="array" ref="L963" xml:space="preserve"> sentimentCategory(K963)</f>
        <v>Neutral</v>
      </c>
    </row>
    <row r="964" spans="1:12">
      <c r="A964" t="s">
        <v>3570</v>
      </c>
      <c r="B964" t="s">
        <v>3569</v>
      </c>
      <c r="C964" t="str" cm="1">
        <f t="array" ref="C964" xml:space="preserve"> CleanText(B964)</f>
        <v>je voudrais pas tre lavatar tre chauve   ans 54 il a vraiment pas de chance</v>
      </c>
      <c r="D964">
        <v>0</v>
      </c>
      <c r="E964">
        <v>0</v>
      </c>
      <c r="F964" t="s">
        <v>0</v>
      </c>
      <c r="G964" t="str" cm="1">
        <f t="array" ref="G964" xml:space="preserve"> FindCountryName(F964)</f>
        <v>None</v>
      </c>
      <c r="H964" s="1">
        <v>45310.426458333335</v>
      </c>
      <c r="I964" s="1">
        <v>45310.426458333335</v>
      </c>
      <c r="J964" s="1">
        <v>45165.448553240742</v>
      </c>
      <c r="K964" cm="1">
        <f t="array" ref="K964" xml:space="preserve"> sentimentCalc(C964)</f>
        <v>2</v>
      </c>
      <c r="L964" t="str" cm="1">
        <f t="array" ref="L964" xml:space="preserve"> sentimentCategory(K964)</f>
        <v>Positive</v>
      </c>
    </row>
    <row r="965" spans="1:12">
      <c r="A965" t="s">
        <v>1874</v>
      </c>
      <c r="B965" t="s">
        <v>3568</v>
      </c>
      <c r="C965" t="str" cm="1">
        <f t="array" ref="C965" xml:space="preserve"> CleanText(B965)</f>
        <v>ok this seems to be so good i hope the water bending and katara s fights are also good</v>
      </c>
      <c r="D965">
        <v>1</v>
      </c>
      <c r="E965">
        <v>0</v>
      </c>
      <c r="F965" t="s">
        <v>0</v>
      </c>
      <c r="G965" t="str" cm="1">
        <f t="array" ref="G965" xml:space="preserve"> FindCountryName(F965)</f>
        <v>None</v>
      </c>
      <c r="H965" s="1">
        <v>45310.387048611112</v>
      </c>
      <c r="I965" s="1">
        <v>45310.387048611112</v>
      </c>
      <c r="J965" s="1">
        <v>44276.34375</v>
      </c>
      <c r="K965" cm="1">
        <f t="array" ref="K965" xml:space="preserve"> sentimentCalc(C965)</f>
        <v>8</v>
      </c>
      <c r="L965" t="str" cm="1">
        <f t="array" ref="L965" xml:space="preserve"> sentimentCategory(K965)</f>
        <v>Positive</v>
      </c>
    </row>
    <row r="966" spans="1:12">
      <c r="A966" t="s">
        <v>1389</v>
      </c>
      <c r="B966" t="s">
        <v>3567</v>
      </c>
      <c r="C966" t="str" cm="1">
        <f t="array" ref="C966" xml:space="preserve"> CleanText(B966)</f>
        <v>i really curious about live action zuko will say to his uncle on the ship i dont need any calming tea i need to capture the avatar _xDE2E_</v>
      </c>
      <c r="D966">
        <v>0</v>
      </c>
      <c r="E966">
        <v>0</v>
      </c>
      <c r="F966" t="s">
        <v>0</v>
      </c>
      <c r="G966" t="str" cm="1">
        <f t="array" ref="G966" xml:space="preserve"> FindCountryName(F966)</f>
        <v>None</v>
      </c>
      <c r="H966" s="1">
        <v>45310.376238425924</v>
      </c>
      <c r="I966" s="1">
        <v>45310.376238425924</v>
      </c>
      <c r="J966" s="1">
        <v>44923.187719907408</v>
      </c>
      <c r="K966" cm="1">
        <f t="array" ref="K966" xml:space="preserve"> sentimentCalc(C966)</f>
        <v>3</v>
      </c>
      <c r="L966" t="str" cm="1">
        <f t="array" ref="L966" xml:space="preserve"> sentimentCategory(K966)</f>
        <v>Positive</v>
      </c>
    </row>
    <row r="967" spans="1:12">
      <c r="A967" t="s">
        <v>2187</v>
      </c>
      <c r="B967" t="s">
        <v>3566</v>
      </c>
      <c r="C967" t="str" cm="1">
        <f t="array" ref="C967" xml:space="preserve"> CleanText(B967)</f>
        <v>this is going to be so bad no one needs this half baked mess nothing will come ever close to the nice and simple original when i see this lazy excuse of cgi i very much hope it fails so that studios like netflix learn their lesson to invest money in the right spots look at pirates of the caribbean it has cgi  times better and is + years old like how hard can you mess up netflix yes  and dont forget there is a reason the original authors left the project i dont expect from the writing either this is going to ve delightful in terms of the next big failure</v>
      </c>
      <c r="D967">
        <v>0</v>
      </c>
      <c r="E967">
        <v>1</v>
      </c>
      <c r="F967" t="s">
        <v>0</v>
      </c>
      <c r="G967" t="str" cm="1">
        <f t="array" ref="G967" xml:space="preserve"> FindCountryName(F967)</f>
        <v>None</v>
      </c>
      <c r="H967" s="1">
        <v>45310.256469907406</v>
      </c>
      <c r="I967" s="1">
        <v>45310.269432870373</v>
      </c>
      <c r="J967" s="1">
        <v>44004.502245370371</v>
      </c>
      <c r="K967" cm="1">
        <f t="array" ref="K967" xml:space="preserve"> sentimentCalc(C967)</f>
        <v>-3</v>
      </c>
      <c r="L967" t="str" cm="1">
        <f t="array" ref="L967" xml:space="preserve"> sentimentCategory(K967)</f>
        <v>Negative</v>
      </c>
    </row>
    <row r="968" spans="1:12">
      <c r="A968" t="s">
        <v>32</v>
      </c>
      <c r="B968" t="s">
        <v>3565</v>
      </c>
      <c r="C968" t="str" cm="1">
        <f t="array" ref="C968" xml:space="preserve"> CleanText(B968)</f>
        <v>cant wait for the next official trailer so excited</v>
      </c>
      <c r="D968">
        <v>2</v>
      </c>
      <c r="E968">
        <v>0</v>
      </c>
      <c r="F968" t="s">
        <v>0</v>
      </c>
      <c r="G968" t="str" cm="1">
        <f t="array" ref="G968" xml:space="preserve"> FindCountryName(F968)</f>
        <v>None</v>
      </c>
      <c r="H968" s="1">
        <v>45310.189409722225</v>
      </c>
      <c r="I968" s="1">
        <v>45310.189409722225</v>
      </c>
      <c r="J968" s="1">
        <v>41634.899583333332</v>
      </c>
      <c r="K968" cm="1">
        <f t="array" ref="K968" xml:space="preserve"> sentimentCalc(C968)</f>
        <v>3</v>
      </c>
      <c r="L968" t="str" cm="1">
        <f t="array" ref="L968" xml:space="preserve"> sentimentCategory(K968)</f>
        <v>Positive</v>
      </c>
    </row>
    <row r="969" spans="1:12">
      <c r="A969" t="s">
        <v>3564</v>
      </c>
      <c r="B969" t="s">
        <v>3563</v>
      </c>
      <c r="C969" t="str" cm="1">
        <f t="array" ref="C969" xml:space="preserve"> CleanText(B969)</f>
        <v>i just hope they can keep the goofiness of the original instead of being super serious the whole time please tell me we get to see cabbage guy at omashu</v>
      </c>
      <c r="D969">
        <v>3</v>
      </c>
      <c r="E969">
        <v>2</v>
      </c>
      <c r="F969" t="s">
        <v>0</v>
      </c>
      <c r="G969" t="str" cm="1">
        <f t="array" ref="G969" xml:space="preserve"> FindCountryName(F969)</f>
        <v>None</v>
      </c>
      <c r="H969" s="1">
        <v>45310.098865740743</v>
      </c>
      <c r="I969" s="1">
        <v>45310.098865740743</v>
      </c>
      <c r="J969" s="1">
        <v>43622.771608796298</v>
      </c>
      <c r="K969" cm="1">
        <f t="array" ref="K969" xml:space="preserve"> sentimentCalc(C969)</f>
        <v>6</v>
      </c>
      <c r="L969" t="str" cm="1">
        <f t="array" ref="L969" xml:space="preserve"> sentimentCategory(K969)</f>
        <v>Positive</v>
      </c>
    </row>
    <row r="970" spans="1:12">
      <c r="A970" t="s">
        <v>3097</v>
      </c>
      <c r="B970" t="s">
        <v>3562</v>
      </c>
      <c r="C970" t="str" cm="1">
        <f t="array" ref="C970" xml:space="preserve"> CleanText(B970)</f>
        <v>this just feels like everything ive ever wanted out of a live action adaptation i got chills when i heard the theme playing in the background</v>
      </c>
      <c r="D970">
        <v>0</v>
      </c>
      <c r="E970">
        <v>0</v>
      </c>
      <c r="F970" t="s">
        <v>0</v>
      </c>
      <c r="G970" t="str" cm="1">
        <f t="array" ref="G970" xml:space="preserve"> FindCountryName(F970)</f>
        <v>None</v>
      </c>
      <c r="H970" s="1">
        <v>45310.036944444444</v>
      </c>
      <c r="I970" s="1">
        <v>45310.036944444444</v>
      </c>
      <c r="J970" s="1">
        <v>39590.957812499997</v>
      </c>
      <c r="K970" cm="1">
        <f t="array" ref="K970" xml:space="preserve"> sentimentCalc(C970)</f>
        <v>2</v>
      </c>
      <c r="L970" t="str" cm="1">
        <f t="array" ref="L970" xml:space="preserve"> sentimentCategory(K970)</f>
        <v>Positive</v>
      </c>
    </row>
    <row r="971" spans="1:12">
      <c r="A971" t="s">
        <v>198</v>
      </c>
      <c r="B971" t="s">
        <v>3561</v>
      </c>
      <c r="C971" t="str" cm="1">
        <f t="array" ref="C971" xml:space="preserve"> CleanText(B971)</f>
        <v>bruder schwtz mir net die butter vom brot</v>
      </c>
      <c r="D971">
        <v>0</v>
      </c>
      <c r="E971">
        <v>0</v>
      </c>
      <c r="F971" t="s">
        <v>0</v>
      </c>
      <c r="G971" t="str" cm="1">
        <f t="array" ref="G971" xml:space="preserve"> FindCountryName(F971)</f>
        <v>None</v>
      </c>
      <c r="H971" s="1">
        <v>45310.015219907407</v>
      </c>
      <c r="I971" s="1">
        <v>45310.015219907407</v>
      </c>
      <c r="J971" s="1">
        <v>42177.099374999998</v>
      </c>
      <c r="K971" cm="1">
        <f t="array" ref="K971" xml:space="preserve"> sentimentCalc(C971)</f>
        <v>-3</v>
      </c>
      <c r="L971" t="str" cm="1">
        <f t="array" ref="L971" xml:space="preserve"> sentimentCategory(K971)</f>
        <v>Negative</v>
      </c>
    </row>
    <row r="972" spans="1:12">
      <c r="A972" t="s">
        <v>343</v>
      </c>
      <c r="B972" t="s">
        <v>3560</v>
      </c>
      <c r="C972" t="str" cm="1">
        <f t="array" ref="C972" xml:space="preserve"> CleanText(B972)</f>
        <v>i must admit that i am not convinced yet i know that its supposed to have a sort of cartoonish value to it but i almost am not sure if this knows which direction it wants its tone to convey serious thrilling liveaction or pure homage to lighthearted but philosophical kids show i am sure it will tow the line but this is the difficulty in adapting something that was once korean animation into something that embodies whole or in part real life the cinematography is really only an amalgam of what i already disliked about the original liveaction movie in the first place although i will say so far the fire bending effects look incredible i was disappointed that the trailer has not yet chosen to show the master benders performing their bending art as perfected by sifu kisu he consulted with the original creators of the show to create a biokinetic martial art form for each bending style that best represented the movement orientation such as northern shaolin for firebending and bagua for airbending that each nation had with respects to its chief element tai chi respects the nature of push and pull the tui and la and this is naturally described in the first season of the show which is also why it is alled book i water just for example its really important to show this detail of bending style differences and is part of why it was included in the original shows intro does anyone know if kisu was a consultant on this show as well it would only make sense if he wasnt then who would know better than he does</v>
      </c>
      <c r="D972">
        <v>0</v>
      </c>
      <c r="E972">
        <v>0</v>
      </c>
      <c r="F972" t="s">
        <v>0</v>
      </c>
      <c r="G972" t="str" cm="1">
        <f t="array" ref="G972" xml:space="preserve"> FindCountryName(F972)</f>
        <v>None</v>
      </c>
      <c r="H972" s="1">
        <v>45310.007233796299</v>
      </c>
      <c r="I972" s="1">
        <v>45310.007233796299</v>
      </c>
      <c r="J972" s="1">
        <v>41226.633923611109</v>
      </c>
      <c r="K972" cm="1">
        <f t="array" ref="K972" xml:space="preserve"> sentimentCalc(C972)</f>
        <v>6</v>
      </c>
      <c r="L972" t="str" cm="1">
        <f t="array" ref="L972" xml:space="preserve"> sentimentCategory(K972)</f>
        <v>Positive</v>
      </c>
    </row>
    <row r="973" spans="1:12">
      <c r="A973" t="s">
        <v>2528</v>
      </c>
      <c r="B973" t="s">
        <v>3559</v>
      </c>
      <c r="C973" t="str" cm="1">
        <f t="array" ref="C973" xml:space="preserve"> CleanText(B973)</f>
        <v>ive been burned enough times i dont trust it</v>
      </c>
      <c r="D973">
        <v>1</v>
      </c>
      <c r="E973">
        <v>0</v>
      </c>
      <c r="F973" t="s">
        <v>0</v>
      </c>
      <c r="G973" t="str" cm="1">
        <f t="array" ref="G973" xml:space="preserve"> FindCountryName(F973)</f>
        <v>None</v>
      </c>
      <c r="H973" s="1">
        <v>45310.006562499999</v>
      </c>
      <c r="I973" s="1">
        <v>45310.006562499999</v>
      </c>
      <c r="J973" s="1">
        <v>40296.765798611108</v>
      </c>
      <c r="K973" cm="1">
        <f t="array" ref="K973" xml:space="preserve"> sentimentCalc(C973)</f>
        <v>1</v>
      </c>
      <c r="L973" t="str" cm="1">
        <f t="array" ref="L973" xml:space="preserve"> sentimentCategory(K973)</f>
        <v>Positive</v>
      </c>
    </row>
    <row r="974" spans="1:12">
      <c r="A974" t="s">
        <v>86</v>
      </c>
      <c r="B974" t="s">
        <v>3558</v>
      </c>
      <c r="C974" t="str" cm="1">
        <f t="array" ref="C974" xml:space="preserve"> CleanText(B974)</f>
        <v>bro can u drop the full trailer already we cant wait any longer</v>
      </c>
      <c r="D974">
        <v>2</v>
      </c>
      <c r="E974">
        <v>4</v>
      </c>
      <c r="F974" t="s">
        <v>0</v>
      </c>
      <c r="G974" t="str" cm="1">
        <f t="array" ref="G974" xml:space="preserve"> FindCountryName(F974)</f>
        <v>None</v>
      </c>
      <c r="H974" s="1">
        <v>45309.852789351855</v>
      </c>
      <c r="I974" s="1">
        <v>45309.852789351855</v>
      </c>
      <c r="J974" s="1">
        <v>43632.868449074071</v>
      </c>
      <c r="K974" cm="1">
        <f t="array" ref="K974" xml:space="preserve"> sentimentCalc(C974)</f>
        <v>-1</v>
      </c>
      <c r="L974" t="str" cm="1">
        <f t="array" ref="L974" xml:space="preserve"> sentimentCategory(K974)</f>
        <v>Negative</v>
      </c>
    </row>
    <row r="975" spans="1:12">
      <c r="A975" t="s">
        <v>2503</v>
      </c>
      <c r="B975" t="s">
        <v>3557</v>
      </c>
      <c r="C975" t="str" cm="1">
        <f t="array" ref="C975" xml:space="preserve"> CleanText(B975)</f>
        <v>i swear if this ends up like the last live action remake it shall never be spoken of again, ima go back to pirating shows on websites not afraid of getting copyrighted</v>
      </c>
      <c r="D975">
        <v>0</v>
      </c>
      <c r="E975">
        <v>0</v>
      </c>
      <c r="F975" t="s">
        <v>19</v>
      </c>
      <c r="G975" t="str" cm="1">
        <f t="array" ref="G975" xml:space="preserve"> FindCountryName(F975)</f>
        <v>United States of America (the)</v>
      </c>
      <c r="H975" s="1">
        <v>45309.848136574074</v>
      </c>
      <c r="I975" s="1">
        <v>45309.848136574074</v>
      </c>
      <c r="J975" s="1">
        <v>43268.765590277777</v>
      </c>
      <c r="K975" cm="1">
        <f t="array" ref="K975" xml:space="preserve"> sentimentCalc(C975)</f>
        <v>-2</v>
      </c>
      <c r="L975" t="str" cm="1">
        <f t="array" ref="L975" xml:space="preserve"> sentimentCategory(K975)</f>
        <v>Negative</v>
      </c>
    </row>
    <row r="976" spans="1:12">
      <c r="A976" t="s">
        <v>3556</v>
      </c>
      <c r="B976" t="s">
        <v>3555</v>
      </c>
      <c r="C976" t="str" cm="1">
        <f t="array" ref="C976" xml:space="preserve"> CleanText(B976)</f>
        <v>sakas complexion was soooooo white what happened to his brown color</v>
      </c>
      <c r="D976">
        <v>1</v>
      </c>
      <c r="E976">
        <v>3</v>
      </c>
      <c r="F976" t="s">
        <v>0</v>
      </c>
      <c r="G976" t="str" cm="1">
        <f t="array" ref="G976" xml:space="preserve"> FindCountryName(F976)</f>
        <v>None</v>
      </c>
      <c r="H976" s="1">
        <v>45309.814756944441</v>
      </c>
      <c r="I976" s="1">
        <v>45309.814756944441</v>
      </c>
      <c r="J976" s="1">
        <v>40354.872685185182</v>
      </c>
      <c r="K976" cm="1">
        <f t="array" ref="K976" xml:space="preserve"> sentimentCalc(C976)</f>
        <v>0</v>
      </c>
      <c r="L976" t="str" cm="1">
        <f t="array" ref="L976" xml:space="preserve"> sentimentCategory(K976)</f>
        <v>Neutral</v>
      </c>
    </row>
    <row r="977" spans="1:12">
      <c r="A977" t="s">
        <v>3547</v>
      </c>
      <c r="B977" t="s">
        <v>3554</v>
      </c>
      <c r="C977" t="str" cm="1">
        <f t="array" ref="C977" xml:space="preserve"> CleanText(B977)</f>
        <v>hopefully this latest movie can be better than the previous one waiting for the masterpiece legends of aang the last airbender</v>
      </c>
      <c r="D977">
        <v>1</v>
      </c>
      <c r="E977">
        <v>2</v>
      </c>
      <c r="F977" t="s">
        <v>633</v>
      </c>
      <c r="G977" t="str" cm="1">
        <f t="array" ref="G977" xml:space="preserve"> FindCountryName(F977)</f>
        <v>Indonesia</v>
      </c>
      <c r="H977" s="1">
        <v>45309.720451388886</v>
      </c>
      <c r="I977" s="1">
        <v>45309.721620370372</v>
      </c>
      <c r="J977" s="1">
        <v>42473.437638888892</v>
      </c>
      <c r="K977" cm="1">
        <f t="array" ref="K977" xml:space="preserve"> sentimentCalc(C977)</f>
        <v>8</v>
      </c>
      <c r="L977" t="str" cm="1">
        <f t="array" ref="L977" xml:space="preserve"> sentimentCategory(K977)</f>
        <v>Positive</v>
      </c>
    </row>
    <row r="978" spans="1:12">
      <c r="A978" t="s">
        <v>1762</v>
      </c>
      <c r="B978" t="s">
        <v>3553</v>
      </c>
      <c r="C978" t="str" cm="1">
        <f t="array" ref="C978" xml:space="preserve"> CleanText(B978)</f>
        <v>what we deserved</v>
      </c>
      <c r="D978">
        <v>0</v>
      </c>
      <c r="E978">
        <v>0</v>
      </c>
      <c r="F978" t="s">
        <v>0</v>
      </c>
      <c r="G978" t="str" cm="1">
        <f t="array" ref="G978" xml:space="preserve"> FindCountryName(F978)</f>
        <v>None</v>
      </c>
      <c r="H978" s="1">
        <v>45309.645486111112</v>
      </c>
      <c r="I978" s="1">
        <v>45309.645486111112</v>
      </c>
      <c r="J978" s="1">
        <v>41374.875034722223</v>
      </c>
      <c r="K978" cm="1">
        <f t="array" ref="K978" xml:space="preserve"> sentimentCalc(C978)</f>
        <v>0</v>
      </c>
      <c r="L978" t="str" cm="1">
        <f t="array" ref="L978" xml:space="preserve"> sentimentCategory(K978)</f>
        <v>Neutral</v>
      </c>
    </row>
    <row r="979" spans="1:12">
      <c r="A979" t="s">
        <v>612</v>
      </c>
      <c r="B979" t="s">
        <v>3552</v>
      </c>
      <c r="C979" t="str" cm="1">
        <f t="array" ref="C979" xml:space="preserve"> CleanText(B979)</f>
        <v>appa iroh _xDE02__xD83C_</v>
      </c>
      <c r="D979">
        <v>1</v>
      </c>
      <c r="E979">
        <v>0</v>
      </c>
      <c r="F979" t="s">
        <v>0</v>
      </c>
      <c r="G979" t="str" cm="1">
        <f t="array" ref="G979" xml:space="preserve"> FindCountryName(F979)</f>
        <v>None</v>
      </c>
      <c r="H979" s="1">
        <v>45309.474444444444</v>
      </c>
      <c r="I979" s="1">
        <v>45309.474444444444</v>
      </c>
      <c r="J979" s="1">
        <v>42332.205254629633</v>
      </c>
      <c r="K979" cm="1">
        <f t="array" ref="K979" xml:space="preserve"> sentimentCalc(C979)</f>
        <v>0</v>
      </c>
      <c r="L979" t="str" cm="1">
        <f t="array" ref="L979" xml:space="preserve"> sentimentCategory(K979)</f>
        <v>Neutral</v>
      </c>
    </row>
    <row r="980" spans="1:12">
      <c r="A980" t="s">
        <v>1554</v>
      </c>
      <c r="B980" t="s">
        <v>3551</v>
      </c>
      <c r="C980" t="str" cm="1">
        <f t="array" ref="C980" xml:space="preserve"> CleanText(B980)</f>
        <v>i am ready to be hurt again_xD83D_</v>
      </c>
      <c r="D980">
        <v>0</v>
      </c>
      <c r="E980">
        <v>0</v>
      </c>
      <c r="F980" t="s">
        <v>0</v>
      </c>
      <c r="G980" t="str" cm="1">
        <f t="array" ref="G980" xml:space="preserve"> FindCountryName(F980)</f>
        <v>None</v>
      </c>
      <c r="H980" s="1">
        <v>45309.463518518518</v>
      </c>
      <c r="I980" s="1">
        <v>45309.463518518518</v>
      </c>
      <c r="J980" s="1">
        <v>41931.711365740739</v>
      </c>
      <c r="K980" cm="1">
        <f t="array" ref="K980" xml:space="preserve"> sentimentCalc(C980)</f>
        <v>-2</v>
      </c>
      <c r="L980" t="str" cm="1">
        <f t="array" ref="L980" xml:space="preserve"> sentimentCategory(K980)</f>
        <v>Negative</v>
      </c>
    </row>
    <row r="981" spans="1:12">
      <c r="A981" t="s">
        <v>259</v>
      </c>
      <c r="B981" t="s">
        <v>3550</v>
      </c>
      <c r="C981" t="str" cm="1">
        <f t="array" ref="C981" xml:space="preserve"> CleanText(B981)</f>
        <v>i hope netflix can make special episode the tale of iroh with emotional song little soldier boy</v>
      </c>
      <c r="D981">
        <v>2</v>
      </c>
      <c r="E981">
        <v>0</v>
      </c>
      <c r="F981" t="s">
        <v>0</v>
      </c>
      <c r="G981" t="str" cm="1">
        <f t="array" ref="G981" xml:space="preserve"> FindCountryName(F981)</f>
        <v>None</v>
      </c>
      <c r="H981" s="1">
        <v>45309.46230324074</v>
      </c>
      <c r="I981" s="1">
        <v>45309.46230324074</v>
      </c>
      <c r="J981" s="1">
        <v>45269.86277777778</v>
      </c>
      <c r="K981" cm="1">
        <f t="array" ref="K981" xml:space="preserve"> sentimentCalc(C981)</f>
        <v>2</v>
      </c>
      <c r="L981" t="str" cm="1">
        <f t="array" ref="L981" xml:space="preserve"> sentimentCategory(K981)</f>
        <v>Positive</v>
      </c>
    </row>
    <row r="982" spans="1:12">
      <c r="A982" t="s">
        <v>2842</v>
      </c>
      <c r="B982" t="s">
        <v>3549</v>
      </c>
      <c r="C982" t="str" cm="1">
        <f t="array" ref="C982" xml:space="preserve"> CleanText(B982)</f>
        <v>е  . п н у n</v>
      </c>
      <c r="D982">
        <v>0</v>
      </c>
      <c r="E982">
        <v>0</v>
      </c>
      <c r="F982" t="s">
        <v>0</v>
      </c>
      <c r="G982" t="str" cm="1">
        <f t="array" ref="G982" xml:space="preserve"> FindCountryName(F982)</f>
        <v>None</v>
      </c>
      <c r="H982" s="1">
        <v>45309.442893518521</v>
      </c>
      <c r="I982" s="1">
        <v>45309.442893518521</v>
      </c>
      <c r="J982" s="1">
        <v>45222.283206018517</v>
      </c>
      <c r="K982" cm="1">
        <f t="array" ref="K982" xml:space="preserve"> sentimentCalc(C982)</f>
        <v>0</v>
      </c>
      <c r="L982" t="str" cm="1">
        <f t="array" ref="L982" xml:space="preserve"> sentimentCategory(K982)</f>
        <v>Neutral</v>
      </c>
    </row>
    <row r="983" spans="1:12">
      <c r="A983" t="s">
        <v>575</v>
      </c>
      <c r="B983" t="s">
        <v>3548</v>
      </c>
      <c r="C983" t="str" cm="1">
        <f t="array" ref="C983" xml:space="preserve"> CleanText(B983)</f>
        <v>asians owns</v>
      </c>
      <c r="D983">
        <v>2</v>
      </c>
      <c r="E983">
        <v>0</v>
      </c>
      <c r="F983" t="s">
        <v>0</v>
      </c>
      <c r="G983" t="str" cm="1">
        <f t="array" ref="G983" xml:space="preserve"> FindCountryName(F983)</f>
        <v>None</v>
      </c>
      <c r="H983" s="1">
        <v>45309.423472222225</v>
      </c>
      <c r="I983" s="1">
        <v>45309.423472222225</v>
      </c>
      <c r="J983" s="1">
        <v>41725.04614583333</v>
      </c>
      <c r="K983" cm="1">
        <f t="array" ref="K983" xml:space="preserve"> sentimentCalc(C983)</f>
        <v>0</v>
      </c>
      <c r="L983" t="str" cm="1">
        <f t="array" ref="L983" xml:space="preserve"> sentimentCategory(K983)</f>
        <v>Neutral</v>
      </c>
    </row>
    <row r="984" spans="1:12">
      <c r="A984" t="s">
        <v>3547</v>
      </c>
      <c r="B984" t="s">
        <v>3546</v>
      </c>
      <c r="C984" t="str" cm="1">
        <f t="array" ref="C984" xml:space="preserve"> CleanText(B984)</f>
        <v>it better be good</v>
      </c>
      <c r="D984">
        <v>1</v>
      </c>
      <c r="E984">
        <v>0</v>
      </c>
      <c r="F984" t="s">
        <v>19</v>
      </c>
      <c r="G984" t="str" cm="1">
        <f t="array" ref="G984" xml:space="preserve"> FindCountryName(F984)</f>
        <v>United States of America (the)</v>
      </c>
      <c r="H984" s="1">
        <v>45309.393761574072</v>
      </c>
      <c r="I984" s="1">
        <v>45309.393761574072</v>
      </c>
      <c r="J984" s="1">
        <v>45142.320127314815</v>
      </c>
      <c r="K984" cm="1">
        <f t="array" ref="K984" xml:space="preserve"> sentimentCalc(C984)</f>
        <v>5</v>
      </c>
      <c r="L984" t="str" cm="1">
        <f t="array" ref="L984" xml:space="preserve"> sentimentCategory(K984)</f>
        <v>Positive</v>
      </c>
    </row>
    <row r="985" spans="1:12">
      <c r="A985" t="s">
        <v>582</v>
      </c>
      <c r="B985" t="s">
        <v>3545</v>
      </c>
      <c r="C985" t="str" cm="1">
        <f t="array" ref="C985" xml:space="preserve"> CleanText(B985)</f>
        <v>just waiting for the trailer</v>
      </c>
      <c r="D985">
        <v>2</v>
      </c>
      <c r="E985">
        <v>0</v>
      </c>
      <c r="F985" t="s">
        <v>0</v>
      </c>
      <c r="G985" t="str" cm="1">
        <f t="array" ref="G985" xml:space="preserve"> FindCountryName(F985)</f>
        <v>None</v>
      </c>
      <c r="H985" s="1">
        <v>45309.35738425926</v>
      </c>
      <c r="I985" s="1">
        <v>45309.357615740744</v>
      </c>
      <c r="J985" s="1">
        <v>44799.776423611111</v>
      </c>
      <c r="K985" cm="1">
        <f t="array" ref="K985" xml:space="preserve"> sentimentCalc(C985)</f>
        <v>0</v>
      </c>
      <c r="L985" t="str" cm="1">
        <f t="array" ref="L985" xml:space="preserve"> sentimentCategory(K985)</f>
        <v>Neutral</v>
      </c>
    </row>
    <row r="986" spans="1:12">
      <c r="A986" t="s">
        <v>2503</v>
      </c>
      <c r="B986" t="s">
        <v>3544</v>
      </c>
      <c r="C986" t="str" cm="1">
        <f t="array" ref="C986" xml:space="preserve"> CleanText(B986)</f>
        <v>i hope they havent lost the comedic element to it they are kids afterall and soka and ang being funny was great to watch as a kid i hope they dont make soka the serious one</v>
      </c>
      <c r="D986">
        <v>263</v>
      </c>
      <c r="E986">
        <v>11</v>
      </c>
      <c r="F986" t="s">
        <v>0</v>
      </c>
      <c r="G986" t="str" cm="1">
        <f t="array" ref="G986" xml:space="preserve"> FindCountryName(F986)</f>
        <v>None</v>
      </c>
      <c r="H986" s="1">
        <v>45309.328946759262</v>
      </c>
      <c r="I986" s="1">
        <v>45309.328946759262</v>
      </c>
      <c r="J986" s="1">
        <v>40428.419594907406</v>
      </c>
      <c r="K986" cm="1">
        <f t="array" ref="K986" xml:space="preserve"> sentimentCalc(C986)</f>
        <v>8</v>
      </c>
      <c r="L986" t="str" cm="1">
        <f t="array" ref="L986" xml:space="preserve"> sentimentCategory(K986)</f>
        <v>Positive</v>
      </c>
    </row>
    <row r="987" spans="1:12">
      <c r="A987" t="s">
        <v>223</v>
      </c>
      <c r="B987" t="s">
        <v>3543</v>
      </c>
      <c r="C987" t="str" cm="1">
        <f t="array" ref="C987" xml:space="preserve"> CleanText(B987)</f>
        <v>well worst it can do is be worse than shyamalans one right</v>
      </c>
      <c r="D987">
        <v>1</v>
      </c>
      <c r="E987">
        <v>0</v>
      </c>
      <c r="F987" t="s">
        <v>0</v>
      </c>
      <c r="G987" t="str" cm="1">
        <f t="array" ref="G987" xml:space="preserve"> FindCountryName(F987)</f>
        <v>None</v>
      </c>
      <c r="H987" s="1">
        <v>45309.282013888886</v>
      </c>
      <c r="I987" s="1">
        <v>45309.282013888886</v>
      </c>
      <c r="J987" s="1">
        <v>44273.149189814816</v>
      </c>
      <c r="K987" cm="1">
        <f t="array" ref="K987" xml:space="preserve"> sentimentCalc(C987)</f>
        <v>-6</v>
      </c>
      <c r="L987" t="str" cm="1">
        <f t="array" ref="L987" xml:space="preserve"> sentimentCategory(K987)</f>
        <v>Negative</v>
      </c>
    </row>
    <row r="988" spans="1:12">
      <c r="A988" t="s">
        <v>3542</v>
      </c>
      <c r="B988" t="s">
        <v>3541</v>
      </c>
      <c r="C988" t="str" cm="1">
        <f t="array" ref="C988" xml:space="preserve"> CleanText(B988)</f>
        <v>the firey eyes of azula looks very beautiful</v>
      </c>
      <c r="D988">
        <v>12</v>
      </c>
      <c r="E988">
        <v>0</v>
      </c>
      <c r="F988" t="s">
        <v>0</v>
      </c>
      <c r="G988" t="str" cm="1">
        <f t="array" ref="G988" xml:space="preserve"> FindCountryName(F988)</f>
        <v>None</v>
      </c>
      <c r="H988" s="1">
        <v>45309.261747685188</v>
      </c>
      <c r="I988" s="1">
        <v>45309.261747685188</v>
      </c>
      <c r="J988" s="1">
        <v>43277.400023148148</v>
      </c>
      <c r="K988" cm="1">
        <f t="array" ref="K988" xml:space="preserve"> sentimentCalc(C988)</f>
        <v>3</v>
      </c>
      <c r="L988" t="str" cm="1">
        <f t="array" ref="L988" xml:space="preserve"> sentimentCategory(K988)</f>
        <v>Positive</v>
      </c>
    </row>
    <row r="989" spans="1:12">
      <c r="A989" t="s">
        <v>1150</v>
      </c>
      <c r="B989" t="s">
        <v>3540</v>
      </c>
      <c r="C989" t="str" cm="1">
        <f t="array" ref="C989" xml:space="preserve"> CleanText(B989)</f>
        <v>there are such high expectations on this and i believe in them</v>
      </c>
      <c r="D989">
        <v>1</v>
      </c>
      <c r="E989">
        <v>0</v>
      </c>
      <c r="F989" t="s">
        <v>0</v>
      </c>
      <c r="G989" t="str" cm="1">
        <f t="array" ref="G989" xml:space="preserve"> FindCountryName(F989)</f>
        <v>None</v>
      </c>
      <c r="H989" s="1">
        <v>45309.260416666664</v>
      </c>
      <c r="I989" s="1">
        <v>45309.260416666664</v>
      </c>
      <c r="J989" s="1">
        <v>42722.080520833333</v>
      </c>
      <c r="K989" cm="1">
        <f t="array" ref="K989" xml:space="preserve"> sentimentCalc(C989)</f>
        <v>0</v>
      </c>
      <c r="L989" t="str" cm="1">
        <f t="array" ref="L989" xml:space="preserve"> sentimentCategory(K989)</f>
        <v>Neutral</v>
      </c>
    </row>
    <row r="990" spans="1:12">
      <c r="A990" t="s">
        <v>865</v>
      </c>
      <c r="B990" t="s">
        <v>3539</v>
      </c>
      <c r="C990" t="str" cm="1">
        <f t="array" ref="C990" xml:space="preserve"> CleanText(B990)</f>
        <v>youre cookin right now</v>
      </c>
      <c r="D990">
        <v>1</v>
      </c>
      <c r="E990">
        <v>0</v>
      </c>
      <c r="F990" t="s">
        <v>0</v>
      </c>
      <c r="G990" t="str" cm="1">
        <f t="array" ref="G990" xml:space="preserve"> FindCountryName(F990)</f>
        <v>None</v>
      </c>
      <c r="H990" s="1">
        <v>45309.077060185184</v>
      </c>
      <c r="I990" s="1">
        <v>45309.077060185184</v>
      </c>
      <c r="J990" s="1">
        <v>41426.909583333334</v>
      </c>
      <c r="K990" cm="1">
        <f t="array" ref="K990" xml:space="preserve"> sentimentCalc(C990)</f>
        <v>0</v>
      </c>
      <c r="L990" t="str" cm="1">
        <f t="array" ref="L990" xml:space="preserve"> sentimentCategory(K990)</f>
        <v>Neutral</v>
      </c>
    </row>
    <row r="991" spans="1:12">
      <c r="A991" t="s">
        <v>926</v>
      </c>
      <c r="B991" t="s">
        <v>3538</v>
      </c>
      <c r="C991" t="str" cm="1">
        <f t="array" ref="C991" xml:space="preserve"> CleanText(B991)</f>
        <v>im excited but they gotta make momo cuter than that</v>
      </c>
      <c r="D991">
        <v>0</v>
      </c>
      <c r="E991">
        <v>0</v>
      </c>
      <c r="F991" t="s">
        <v>0</v>
      </c>
      <c r="G991" t="str" cm="1">
        <f t="array" ref="G991" xml:space="preserve"> FindCountryName(F991)</f>
        <v>None</v>
      </c>
      <c r="H991" s="1">
        <v>45309.050856481481</v>
      </c>
      <c r="I991" s="1">
        <v>45309.050856481481</v>
      </c>
      <c r="J991" s="1">
        <v>42271.875150462962</v>
      </c>
      <c r="K991" cm="1">
        <f t="array" ref="K991" xml:space="preserve"> sentimentCalc(C991)</f>
        <v>3</v>
      </c>
      <c r="L991" t="str" cm="1">
        <f t="array" ref="L991" xml:space="preserve"> sentimentCategory(K991)</f>
        <v>Positive</v>
      </c>
    </row>
    <row r="992" spans="1:12">
      <c r="A992" t="s">
        <v>30</v>
      </c>
      <c r="B992" t="s">
        <v>3537</v>
      </c>
      <c r="C992" t="str" cm="1">
        <f t="array" ref="C992" xml:space="preserve"> CleanText(B992)</f>
        <v>time”me finally getting the hand of connecting with the higher self the timing couldnt have been more perfectly timed”</v>
      </c>
      <c r="D992">
        <v>1</v>
      </c>
      <c r="E992">
        <v>0</v>
      </c>
      <c r="F992" t="s">
        <v>0</v>
      </c>
      <c r="G992" t="str" cm="1">
        <f t="array" ref="G992" xml:space="preserve"> FindCountryName(F992)</f>
        <v>None</v>
      </c>
      <c r="H992" s="1">
        <v>45309.050706018519</v>
      </c>
      <c r="I992" s="1">
        <v>45309.050706018519</v>
      </c>
      <c r="J992" s="1">
        <v>43913.096215277779</v>
      </c>
      <c r="K992" cm="1">
        <f t="array" ref="K992" xml:space="preserve"> sentimentCalc(C992)</f>
        <v>3</v>
      </c>
      <c r="L992" t="str" cm="1">
        <f t="array" ref="L992" xml:space="preserve"> sentimentCategory(K992)</f>
        <v>Positive</v>
      </c>
    </row>
    <row r="993" spans="1:12">
      <c r="A993" t="s">
        <v>18</v>
      </c>
      <c r="B993" t="s">
        <v>3536</v>
      </c>
      <c r="C993" t="str" cm="1">
        <f t="array" ref="C993" xml:space="preserve"> CleanText(B993)</f>
        <v>more asian garbage</v>
      </c>
      <c r="D993">
        <v>1</v>
      </c>
      <c r="E993">
        <v>12</v>
      </c>
      <c r="F993" t="s">
        <v>0</v>
      </c>
      <c r="G993" t="str" cm="1">
        <f t="array" ref="G993" xml:space="preserve"> FindCountryName(F993)</f>
        <v>None</v>
      </c>
      <c r="H993" s="1">
        <v>45308.811631944445</v>
      </c>
      <c r="I993" s="1">
        <v>45308.811631944445</v>
      </c>
      <c r="J993" s="1">
        <v>41016.587210648147</v>
      </c>
      <c r="K993" cm="1">
        <f t="array" ref="K993" xml:space="preserve"> sentimentCalc(C993)</f>
        <v>0</v>
      </c>
      <c r="L993" t="str" cm="1">
        <f t="array" ref="L993" xml:space="preserve"> sentimentCategory(K993)</f>
        <v>Neutral</v>
      </c>
    </row>
    <row r="994" spans="1:12">
      <c r="A994" t="s">
        <v>86</v>
      </c>
      <c r="B994" t="s">
        <v>3535</v>
      </c>
      <c r="C994" t="str" cm="1">
        <f t="array" ref="C994" xml:space="preserve"> CleanText(B994)</f>
        <v>it looks horrible</v>
      </c>
      <c r="D994">
        <v>0</v>
      </c>
      <c r="E994">
        <v>1</v>
      </c>
      <c r="F994" t="s">
        <v>0</v>
      </c>
      <c r="G994" t="str" cm="1">
        <f t="array" ref="G994" xml:space="preserve"> FindCountryName(F994)</f>
        <v>None</v>
      </c>
      <c r="H994" s="1">
        <v>45308.758726851855</v>
      </c>
      <c r="I994" s="1">
        <v>45308.758726851855</v>
      </c>
      <c r="J994" s="1">
        <v>42154.72210648148</v>
      </c>
      <c r="K994" cm="1">
        <f t="array" ref="K994" xml:space="preserve"> sentimentCalc(C994)</f>
        <v>-3</v>
      </c>
      <c r="L994" t="str" cm="1">
        <f t="array" ref="L994" xml:space="preserve"> sentimentCategory(K994)</f>
        <v>Negative</v>
      </c>
    </row>
    <row r="995" spans="1:12">
      <c r="A995" t="s">
        <v>3534</v>
      </c>
      <c r="B995" t="s">
        <v>3533</v>
      </c>
      <c r="C995" t="str" cm="1">
        <f t="array" ref="C995" xml:space="preserve"> CleanText(B995)</f>
        <v>im here again after  months and the hype is real after pulling off one piece so well we can definitely say this is gonna be banger</v>
      </c>
      <c r="D995">
        <v>1</v>
      </c>
      <c r="E995">
        <v>0</v>
      </c>
      <c r="F995" t="s">
        <v>0</v>
      </c>
      <c r="G995" t="str" cm="1">
        <f t="array" ref="G995" xml:space="preserve"> FindCountryName(F995)</f>
        <v>None</v>
      </c>
      <c r="H995" s="1">
        <v>45308.756886574076</v>
      </c>
      <c r="I995" s="1">
        <v>45308.756886574076</v>
      </c>
      <c r="J995" s="1">
        <v>41111.803888888891</v>
      </c>
      <c r="K995" cm="1">
        <f t="array" ref="K995" xml:space="preserve"> sentimentCalc(C995)</f>
        <v>0</v>
      </c>
      <c r="L995" t="str" cm="1">
        <f t="array" ref="L995" xml:space="preserve"> sentimentCategory(K995)</f>
        <v>Neutral</v>
      </c>
    </row>
    <row r="996" spans="1:12">
      <c r="A996" t="s">
        <v>3532</v>
      </c>
      <c r="B996" t="s">
        <v>3531</v>
      </c>
      <c r="C996" t="str" cm="1">
        <f t="array" ref="C996" xml:space="preserve"> CleanText(B996)</f>
        <v>looks like a amateur low budget version of the original also seemed kinda same story why bother recreating something in worse quality rather than continuing the story d</v>
      </c>
      <c r="D996">
        <v>0</v>
      </c>
      <c r="E996">
        <v>4</v>
      </c>
      <c r="F996" t="s">
        <v>0</v>
      </c>
      <c r="G996" t="str" cm="1">
        <f t="array" ref="G996" xml:space="preserve"> FindCountryName(F996)</f>
        <v>None</v>
      </c>
      <c r="H996" s="1">
        <v>45308.719039351854</v>
      </c>
      <c r="I996" s="1">
        <v>45308.719039351854</v>
      </c>
      <c r="J996" s="1">
        <v>42393.18917824074</v>
      </c>
      <c r="K996" cm="1">
        <f t="array" ref="K996" xml:space="preserve"> sentimentCalc(C996)</f>
        <v>-3</v>
      </c>
      <c r="L996" t="str" cm="1">
        <f t="array" ref="L996" xml:space="preserve"> sentimentCategory(K996)</f>
        <v>Negative</v>
      </c>
    </row>
    <row r="997" spans="1:12">
      <c r="A997" t="s">
        <v>969</v>
      </c>
      <c r="B997" t="s">
        <v>3530</v>
      </c>
      <c r="C997" t="str" cm="1">
        <f t="array" ref="C997" xml:space="preserve"> CleanText(B997)</f>
        <v>the directors and producers of this should direct or should have directed disney remakes _xDE2F__xD83C_</v>
      </c>
      <c r="D997">
        <v>0</v>
      </c>
      <c r="E997">
        <v>0</v>
      </c>
      <c r="F997" t="s">
        <v>0</v>
      </c>
      <c r="G997" t="str" cm="1">
        <f t="array" ref="G997" xml:space="preserve"> FindCountryName(F997)</f>
        <v>None</v>
      </c>
      <c r="H997" s="1">
        <v>45308.7</v>
      </c>
      <c r="I997" s="1">
        <v>45308.704189814816</v>
      </c>
      <c r="J997" s="1">
        <v>40777.374247685184</v>
      </c>
      <c r="K997" cm="1">
        <f t="array" ref="K997" xml:space="preserve"> sentimentCalc(C997)</f>
        <v>0</v>
      </c>
      <c r="L997" t="str" cm="1">
        <f t="array" ref="L997" xml:space="preserve"> sentimentCategory(K997)</f>
        <v>Neutral</v>
      </c>
    </row>
    <row r="998" spans="1:12">
      <c r="A998" t="s">
        <v>1565</v>
      </c>
      <c r="B998" t="s">
        <v>1699</v>
      </c>
      <c r="C998" t="str" cm="1">
        <f t="array" ref="C998" xml:space="preserve"> CleanText(B998)</f>
        <v>this better not suck</v>
      </c>
      <c r="D998">
        <v>0</v>
      </c>
      <c r="E998">
        <v>0</v>
      </c>
      <c r="F998" t="s">
        <v>0</v>
      </c>
      <c r="G998" t="str" cm="1">
        <f t="array" ref="G998" xml:space="preserve"> FindCountryName(F998)</f>
        <v>None</v>
      </c>
      <c r="H998" s="1">
        <v>45308.651192129626</v>
      </c>
      <c r="I998" s="1">
        <v>45308.651192129626</v>
      </c>
      <c r="J998" s="1">
        <v>41171.84375</v>
      </c>
      <c r="K998" cm="1">
        <f t="array" ref="K998" xml:space="preserve"> sentimentCalc(C998)</f>
        <v>-1</v>
      </c>
      <c r="L998" t="str" cm="1">
        <f t="array" ref="L998" xml:space="preserve"> sentimentCategory(K998)</f>
        <v>Negative</v>
      </c>
    </row>
    <row r="999" spans="1:12">
      <c r="A999" t="s">
        <v>221</v>
      </c>
      <c r="B999" t="s">
        <v>3529</v>
      </c>
      <c r="C999" t="str" cm="1">
        <f t="array" ref="C999" xml:space="preserve"> CleanText(B999)</f>
        <v>the one and only thing i was looking for in this trailer was seeing ang smile and laugh he was so mischievous and goofy the live action movie didnt show that side of him at all</v>
      </c>
      <c r="D999">
        <v>0</v>
      </c>
      <c r="E999">
        <v>0</v>
      </c>
      <c r="F999" t="s">
        <v>19</v>
      </c>
      <c r="G999" t="str" cm="1">
        <f t="array" ref="G999" xml:space="preserve"> FindCountryName(F999)</f>
        <v>United States of America (the)</v>
      </c>
      <c r="H999" s="1">
        <v>45308.642361111109</v>
      </c>
      <c r="I999" s="1">
        <v>45308.642361111109</v>
      </c>
      <c r="J999" s="1">
        <v>41281.609768518516</v>
      </c>
      <c r="K999" cm="1">
        <f t="array" ref="K999" xml:space="preserve"> sentimentCalc(C999)</f>
        <v>3</v>
      </c>
      <c r="L999" t="str" cm="1">
        <f t="array" ref="L999" xml:space="preserve"> sentimentCategory(K999)</f>
        <v>Positive</v>
      </c>
    </row>
    <row r="1000" spans="1:12">
      <c r="A1000" t="s">
        <v>826</v>
      </c>
      <c r="B1000" t="s">
        <v>3528</v>
      </c>
      <c r="C1000" t="str" cm="1">
        <f t="array" ref="C1000" xml:space="preserve"> CleanText(B1000)</f>
        <v>thank god its not an m night shamallama movie</v>
      </c>
      <c r="D1000">
        <v>0</v>
      </c>
      <c r="E1000">
        <v>0</v>
      </c>
      <c r="F1000" t="s">
        <v>0</v>
      </c>
      <c r="G1000" t="str" cm="1">
        <f t="array" ref="G1000" xml:space="preserve"> FindCountryName(F1000)</f>
        <v>None</v>
      </c>
      <c r="H1000" s="1">
        <v>45308.621458333335</v>
      </c>
      <c r="I1000" s="1">
        <v>45308.621458333335</v>
      </c>
      <c r="J1000" s="1">
        <v>42857.648865740739</v>
      </c>
      <c r="K1000" cm="1">
        <f t="array" ref="K1000" xml:space="preserve"> sentimentCalc(C1000)</f>
        <v>3</v>
      </c>
      <c r="L1000" t="str" cm="1">
        <f t="array" ref="L1000" xml:space="preserve"> sentimentCategory(K1000)</f>
        <v>Positive</v>
      </c>
    </row>
    <row r="1001" spans="1:12">
      <c r="A1001" t="s">
        <v>439</v>
      </c>
      <c r="B1001" t="s">
        <v>3527</v>
      </c>
      <c r="C1001" t="str" cm="1">
        <f t="array" ref="C1001" xml:space="preserve"> CleanText(B1001)</f>
        <v>but why tholike dont get me wrong the trailer looks greatpromising and it could potentially be a great tv show but the original show is practically flawless is it to appeal to people who are unwilling to watch anime or cartoons feels like tv is just gradually becoming overtaken by recycled stories</v>
      </c>
      <c r="D1001">
        <v>0</v>
      </c>
      <c r="E1001">
        <v>1</v>
      </c>
      <c r="F1001" t="s">
        <v>0</v>
      </c>
      <c r="G1001" t="str" cm="1">
        <f t="array" ref="G1001" xml:space="preserve"> FindCountryName(F1001)</f>
        <v>None</v>
      </c>
      <c r="H1001" s="1">
        <v>45308.534074074072</v>
      </c>
      <c r="I1001" s="1">
        <v>45308.534074074072</v>
      </c>
      <c r="J1001" s="1">
        <v>41031.184155092589</v>
      </c>
      <c r="K1001" cm="1">
        <f t="array" ref="K1001" xml:space="preserve"> sentimentCalc(C1001)</f>
        <v>3</v>
      </c>
      <c r="L1001" t="str" cm="1">
        <f t="array" ref="L1001" xml:space="preserve"> sentimentCategory(K1001)</f>
        <v>Positive</v>
      </c>
    </row>
    <row r="1002" spans="1:12">
      <c r="A1002" t="s">
        <v>82</v>
      </c>
      <c r="B1002" t="s">
        <v>3526</v>
      </c>
      <c r="C1002" t="str" cm="1">
        <f t="array" ref="C1002" xml:space="preserve"> CleanText(B1002)</f>
        <v>hopefully this will get off the sour taste the first liveaction left in my mouth judging from the trainer and how they adapted one piece it looks like it will</v>
      </c>
      <c r="D1002">
        <v>3</v>
      </c>
      <c r="E1002">
        <v>0</v>
      </c>
      <c r="F1002" t="s">
        <v>3525</v>
      </c>
      <c r="G1002" t="str" cm="1">
        <f t="array" ref="G1002" xml:space="preserve"> FindCountryName(F1002)</f>
        <v>Kenya</v>
      </c>
      <c r="H1002" s="1">
        <v>45308.481400462966</v>
      </c>
      <c r="I1002" s="1">
        <v>45308.481400462966</v>
      </c>
      <c r="J1002" s="1">
        <v>41342.430590277778</v>
      </c>
      <c r="K1002" cm="1">
        <f t="array" ref="K1002" xml:space="preserve"> sentimentCalc(C1002)</f>
        <v>4</v>
      </c>
      <c r="L1002" t="str" cm="1">
        <f t="array" ref="L1002" xml:space="preserve"> sentimentCategory(K1002)</f>
        <v>Positive</v>
      </c>
    </row>
    <row r="1003" spans="1:12">
      <c r="A1003" t="s">
        <v>1981</v>
      </c>
      <c r="B1003" t="s">
        <v>3524</v>
      </c>
      <c r="C1003" t="str" cm="1">
        <f t="array" ref="C1003" xml:space="preserve"> CleanText(B1003)</f>
        <v>i just got into atla and this is looking so hype</v>
      </c>
      <c r="D1003">
        <v>1</v>
      </c>
      <c r="E1003">
        <v>0</v>
      </c>
      <c r="F1003" t="s">
        <v>0</v>
      </c>
      <c r="G1003" t="str" cm="1">
        <f t="array" ref="G1003" xml:space="preserve"> FindCountryName(F1003)</f>
        <v>None</v>
      </c>
      <c r="H1003" s="1">
        <v>45308.479178240741</v>
      </c>
      <c r="I1003" s="1">
        <v>45308.479178240741</v>
      </c>
      <c r="J1003" s="1">
        <v>43600.950925925928</v>
      </c>
      <c r="K1003" cm="1">
        <f t="array" ref="K1003" xml:space="preserve"> sentimentCalc(C1003)</f>
        <v>0</v>
      </c>
      <c r="L1003" t="str" cm="1">
        <f t="array" ref="L1003" xml:space="preserve"> sentimentCategory(K1003)</f>
        <v>Neutral</v>
      </c>
    </row>
    <row r="1004" spans="1:12">
      <c r="A1004" t="s">
        <v>1957</v>
      </c>
      <c r="B1004" t="s">
        <v>3523</v>
      </c>
      <c r="C1004" t="str" cm="1">
        <f t="array" ref="C1004" xml:space="preserve"> CleanText(B1004)</f>
        <v>since the dogshit avatar movie i waited for this</v>
      </c>
      <c r="D1004">
        <v>1</v>
      </c>
      <c r="E1004">
        <v>0</v>
      </c>
      <c r="F1004" t="s">
        <v>0</v>
      </c>
      <c r="G1004" t="str" cm="1">
        <f t="array" ref="G1004" xml:space="preserve"> FindCountryName(F1004)</f>
        <v>None</v>
      </c>
      <c r="H1004" s="1">
        <v>45308.439583333333</v>
      </c>
      <c r="I1004" s="1">
        <v>45308.439583333333</v>
      </c>
      <c r="J1004" s="1">
        <v>40534.713888888888</v>
      </c>
      <c r="K1004" cm="1">
        <f t="array" ref="K1004" xml:space="preserve"> sentimentCalc(C1004)</f>
        <v>0</v>
      </c>
      <c r="L1004" t="str" cm="1">
        <f t="array" ref="L1004" xml:space="preserve"> sentimentCategory(K1004)</f>
        <v>Neutral</v>
      </c>
    </row>
    <row r="1005" spans="1:12">
      <c r="A1005" t="s">
        <v>282</v>
      </c>
      <c r="B1005" t="s">
        <v>3522</v>
      </c>
      <c r="C1005" t="str" cm="1">
        <f t="array" ref="C1005" xml:space="preserve"> CleanText(B1005)</f>
        <v>okay so this looks really really promising i think zukos scar needs to be more prominent but other than that no notes</v>
      </c>
      <c r="D1005">
        <v>3</v>
      </c>
      <c r="E1005">
        <v>0</v>
      </c>
      <c r="F1005" t="s">
        <v>0</v>
      </c>
      <c r="G1005" t="str" cm="1">
        <f t="array" ref="G1005" xml:space="preserve"> FindCountryName(F1005)</f>
        <v>None</v>
      </c>
      <c r="H1005" s="1">
        <v>45308.379930555559</v>
      </c>
      <c r="I1005" s="1">
        <v>45308.379930555559</v>
      </c>
      <c r="J1005" s="1">
        <v>43512.642071759263</v>
      </c>
      <c r="K1005" cm="1">
        <f t="array" ref="K1005" xml:space="preserve"> sentimentCalc(C1005)</f>
        <v>1</v>
      </c>
      <c r="L1005" t="str" cm="1">
        <f t="array" ref="L1005" xml:space="preserve"> sentimentCategory(K1005)</f>
        <v>Positive</v>
      </c>
    </row>
    <row r="1006" spans="1:12">
      <c r="A1006" t="s">
        <v>2777</v>
      </c>
      <c r="B1006" t="s">
        <v>3521</v>
      </c>
      <c r="C1006" t="str" cm="1">
        <f t="array" ref="C1006" xml:space="preserve"> CleanText(B1006)</f>
        <v>i am so unbelievably excited for this</v>
      </c>
      <c r="D1006">
        <v>1</v>
      </c>
      <c r="E1006">
        <v>0</v>
      </c>
      <c r="F1006" t="s">
        <v>0</v>
      </c>
      <c r="G1006" t="str" cm="1">
        <f t="array" ref="G1006" xml:space="preserve"> FindCountryName(F1006)</f>
        <v>None</v>
      </c>
      <c r="H1006" s="1">
        <v>45308.334421296298</v>
      </c>
      <c r="I1006" s="1">
        <v>45308.334421296298</v>
      </c>
      <c r="J1006" s="1">
        <v>42870.940520833334</v>
      </c>
      <c r="K1006" cm="1">
        <f t="array" ref="K1006" xml:space="preserve"> sentimentCalc(C1006)</f>
        <v>3</v>
      </c>
      <c r="L1006" t="str" cm="1">
        <f t="array" ref="L1006" xml:space="preserve"> sentimentCategory(K1006)</f>
        <v>Positive</v>
      </c>
    </row>
    <row r="1007" spans="1:12">
      <c r="A1007" t="s">
        <v>640</v>
      </c>
      <c r="B1007" t="s">
        <v>3520</v>
      </c>
      <c r="C1007" t="str" cm="1">
        <f t="array" ref="C1007" xml:space="preserve"> CleanText(B1007)</f>
        <v>mirip sama kartun nyaa i like it</v>
      </c>
      <c r="D1007">
        <v>1</v>
      </c>
      <c r="E1007">
        <v>0</v>
      </c>
      <c r="F1007" t="s">
        <v>0</v>
      </c>
      <c r="G1007" t="str" cm="1">
        <f t="array" ref="G1007" xml:space="preserve"> FindCountryName(F1007)</f>
        <v>None</v>
      </c>
      <c r="H1007" s="1">
        <v>45308.278414351851</v>
      </c>
      <c r="I1007" s="1">
        <v>45308.278414351851</v>
      </c>
      <c r="J1007" s="1">
        <v>44397.269120370373</v>
      </c>
      <c r="K1007" cm="1">
        <f t="array" ref="K1007" xml:space="preserve"> sentimentCalc(C1007)</f>
        <v>2</v>
      </c>
      <c r="L1007" t="str" cm="1">
        <f t="array" ref="L1007" xml:space="preserve"> sentimentCategory(K1007)</f>
        <v>Positive</v>
      </c>
    </row>
    <row r="1008" spans="1:12">
      <c r="A1008" t="s">
        <v>2215</v>
      </c>
      <c r="B1008" t="s">
        <v>3519</v>
      </c>
      <c r="C1008" t="str" cm="1">
        <f t="array" ref="C1008" xml:space="preserve"> CleanText(B1008)</f>
        <v>this is way waaay better than the last one_xDE0A_</v>
      </c>
      <c r="D1008">
        <v>2</v>
      </c>
      <c r="E1008">
        <v>0</v>
      </c>
      <c r="F1008" t="s">
        <v>0</v>
      </c>
      <c r="G1008" t="str" cm="1">
        <f t="array" ref="G1008" xml:space="preserve"> FindCountryName(F1008)</f>
        <v>None</v>
      </c>
      <c r="H1008" s="1">
        <v>45308.17224537037</v>
      </c>
      <c r="I1008" s="1">
        <v>45308.17224537037</v>
      </c>
      <c r="J1008" s="1">
        <v>42374.000833333332</v>
      </c>
      <c r="K1008" cm="1">
        <f t="array" ref="K1008" xml:space="preserve"> sentimentCalc(C1008)</f>
        <v>2</v>
      </c>
      <c r="L1008" t="str" cm="1">
        <f t="array" ref="L1008" xml:space="preserve"> sentimentCategory(K1008)</f>
        <v>Positive</v>
      </c>
    </row>
    <row r="1009" spans="1:12">
      <c r="A1009" t="s">
        <v>3518</v>
      </c>
      <c r="B1009" t="s">
        <v>3517</v>
      </c>
      <c r="C1009" t="str" cm="1">
        <f t="array" ref="C1009" xml:space="preserve"> CleanText(B1009)</f>
        <v>please make it good</v>
      </c>
      <c r="D1009">
        <v>1</v>
      </c>
      <c r="E1009">
        <v>0</v>
      </c>
      <c r="F1009" t="s">
        <v>0</v>
      </c>
      <c r="G1009" t="str" cm="1">
        <f t="array" ref="G1009" xml:space="preserve"> FindCountryName(F1009)</f>
        <v>None</v>
      </c>
      <c r="H1009" s="1">
        <v>45308.112847222219</v>
      </c>
      <c r="I1009" s="1">
        <v>45308.112847222219</v>
      </c>
      <c r="J1009" s="1">
        <v>38845.114988425928</v>
      </c>
      <c r="K1009" cm="1">
        <f t="array" ref="K1009" xml:space="preserve"> sentimentCalc(C1009)</f>
        <v>4</v>
      </c>
      <c r="L1009" t="str" cm="1">
        <f t="array" ref="L1009" xml:space="preserve"> sentimentCategory(K1009)</f>
        <v>Positive</v>
      </c>
    </row>
    <row r="1010" spans="1:12">
      <c r="A1010" t="s">
        <v>255</v>
      </c>
      <c r="B1010" t="s">
        <v>3516</v>
      </c>
      <c r="C1010" t="str" cm="1">
        <f t="array" ref="C1010" xml:space="preserve"> CleanText(B1010)</f>
        <v>high hopes as all the movies after the original show didnt full filled the expectations</v>
      </c>
      <c r="D1010">
        <v>1</v>
      </c>
      <c r="E1010">
        <v>0</v>
      </c>
      <c r="F1010" t="s">
        <v>0</v>
      </c>
      <c r="G1010" t="str" cm="1">
        <f t="array" ref="G1010" xml:space="preserve"> FindCountryName(F1010)</f>
        <v>None</v>
      </c>
      <c r="H1010" s="1">
        <v>45308.095914351848</v>
      </c>
      <c r="I1010" s="1">
        <v>45308.095914351848</v>
      </c>
      <c r="J1010" s="1">
        <v>44012.562430555554</v>
      </c>
      <c r="K1010" cm="1">
        <f t="array" ref="K1010" xml:space="preserve"> sentimentCalc(C1010)</f>
        <v>2</v>
      </c>
      <c r="L1010" t="str" cm="1">
        <f t="array" ref="L1010" xml:space="preserve"> sentimentCategory(K1010)</f>
        <v>Positive</v>
      </c>
    </row>
    <row r="1011" spans="1:12">
      <c r="A1011" t="s">
        <v>1089</v>
      </c>
      <c r="B1011" t="s">
        <v>3515</v>
      </c>
      <c r="C1011" t="str" cm="1">
        <f t="array" ref="C1011" xml:space="preserve"> CleanText(B1011)</f>
        <v>can i just have more real show please lol thanks</v>
      </c>
      <c r="D1011">
        <v>0</v>
      </c>
      <c r="E1011">
        <v>0</v>
      </c>
      <c r="F1011" t="s">
        <v>0</v>
      </c>
      <c r="G1011" t="str" cm="1">
        <f t="array" ref="G1011" xml:space="preserve"> FindCountryName(F1011)</f>
        <v>None</v>
      </c>
      <c r="H1011" s="1">
        <v>45308.079733796294</v>
      </c>
      <c r="I1011" s="1">
        <v>45308.079733796294</v>
      </c>
      <c r="J1011" s="1">
        <v>41304.380046296297</v>
      </c>
      <c r="K1011" cm="1">
        <f t="array" ref="K1011" xml:space="preserve"> sentimentCalc(C1011)</f>
        <v>3</v>
      </c>
      <c r="L1011" t="str" cm="1">
        <f t="array" ref="L1011" xml:space="preserve"> sentimentCategory(K1011)</f>
        <v>Positive</v>
      </c>
    </row>
    <row r="1012" spans="1:12">
      <c r="A1012" t="s">
        <v>1638</v>
      </c>
      <c r="B1012" t="s">
        <v>3514</v>
      </c>
      <c r="C1012" t="str" cm="1">
        <f t="array" ref="C1012" xml:space="preserve"> CleanText(B1012)</f>
        <v>i still demand book  korra sucks but ang is masterpiece its still sad</v>
      </c>
      <c r="D1012">
        <v>0</v>
      </c>
      <c r="E1012">
        <v>1</v>
      </c>
      <c r="F1012" t="s">
        <v>0</v>
      </c>
      <c r="G1012" t="str" cm="1">
        <f t="array" ref="G1012" xml:space="preserve"> FindCountryName(F1012)</f>
        <v>None</v>
      </c>
      <c r="H1012" s="1">
        <v>45308.059236111112</v>
      </c>
      <c r="I1012" s="1">
        <v>45308.059236111112</v>
      </c>
      <c r="J1012" s="1">
        <v>42395.343958333331</v>
      </c>
      <c r="K1012" cm="1">
        <f t="array" ref="K1012" xml:space="preserve"> sentimentCalc(C1012)</f>
        <v>-2</v>
      </c>
      <c r="L1012" t="str" cm="1">
        <f t="array" ref="L1012" xml:space="preserve"> sentimentCategory(K1012)</f>
        <v>Negative</v>
      </c>
    </row>
    <row r="1013" spans="1:12">
      <c r="A1013" t="s">
        <v>3513</v>
      </c>
      <c r="B1013" t="s">
        <v>3512</v>
      </c>
      <c r="C1013" t="str" cm="1">
        <f t="array" ref="C1013" xml:space="preserve"> CleanText(B1013)</f>
        <v>is this going to be a show or movie</v>
      </c>
      <c r="D1013">
        <v>0</v>
      </c>
      <c r="E1013">
        <v>1</v>
      </c>
      <c r="F1013" t="s">
        <v>0</v>
      </c>
      <c r="G1013" t="str" cm="1">
        <f t="array" ref="G1013" xml:space="preserve"> FindCountryName(F1013)</f>
        <v>None</v>
      </c>
      <c r="H1013" s="1">
        <v>45308.0002662037</v>
      </c>
      <c r="I1013" s="1">
        <v>45308.0002662037</v>
      </c>
      <c r="J1013" s="1">
        <v>45247.670138888891</v>
      </c>
      <c r="K1013" cm="1">
        <f t="array" ref="K1013" xml:space="preserve"> sentimentCalc(C1013)</f>
        <v>0</v>
      </c>
      <c r="L1013" t="str" cm="1">
        <f t="array" ref="L1013" xml:space="preserve"> sentimentCategory(K1013)</f>
        <v>Neutral</v>
      </c>
    </row>
    <row r="1014" spans="1:12">
      <c r="A1014" t="s">
        <v>3511</v>
      </c>
      <c r="B1014" t="s">
        <v>3510</v>
      </c>
      <c r="C1014" t="str" cm="1">
        <f t="array" ref="C1014" xml:space="preserve"> CleanText(B1014)</f>
        <v>lets just hope they dont add any woke content to this franchise</v>
      </c>
      <c r="D1014">
        <v>0</v>
      </c>
      <c r="E1014">
        <v>2</v>
      </c>
      <c r="F1014" t="s">
        <v>0</v>
      </c>
      <c r="G1014" t="str" cm="1">
        <f t="array" ref="G1014" xml:space="preserve"> FindCountryName(F1014)</f>
        <v>None</v>
      </c>
      <c r="H1014" s="1">
        <v>45307.989479166667</v>
      </c>
      <c r="I1014" s="1">
        <v>45307.989479166667</v>
      </c>
      <c r="J1014" s="1">
        <v>43469.765416666669</v>
      </c>
      <c r="K1014" cm="1">
        <f t="array" ref="K1014" xml:space="preserve"> sentimentCalc(C1014)</f>
        <v>2</v>
      </c>
      <c r="L1014" t="str" cm="1">
        <f t="array" ref="L1014" xml:space="preserve"> sentimentCategory(K1014)</f>
        <v>Positive</v>
      </c>
    </row>
    <row r="1015" spans="1:12">
      <c r="A1015" t="s">
        <v>929</v>
      </c>
      <c r="B1015" t="s">
        <v>3509</v>
      </c>
      <c r="C1015" t="str" cm="1">
        <f t="array" ref="C1015" xml:space="preserve"> CleanText(B1015)</f>
        <v>still dont really see the point in remaking something thats already perfect as it is but ill try itwell see if its worth the watch</v>
      </c>
      <c r="D1015">
        <v>0</v>
      </c>
      <c r="E1015">
        <v>1</v>
      </c>
      <c r="F1015" t="s">
        <v>0</v>
      </c>
      <c r="G1015" t="str" cm="1">
        <f t="array" ref="G1015" xml:space="preserve"> FindCountryName(F1015)</f>
        <v>None</v>
      </c>
      <c r="H1015" s="1">
        <v>45307.979247685187</v>
      </c>
      <c r="I1015" s="1">
        <v>45307.979247685187</v>
      </c>
      <c r="J1015" s="1">
        <v>43647.896319444444</v>
      </c>
      <c r="K1015" cm="1">
        <f t="array" ref="K1015" xml:space="preserve"> sentimentCalc(C1015)</f>
        <v>3</v>
      </c>
      <c r="L1015" t="str" cm="1">
        <f t="array" ref="L1015" xml:space="preserve"> sentimentCategory(K1015)</f>
        <v>Positive</v>
      </c>
    </row>
    <row r="1016" spans="1:12">
      <c r="A1016" t="s">
        <v>357</v>
      </c>
      <c r="B1016" t="s">
        <v>3508</v>
      </c>
      <c r="C1016" t="str" cm="1">
        <f t="array" ref="C1016" xml:space="preserve"> CleanText(B1016)</f>
        <v>this looks terrible oh nooooo</v>
      </c>
      <c r="D1016">
        <v>0</v>
      </c>
      <c r="E1016">
        <v>1</v>
      </c>
      <c r="F1016" t="s">
        <v>0</v>
      </c>
      <c r="G1016" t="str" cm="1">
        <f t="array" ref="G1016" xml:space="preserve"> FindCountryName(F1016)</f>
        <v>None</v>
      </c>
      <c r="H1016" s="1">
        <v>45307.979097222225</v>
      </c>
      <c r="I1016" s="1">
        <v>45307.979097222225</v>
      </c>
      <c r="J1016" s="1">
        <v>42020.906643518516</v>
      </c>
      <c r="K1016" cm="1">
        <f t="array" ref="K1016" xml:space="preserve"> sentimentCalc(C1016)</f>
        <v>-3</v>
      </c>
      <c r="L1016" t="str" cm="1">
        <f t="array" ref="L1016" xml:space="preserve"> sentimentCategory(K1016)</f>
        <v>Negative</v>
      </c>
    </row>
    <row r="1017" spans="1:12">
      <c r="A1017" t="s">
        <v>591</v>
      </c>
      <c r="B1017" t="s">
        <v>3507</v>
      </c>
      <c r="C1017" t="str" cm="1">
        <f t="array" ref="C1017" xml:space="preserve"> CleanText(B1017)</f>
        <v>ok so the trailer at least looks better than that disgustingly bad adaptation they made years back</v>
      </c>
      <c r="D1017">
        <v>0</v>
      </c>
      <c r="E1017">
        <v>0</v>
      </c>
      <c r="F1017" t="s">
        <v>3506</v>
      </c>
      <c r="G1017" t="str" cm="1">
        <f t="array" ref="G1017" xml:space="preserve"> FindCountryName(F1017)</f>
        <v>Denmark</v>
      </c>
      <c r="H1017" s="1">
        <v>45307.941689814812</v>
      </c>
      <c r="I1017" s="1">
        <v>45307.941689814812</v>
      </c>
      <c r="J1017" s="1">
        <v>41390.404907407406</v>
      </c>
      <c r="K1017" cm="1">
        <f t="array" ref="K1017" xml:space="preserve"> sentimentCalc(C1017)</f>
        <v>-1</v>
      </c>
      <c r="L1017" t="str" cm="1">
        <f t="array" ref="L1017" xml:space="preserve"> sentimentCategory(K1017)</f>
        <v>Negative</v>
      </c>
    </row>
    <row r="1018" spans="1:12">
      <c r="A1018" t="s">
        <v>730</v>
      </c>
      <c r="B1018" t="s">
        <v>3505</v>
      </c>
      <c r="C1018" t="str" cm="1">
        <f t="array" ref="C1018" xml:space="preserve"> CleanText(B1018)</f>
        <v>yaaassss</v>
      </c>
      <c r="D1018">
        <v>0</v>
      </c>
      <c r="E1018">
        <v>0</v>
      </c>
      <c r="F1018" t="s">
        <v>0</v>
      </c>
      <c r="G1018" t="str" cm="1">
        <f t="array" ref="G1018" xml:space="preserve"> FindCountryName(F1018)</f>
        <v>None</v>
      </c>
      <c r="H1018" s="1">
        <v>45307.884502314817</v>
      </c>
      <c r="I1018" s="1">
        <v>45307.884502314817</v>
      </c>
      <c r="J1018" s="1">
        <v>44262.141296296293</v>
      </c>
      <c r="K1018" cm="1">
        <f t="array" ref="K1018" xml:space="preserve"> sentimentCalc(C1018)</f>
        <v>0</v>
      </c>
      <c r="L1018" t="str" cm="1">
        <f t="array" ref="L1018" xml:space="preserve"> sentimentCategory(K1018)</f>
        <v>Neutral</v>
      </c>
    </row>
    <row r="1019" spans="1:12">
      <c r="A1019" t="s">
        <v>192</v>
      </c>
      <c r="B1019" t="s">
        <v>3504</v>
      </c>
      <c r="C1019" t="str" cm="1">
        <f t="array" ref="C1019" xml:space="preserve"> CleanText(B1019)</f>
        <v>i scared</v>
      </c>
      <c r="D1019">
        <v>0</v>
      </c>
      <c r="E1019">
        <v>0</v>
      </c>
      <c r="F1019" t="s">
        <v>0</v>
      </c>
      <c r="G1019" t="str" cm="1">
        <f t="array" ref="G1019" xml:space="preserve"> FindCountryName(F1019)</f>
        <v>None</v>
      </c>
      <c r="H1019" s="1">
        <v>45307.87295138889</v>
      </c>
      <c r="I1019" s="1">
        <v>45307.87295138889</v>
      </c>
      <c r="J1019" s="1">
        <v>39033.474560185183</v>
      </c>
      <c r="K1019" cm="1">
        <f t="array" ref="K1019" xml:space="preserve"> sentimentCalc(C1019)</f>
        <v>-2</v>
      </c>
      <c r="L1019" t="str" cm="1">
        <f t="array" ref="L1019" xml:space="preserve"> sentimentCategory(K1019)</f>
        <v>Negative</v>
      </c>
    </row>
    <row r="1020" spans="1:12">
      <c r="A1020" t="s">
        <v>2453</v>
      </c>
      <c r="B1020" t="s">
        <v>3503</v>
      </c>
      <c r="C1020" t="str" cm="1">
        <f t="array" ref="C1020" xml:space="preserve"> CleanText(B1020)</f>
        <v>honestly i just wanted more anime stories im still happy to watch and hopefully itll be a worthwhile retelling of the original saga</v>
      </c>
      <c r="D1020">
        <v>0</v>
      </c>
      <c r="E1020">
        <v>1</v>
      </c>
      <c r="F1020" t="s">
        <v>0</v>
      </c>
      <c r="G1020" t="str" cm="1">
        <f t="array" ref="G1020" xml:space="preserve"> FindCountryName(F1020)</f>
        <v>None</v>
      </c>
      <c r="H1020" s="1">
        <v>45307.843622685185</v>
      </c>
      <c r="I1020" s="1">
        <v>45307.843622685185</v>
      </c>
      <c r="J1020" s="1">
        <v>41337.496817129628</v>
      </c>
      <c r="K1020" cm="1">
        <f t="array" ref="K1020" xml:space="preserve"> sentimentCalc(C1020)</f>
        <v>5</v>
      </c>
      <c r="L1020" t="str" cm="1">
        <f t="array" ref="L1020" xml:space="preserve"> sentimentCategory(K1020)</f>
        <v>Positive</v>
      </c>
    </row>
    <row r="1021" spans="1:12">
      <c r="A1021" t="s">
        <v>28</v>
      </c>
      <c r="B1021" t="s">
        <v>3502</v>
      </c>
      <c r="C1021" t="str" cm="1">
        <f t="array" ref="C1021" xml:space="preserve"> CleanText(B1021)</f>
        <v>i really hope its three seasons please take your time with this</v>
      </c>
      <c r="D1021">
        <v>1</v>
      </c>
      <c r="E1021">
        <v>0</v>
      </c>
      <c r="F1021" t="s">
        <v>0</v>
      </c>
      <c r="G1021" t="str" cm="1">
        <f t="array" ref="G1021" xml:space="preserve"> FindCountryName(F1021)</f>
        <v>None</v>
      </c>
      <c r="H1021" s="1">
        <v>45307.784513888888</v>
      </c>
      <c r="I1021" s="1">
        <v>45307.784513888888</v>
      </c>
      <c r="J1021" s="1">
        <v>42373.80232638889</v>
      </c>
      <c r="K1021" cm="1">
        <f t="array" ref="K1021" xml:space="preserve"> sentimentCalc(C1021)</f>
        <v>3</v>
      </c>
      <c r="L1021" t="str" cm="1">
        <f t="array" ref="L1021" xml:space="preserve"> sentimentCategory(K1021)</f>
        <v>Positive</v>
      </c>
    </row>
    <row r="1022" spans="1:12">
      <c r="A1022" t="s">
        <v>3501</v>
      </c>
      <c r="B1022" t="s">
        <v>3500</v>
      </c>
      <c r="C1022" t="str" cm="1">
        <f t="array" ref="C1022" xml:space="preserve"> CleanText(B1022)</f>
        <v>intrigued by this one</v>
      </c>
      <c r="D1022">
        <v>0</v>
      </c>
      <c r="E1022">
        <v>0</v>
      </c>
      <c r="F1022" t="s">
        <v>0</v>
      </c>
      <c r="G1022" t="str" cm="1">
        <f t="array" ref="G1022" xml:space="preserve"> FindCountryName(F1022)</f>
        <v>None</v>
      </c>
      <c r="H1022" s="1">
        <v>45307.76053240741</v>
      </c>
      <c r="I1022" s="1">
        <v>45307.76053240741</v>
      </c>
      <c r="J1022" s="1">
        <v>42523.629849537036</v>
      </c>
      <c r="K1022" cm="1">
        <f t="array" ref="K1022" xml:space="preserve"> sentimentCalc(C1022)</f>
        <v>0</v>
      </c>
      <c r="L1022" t="str" cm="1">
        <f t="array" ref="L1022" xml:space="preserve"> sentimentCategory(K1022)</f>
        <v>Neutral</v>
      </c>
    </row>
    <row r="1023" spans="1:12">
      <c r="A1023" t="s">
        <v>317</v>
      </c>
      <c r="B1023" t="s">
        <v>3499</v>
      </c>
      <c r="C1023" t="str" cm="1">
        <f t="array" ref="C1023" xml:space="preserve"> CleanText(B1023)</f>
        <v>no stop not again dont ruin it again stop</v>
      </c>
      <c r="D1023">
        <v>1</v>
      </c>
      <c r="E1023">
        <v>1</v>
      </c>
      <c r="F1023" t="s">
        <v>0</v>
      </c>
      <c r="G1023" t="str" cm="1">
        <f t="array" ref="G1023" xml:space="preserve"> FindCountryName(F1023)</f>
        <v>None</v>
      </c>
      <c r="H1023" s="1">
        <v>45307.756006944444</v>
      </c>
      <c r="I1023" s="1">
        <v>45307.756006944444</v>
      </c>
      <c r="J1023" s="1">
        <v>44195.602314814816</v>
      </c>
      <c r="K1023" cm="1">
        <f t="array" ref="K1023" xml:space="preserve"> sentimentCalc(C1023)</f>
        <v>-5</v>
      </c>
      <c r="L1023" t="str" cm="1">
        <f t="array" ref="L1023" xml:space="preserve"> sentimentCategory(K1023)</f>
        <v>Negative</v>
      </c>
    </row>
    <row r="1024" spans="1:12">
      <c r="A1024" t="s">
        <v>190</v>
      </c>
      <c r="B1024" t="s">
        <v>3498</v>
      </c>
      <c r="C1024" t="str" cm="1">
        <f t="array" ref="C1024" xml:space="preserve"> CleanText(B1024)</f>
        <v>wtf is this this looks wore than the original</v>
      </c>
      <c r="D1024">
        <v>0</v>
      </c>
      <c r="E1024">
        <v>7</v>
      </c>
      <c r="F1024" t="s">
        <v>0</v>
      </c>
      <c r="G1024" t="str" cm="1">
        <f t="array" ref="G1024" xml:space="preserve"> FindCountryName(F1024)</f>
        <v>None</v>
      </c>
      <c r="H1024" s="1">
        <v>45307.741712962961</v>
      </c>
      <c r="I1024" s="1">
        <v>45307.741712962961</v>
      </c>
      <c r="J1024" s="1">
        <v>44009.285891203705</v>
      </c>
      <c r="K1024" cm="1">
        <f t="array" ref="K1024" xml:space="preserve"> sentimentCalc(C1024)</f>
        <v>0</v>
      </c>
      <c r="L1024" t="str" cm="1">
        <f t="array" ref="L1024" xml:space="preserve"> sentimentCategory(K1024)</f>
        <v>Neutral</v>
      </c>
    </row>
    <row r="1025" spans="1:12">
      <c r="A1025" t="s">
        <v>1547</v>
      </c>
      <c r="B1025" t="s">
        <v>3497</v>
      </c>
      <c r="C1025" t="str" cm="1">
        <f t="array" ref="C1025" xml:space="preserve"> CleanText(B1025)</f>
        <v>reeaally hope they maintain the humor from the original story _xDE4F_</v>
      </c>
      <c r="D1025">
        <v>1</v>
      </c>
      <c r="E1025">
        <v>0</v>
      </c>
      <c r="F1025" t="s">
        <v>0</v>
      </c>
      <c r="G1025" t="str" cm="1">
        <f t="array" ref="G1025" xml:space="preserve"> FindCountryName(F1025)</f>
        <v>None</v>
      </c>
      <c r="H1025" s="1">
        <v>45307.720625000002</v>
      </c>
      <c r="I1025" s="1">
        <v>45307.720625000002</v>
      </c>
      <c r="J1025" s="1">
        <v>42299.227222222224</v>
      </c>
      <c r="K1025" cm="1">
        <f t="array" ref="K1025" xml:space="preserve"> sentimentCalc(C1025)</f>
        <v>4</v>
      </c>
      <c r="L1025" t="str" cm="1">
        <f t="array" ref="L1025" xml:space="preserve"> sentimentCategory(K1025)</f>
        <v>Positive</v>
      </c>
    </row>
    <row r="1026" spans="1:12">
      <c r="A1026" t="s">
        <v>1059</v>
      </c>
      <c r="B1026" t="s">
        <v>3496</v>
      </c>
      <c r="C1026" t="str" cm="1">
        <f t="array" ref="C1026" xml:space="preserve"> CleanText(B1026)</f>
        <v>why do they do this!</v>
      </c>
      <c r="D1026">
        <v>0</v>
      </c>
      <c r="E1026">
        <v>0</v>
      </c>
      <c r="F1026" t="s">
        <v>0</v>
      </c>
      <c r="G1026" t="str" cm="1">
        <f t="array" ref="G1026" xml:space="preserve"> FindCountryName(F1026)</f>
        <v>None</v>
      </c>
      <c r="H1026" s="1">
        <v>45307.702187499999</v>
      </c>
      <c r="I1026" s="1">
        <v>45307.702187499999</v>
      </c>
      <c r="J1026" s="1">
        <v>41226.770868055559</v>
      </c>
      <c r="K1026" cm="1">
        <f t="array" ref="K1026" xml:space="preserve"> sentimentCalc(C1026)</f>
        <v>0</v>
      </c>
      <c r="L1026" t="str" cm="1">
        <f t="array" ref="L1026" xml:space="preserve"> sentimentCategory(K1026)</f>
        <v>Neutral</v>
      </c>
    </row>
    <row r="1027" spans="1:12">
      <c r="A1027" t="s">
        <v>1209</v>
      </c>
      <c r="B1027" t="s">
        <v>3495</v>
      </c>
      <c r="C1027" t="str" cm="1">
        <f t="array" ref="C1027" xml:space="preserve"> CleanText(B1027)</f>
        <v>momo and appa are deep in that uncanny valley but it overall looks so faithful to the animated series and thats the important part</v>
      </c>
      <c r="D1027">
        <v>0</v>
      </c>
      <c r="E1027">
        <v>0</v>
      </c>
      <c r="F1027" t="s">
        <v>0</v>
      </c>
      <c r="G1027" t="str" cm="1">
        <f t="array" ref="G1027" xml:space="preserve"> FindCountryName(F1027)</f>
        <v>None</v>
      </c>
      <c r="H1027" s="1">
        <v>45307.681319444448</v>
      </c>
      <c r="I1027" s="1">
        <v>45307.681319444448</v>
      </c>
      <c r="J1027" s="1">
        <v>39782.700196759259</v>
      </c>
      <c r="K1027" cm="1">
        <f t="array" ref="K1027" xml:space="preserve"> sentimentCalc(C1027)</f>
        <v>5</v>
      </c>
      <c r="L1027" t="str" cm="1">
        <f t="array" ref="L1027" xml:space="preserve"> sentimentCategory(K1027)</f>
        <v>Positive</v>
      </c>
    </row>
    <row r="1028" spans="1:12">
      <c r="A1028" t="s">
        <v>1261</v>
      </c>
      <c r="B1028" t="s">
        <v>3494</v>
      </c>
      <c r="C1028" t="str" cm="1">
        <f t="array" ref="C1028" xml:space="preserve"> CleanText(B1028)</f>
        <v>the trailer looks % better an the entire live action movie im hopeful</v>
      </c>
      <c r="D1028">
        <v>143</v>
      </c>
      <c r="E1028">
        <v>4</v>
      </c>
      <c r="F1028" t="s">
        <v>0</v>
      </c>
      <c r="G1028" t="str" cm="1">
        <f t="array" ref="G1028" xml:space="preserve"> FindCountryName(F1028)</f>
        <v>None</v>
      </c>
      <c r="H1028" s="1">
        <v>45307.662291666667</v>
      </c>
      <c r="I1028" s="1">
        <v>45307.662291666667</v>
      </c>
      <c r="J1028" s="1">
        <v>43658.653831018521</v>
      </c>
      <c r="K1028" cm="1">
        <f t="array" ref="K1028" xml:space="preserve"> sentimentCalc(C1028)</f>
        <v>4</v>
      </c>
      <c r="L1028" t="str" cm="1">
        <f t="array" ref="L1028" xml:space="preserve"> sentimentCategory(K1028)</f>
        <v>Positive</v>
      </c>
    </row>
    <row r="1029" spans="1:12">
      <c r="A1029" t="s">
        <v>3493</v>
      </c>
      <c r="B1029" t="s">
        <v>3492</v>
      </c>
      <c r="C1029" t="str" cm="1">
        <f t="array" ref="C1029" xml:space="preserve"> CleanText(B1029)</f>
        <v>damn i guess im gonna have to reactivate my account</v>
      </c>
      <c r="D1029">
        <v>1</v>
      </c>
      <c r="E1029">
        <v>0</v>
      </c>
      <c r="F1029" t="s">
        <v>19</v>
      </c>
      <c r="G1029" t="str" cm="1">
        <f t="array" ref="G1029" xml:space="preserve"> FindCountryName(F1029)</f>
        <v>United States of America (the)</v>
      </c>
      <c r="H1029" s="1">
        <v>45307.627430555556</v>
      </c>
      <c r="I1029" s="1">
        <v>45307.627430555556</v>
      </c>
      <c r="J1029" s="1">
        <v>41536.960775462961</v>
      </c>
      <c r="K1029" cm="1">
        <f t="array" ref="K1029" xml:space="preserve"> sentimentCalc(C1029)</f>
        <v>-4</v>
      </c>
      <c r="L1029" t="str" cm="1">
        <f t="array" ref="L1029" xml:space="preserve"> sentimentCategory(K1029)</f>
        <v>Negative</v>
      </c>
    </row>
    <row r="1030" spans="1:12">
      <c r="A1030" t="s">
        <v>3491</v>
      </c>
      <c r="B1030" t="s">
        <v>3490</v>
      </c>
      <c r="C1030" t="str" cm="1">
        <f t="array" ref="C1030" xml:space="preserve"> CleanText(B1030)</f>
        <v>i searched this title up because i wanted to watch the cartoon because i was reminiscing i never imagined that they would adapt this series into a tv show im so excited cant wait to watch this when it comes out_xD83D_</v>
      </c>
      <c r="D1030">
        <v>0</v>
      </c>
      <c r="E1030">
        <v>0</v>
      </c>
      <c r="F1030" t="s">
        <v>0</v>
      </c>
      <c r="G1030" t="str" cm="1">
        <f t="array" ref="G1030" xml:space="preserve"> FindCountryName(F1030)</f>
        <v>None</v>
      </c>
      <c r="H1030" s="1">
        <v>45307.611759259256</v>
      </c>
      <c r="I1030" s="1">
        <v>45307.611759259256</v>
      </c>
      <c r="J1030" s="1">
        <v>44981.820844907408</v>
      </c>
      <c r="K1030" cm="1">
        <f t="array" ref="K1030" xml:space="preserve"> sentimentCalc(C1030)</f>
        <v>3</v>
      </c>
      <c r="L1030" t="str" cm="1">
        <f t="array" ref="L1030" xml:space="preserve"> sentimentCategory(K1030)</f>
        <v>Positive</v>
      </c>
    </row>
    <row r="1031" spans="1:12">
      <c r="A1031" t="s">
        <v>178</v>
      </c>
      <c r="B1031" t="s">
        <v>3489</v>
      </c>
      <c r="C1031" t="str" cm="1">
        <f t="array" ref="C1031" xml:space="preserve"> CleanText(B1031)</f>
        <v>he better be riding around on an air bubble _xDE12_</v>
      </c>
      <c r="D1031">
        <v>1</v>
      </c>
      <c r="E1031">
        <v>0</v>
      </c>
      <c r="F1031" t="s">
        <v>0</v>
      </c>
      <c r="G1031" t="str" cm="1">
        <f t="array" ref="G1031" xml:space="preserve"> FindCountryName(F1031)</f>
        <v>None</v>
      </c>
      <c r="H1031" s="1">
        <v>45307.565937500003</v>
      </c>
      <c r="I1031" s="1">
        <v>45307.565937500003</v>
      </c>
      <c r="J1031" s="1">
        <v>44866.618773148148</v>
      </c>
      <c r="K1031" cm="1">
        <f t="array" ref="K1031" xml:space="preserve"> sentimentCalc(C1031)</f>
        <v>2</v>
      </c>
      <c r="L1031" t="str" cm="1">
        <f t="array" ref="L1031" xml:space="preserve"> sentimentCategory(K1031)</f>
        <v>Positive</v>
      </c>
    </row>
    <row r="1032" spans="1:12">
      <c r="A1032" t="s">
        <v>190</v>
      </c>
      <c r="B1032" t="s">
        <v>3488</v>
      </c>
      <c r="C1032" t="str" cm="1">
        <f t="array" ref="C1032" xml:space="preserve"> CleanText(B1032)</f>
        <v>i wish they wouldnt rush a lot of the quest into  single film this could be an incredible franchise slow it down and make small details count</v>
      </c>
      <c r="D1032">
        <v>0</v>
      </c>
      <c r="E1032">
        <v>2</v>
      </c>
      <c r="F1032" t="s">
        <v>0</v>
      </c>
      <c r="G1032" t="str" cm="1">
        <f t="array" ref="G1032" xml:space="preserve"> FindCountryName(F1032)</f>
        <v>None</v>
      </c>
      <c r="H1032" s="1">
        <v>45307.520995370367</v>
      </c>
      <c r="I1032" s="1">
        <v>45307.520995370367</v>
      </c>
      <c r="J1032" s="1">
        <v>44436.289236111108</v>
      </c>
      <c r="K1032" cm="1">
        <f t="array" ref="K1032" xml:space="preserve"> sentimentCalc(C1032)</f>
        <v>1</v>
      </c>
      <c r="L1032" t="str" cm="1">
        <f t="array" ref="L1032" xml:space="preserve"> sentimentCategory(K1032)</f>
        <v>Positive</v>
      </c>
    </row>
    <row r="1033" spans="1:12">
      <c r="A1033" t="s">
        <v>1565</v>
      </c>
      <c r="B1033" t="s">
        <v>3487</v>
      </c>
      <c r="C1033" t="str" cm="1">
        <f t="array" ref="C1033" xml:space="preserve"> CleanText(B1033)</f>
        <v>trailer</v>
      </c>
      <c r="D1033">
        <v>2</v>
      </c>
      <c r="E1033">
        <v>1</v>
      </c>
      <c r="F1033" t="s">
        <v>0</v>
      </c>
      <c r="G1033" t="str" cm="1">
        <f t="array" ref="G1033" xml:space="preserve"> FindCountryName(F1033)</f>
        <v>None</v>
      </c>
      <c r="H1033" s="1">
        <v>45307.518518518518</v>
      </c>
      <c r="I1033" s="1">
        <v>45307.518518518518</v>
      </c>
      <c r="J1033" s="1">
        <v>42096.628634259258</v>
      </c>
      <c r="K1033" cm="1">
        <f t="array" ref="K1033" xml:space="preserve"> sentimentCalc(C1033)</f>
        <v>0</v>
      </c>
      <c r="L1033" t="str" cm="1">
        <f t="array" ref="L1033" xml:space="preserve"> sentimentCategory(K1033)</f>
        <v>Neutral</v>
      </c>
    </row>
    <row r="1034" spans="1:12">
      <c r="A1034" t="s">
        <v>1000</v>
      </c>
      <c r="B1034" t="s">
        <v>3486</v>
      </c>
      <c r="C1034" t="str" cm="1">
        <f t="array" ref="C1034" xml:space="preserve"> CleanText(B1034)</f>
        <v>better be better than the movie that doesnt exist they better say his name like in the anime otherwise im pod</v>
      </c>
      <c r="D1034">
        <v>0</v>
      </c>
      <c r="E1034">
        <v>0</v>
      </c>
      <c r="F1034" t="s">
        <v>0</v>
      </c>
      <c r="G1034" t="str" cm="1">
        <f t="array" ref="G1034" xml:space="preserve"> FindCountryName(F1034)</f>
        <v>None</v>
      </c>
      <c r="H1034" s="1">
        <v>45307.508576388886</v>
      </c>
      <c r="I1034" s="1">
        <v>45307.509791666664</v>
      </c>
      <c r="J1034" s="1">
        <v>41540.666574074072</v>
      </c>
      <c r="K1034" cm="1">
        <f t="array" ref="K1034" xml:space="preserve"> sentimentCalc(C1034)</f>
        <v>8</v>
      </c>
      <c r="L1034" t="str" cm="1">
        <f t="array" ref="L1034" xml:space="preserve"> sentimentCategory(K1034)</f>
        <v>Positive</v>
      </c>
    </row>
    <row r="1035" spans="1:12">
      <c r="A1035" t="s">
        <v>227</v>
      </c>
      <c r="B1035" t="s">
        <v>3485</v>
      </c>
      <c r="C1035" t="str" cm="1">
        <f t="array" ref="C1035" xml:space="preserve"> CleanText(B1035)</f>
        <v>from anime to movie a good journey glad to be the jockey of this journey  _xDE0A_</v>
      </c>
      <c r="D1035">
        <v>0</v>
      </c>
      <c r="E1035">
        <v>0</v>
      </c>
      <c r="F1035" t="s">
        <v>0</v>
      </c>
      <c r="G1035" t="str" cm="1">
        <f t="array" ref="G1035" xml:space="preserve"> FindCountryName(F1035)</f>
        <v>None</v>
      </c>
      <c r="H1035" s="1">
        <v>45307.484699074077</v>
      </c>
      <c r="I1035" s="1">
        <v>45307.484699074077</v>
      </c>
      <c r="J1035" s="1">
        <v>43196.935104166667</v>
      </c>
      <c r="K1035" cm="1">
        <f t="array" ref="K1035" xml:space="preserve"> sentimentCalc(C1035)</f>
        <v>6</v>
      </c>
      <c r="L1035" t="str" cm="1">
        <f t="array" ref="L1035" xml:space="preserve"> sentimentCategory(K1035)</f>
        <v>Positive</v>
      </c>
    </row>
    <row r="1036" spans="1:12">
      <c r="A1036" t="s">
        <v>3484</v>
      </c>
      <c r="B1036" t="s">
        <v>3483</v>
      </c>
      <c r="C1036" t="str" cm="1">
        <f t="array" ref="C1036" xml:space="preserve"> CleanText(B1036)</f>
        <v>oh pls not from netflix_xDE05_</v>
      </c>
      <c r="D1036">
        <v>0</v>
      </c>
      <c r="E1036">
        <v>0</v>
      </c>
      <c r="F1036" t="s">
        <v>0</v>
      </c>
      <c r="G1036" t="str" cm="1">
        <f t="array" ref="G1036" xml:space="preserve"> FindCountryName(F1036)</f>
        <v>None</v>
      </c>
      <c r="H1036" s="1">
        <v>45307.454201388886</v>
      </c>
      <c r="I1036" s="1">
        <v>45307.454201388886</v>
      </c>
      <c r="J1036" s="1">
        <v>40523.223634259259</v>
      </c>
      <c r="K1036" cm="1">
        <f t="array" ref="K1036" xml:space="preserve"> sentimentCalc(C1036)</f>
        <v>0</v>
      </c>
      <c r="L1036" t="str" cm="1">
        <f t="array" ref="L1036" xml:space="preserve"> sentimentCategory(K1036)</f>
        <v>Neutral</v>
      </c>
    </row>
    <row r="1037" spans="1:12">
      <c r="A1037" t="s">
        <v>591</v>
      </c>
      <c r="B1037" t="s">
        <v>3482</v>
      </c>
      <c r="C1037" t="str" cm="1">
        <f t="array" ref="C1037" xml:space="preserve"> CleanText(B1037)</f>
        <v>wow i can actually tell who is supposed to be who in the trailer</v>
      </c>
      <c r="D1037">
        <v>0</v>
      </c>
      <c r="E1037">
        <v>0</v>
      </c>
      <c r="F1037" t="s">
        <v>0</v>
      </c>
      <c r="G1037" t="str" cm="1">
        <f t="array" ref="G1037" xml:space="preserve"> FindCountryName(F1037)</f>
        <v>None</v>
      </c>
      <c r="H1037" s="1">
        <v>45307.431516203702</v>
      </c>
      <c r="I1037" s="1">
        <v>45307.431516203702</v>
      </c>
      <c r="J1037" s="1">
        <v>42393.795231481483</v>
      </c>
      <c r="K1037" cm="1">
        <f t="array" ref="K1037" xml:space="preserve"> sentimentCalc(C1037)</f>
        <v>4</v>
      </c>
      <c r="L1037" t="str" cm="1">
        <f t="array" ref="L1037" xml:space="preserve"> sentimentCategory(K1037)</f>
        <v>Positive</v>
      </c>
    </row>
    <row r="1038" spans="1:12">
      <c r="A1038" t="s">
        <v>3481</v>
      </c>
      <c r="B1038" t="s">
        <v>3480</v>
      </c>
      <c r="C1038" t="str" cm="1">
        <f t="array" ref="C1038" xml:space="preserve"> CleanText(B1038)</f>
        <v>im not crying youre crying</v>
      </c>
      <c r="D1038">
        <v>0</v>
      </c>
      <c r="E1038">
        <v>0</v>
      </c>
      <c r="F1038" t="s">
        <v>0</v>
      </c>
      <c r="G1038" t="str" cm="1">
        <f t="array" ref="G1038" xml:space="preserve"> FindCountryName(F1038)</f>
        <v>None</v>
      </c>
      <c r="H1038" s="1">
        <v>45307.365034722221</v>
      </c>
      <c r="I1038" s="1">
        <v>45307.365034722221</v>
      </c>
      <c r="J1038" s="1">
        <v>40635.672476851854</v>
      </c>
      <c r="K1038" cm="1">
        <f t="array" ref="K1038" xml:space="preserve"> sentimentCalc(C1038)</f>
        <v>-4</v>
      </c>
      <c r="L1038" t="str" cm="1">
        <f t="array" ref="L1038" xml:space="preserve"> sentimentCategory(K1038)</f>
        <v>Negative</v>
      </c>
    </row>
    <row r="1039" spans="1:12">
      <c r="A1039" t="s">
        <v>3479</v>
      </c>
      <c r="B1039" t="s">
        <v>3478</v>
      </c>
      <c r="C1039" t="str" cm="1">
        <f t="array" ref="C1039" xml:space="preserve"> CleanText(B1039)</f>
        <v>bro i already know this gonna be ass</v>
      </c>
      <c r="D1039">
        <v>0</v>
      </c>
      <c r="E1039">
        <v>0</v>
      </c>
      <c r="F1039" t="s">
        <v>0</v>
      </c>
      <c r="G1039" t="str" cm="1">
        <f t="array" ref="G1039" xml:space="preserve"> FindCountryName(F1039)</f>
        <v>None</v>
      </c>
      <c r="H1039" s="1">
        <v>45307.345462962963</v>
      </c>
      <c r="I1039" s="1">
        <v>45307.345462962963</v>
      </c>
      <c r="J1039" s="1">
        <v>43163.955300925925</v>
      </c>
      <c r="K1039" cm="1">
        <f t="array" ref="K1039" xml:space="preserve"> sentimentCalc(C1039)</f>
        <v>-4</v>
      </c>
      <c r="L1039" t="str" cm="1">
        <f t="array" ref="L1039" xml:space="preserve"> sentimentCategory(K1039)</f>
        <v>Negative</v>
      </c>
    </row>
    <row r="1040" spans="1:12">
      <c r="A1040" t="s">
        <v>521</v>
      </c>
      <c r="B1040" t="s">
        <v>3477</v>
      </c>
      <c r="C1040" t="str" cm="1">
        <f t="array" ref="C1040" xml:space="preserve"> CleanText(B1040)</f>
        <v>and then the fire _xDD25_ nation attacked</v>
      </c>
      <c r="D1040">
        <v>0</v>
      </c>
      <c r="E1040">
        <v>0</v>
      </c>
      <c r="F1040" t="s">
        <v>0</v>
      </c>
      <c r="G1040" t="str" cm="1">
        <f t="array" ref="G1040" xml:space="preserve"> FindCountryName(F1040)</f>
        <v>None</v>
      </c>
      <c r="H1040" s="1">
        <v>45307.334467592591</v>
      </c>
      <c r="I1040" s="1">
        <v>45307.334467592591</v>
      </c>
      <c r="J1040" s="1">
        <v>44518.313425925924</v>
      </c>
      <c r="K1040" cm="1">
        <f t="array" ref="K1040" xml:space="preserve"> sentimentCalc(C1040)</f>
        <v>-3</v>
      </c>
      <c r="L1040" t="str" cm="1">
        <f t="array" ref="L1040" xml:space="preserve"> sentimentCategory(K1040)</f>
        <v>Negative</v>
      </c>
    </row>
    <row r="1041" spans="1:12">
      <c r="A1041" t="s">
        <v>521</v>
      </c>
      <c r="B1041" t="s">
        <v>3476</v>
      </c>
      <c r="C1041" t="str" cm="1">
        <f t="array" ref="C1041" xml:space="preserve"> CleanText(B1041)</f>
        <v>i thought they put a chick to play avatar like in the fire nation play_xD83D_</v>
      </c>
      <c r="D1041">
        <v>1</v>
      </c>
      <c r="E1041">
        <v>0</v>
      </c>
      <c r="F1041" t="s">
        <v>0</v>
      </c>
      <c r="G1041" t="str" cm="1">
        <f t="array" ref="G1041" xml:space="preserve"> FindCountryName(F1041)</f>
        <v>None</v>
      </c>
      <c r="H1041" s="1">
        <v>45307.334085648145</v>
      </c>
      <c r="I1041" s="1">
        <v>45307.334085648145</v>
      </c>
      <c r="J1041" s="1">
        <v>44518.313425925924</v>
      </c>
      <c r="K1041" cm="1">
        <f t="array" ref="K1041" xml:space="preserve"> sentimentCalc(C1041)</f>
        <v>0</v>
      </c>
      <c r="L1041" t="str" cm="1">
        <f t="array" ref="L1041" xml:space="preserve"> sentimentCategory(K1041)</f>
        <v>Neutral</v>
      </c>
    </row>
    <row r="1042" spans="1:12">
      <c r="A1042" t="s">
        <v>3475</v>
      </c>
      <c r="B1042" t="s">
        <v>3474</v>
      </c>
      <c r="C1042" t="str" cm="1">
        <f t="array" ref="C1042" xml:space="preserve"> CleanText(B1042)</f>
        <v>das trash</v>
      </c>
      <c r="D1042">
        <v>1</v>
      </c>
      <c r="E1042">
        <v>0</v>
      </c>
      <c r="F1042" t="s">
        <v>0</v>
      </c>
      <c r="G1042" t="str" cm="1">
        <f t="array" ref="G1042" xml:space="preserve"> FindCountryName(F1042)</f>
        <v>None</v>
      </c>
      <c r="H1042" s="1">
        <v>45307.3203125</v>
      </c>
      <c r="I1042" s="1">
        <v>45307.3203125</v>
      </c>
      <c r="J1042" s="1">
        <v>44679.364942129629</v>
      </c>
      <c r="K1042" cm="1">
        <f t="array" ref="K1042" xml:space="preserve"> sentimentCalc(C1042)</f>
        <v>0</v>
      </c>
      <c r="L1042" t="str" cm="1">
        <f t="array" ref="L1042" xml:space="preserve"> sentimentCategory(K1042)</f>
        <v>Neutral</v>
      </c>
    </row>
    <row r="1043" spans="1:12">
      <c r="A1043" t="s">
        <v>1613</v>
      </c>
      <c r="B1043" t="s">
        <v>3473</v>
      </c>
      <c r="C1043" t="str" cm="1">
        <f t="array" ref="C1043" xml:space="preserve"> CleanText(B1043)</f>
        <v>00 remake lolup</v>
      </c>
      <c r="D1043">
        <v>0</v>
      </c>
      <c r="E1043">
        <v>0</v>
      </c>
      <c r="F1043" t="s">
        <v>0</v>
      </c>
      <c r="G1043" t="str" cm="1">
        <f t="array" ref="G1043" xml:space="preserve"> FindCountryName(F1043)</f>
        <v>None</v>
      </c>
      <c r="H1043" s="1">
        <v>45307.279652777775</v>
      </c>
      <c r="I1043" s="1">
        <v>45307.279652777775</v>
      </c>
      <c r="J1043" s="1">
        <v>45181.252650462964</v>
      </c>
      <c r="K1043" cm="1">
        <f t="array" ref="K1043" xml:space="preserve"> sentimentCalc(C1043)</f>
        <v>0</v>
      </c>
      <c r="L1043" t="str" cm="1">
        <f t="array" ref="L1043" xml:space="preserve"> sentimentCategory(K1043)</f>
        <v>Neutral</v>
      </c>
    </row>
    <row r="1044" spans="1:12">
      <c r="A1044" t="s">
        <v>653</v>
      </c>
      <c r="B1044" t="s">
        <v>3472</v>
      </c>
      <c r="C1044" t="str" cm="1">
        <f t="array" ref="C1044" xml:space="preserve"> CleanText(B1044)</f>
        <v>thats amazing</v>
      </c>
      <c r="D1044">
        <v>1</v>
      </c>
      <c r="E1044">
        <v>0</v>
      </c>
      <c r="F1044" t="s">
        <v>1742</v>
      </c>
      <c r="G1044" t="str" cm="1">
        <f t="array" ref="G1044" xml:space="preserve"> FindCountryName(F1044)</f>
        <v>Ukraine</v>
      </c>
      <c r="H1044" s="1">
        <v>45307.263240740744</v>
      </c>
      <c r="I1044" s="1">
        <v>45307.263240740744</v>
      </c>
      <c r="J1044" s="1">
        <v>42586.377766203703</v>
      </c>
      <c r="K1044" cm="1">
        <f t="array" ref="K1044" xml:space="preserve"> sentimentCalc(C1044)</f>
        <v>4</v>
      </c>
      <c r="L1044" t="str" cm="1">
        <f t="array" ref="L1044" xml:space="preserve"> sentimentCategory(K1044)</f>
        <v>Positive</v>
      </c>
    </row>
    <row r="1045" spans="1:12">
      <c r="A1045" t="s">
        <v>880</v>
      </c>
      <c r="B1045" t="s">
        <v>1132</v>
      </c>
      <c r="C1045" t="str" cm="1">
        <f t="array" ref="C1045" xml:space="preserve"> CleanText(B1045)</f>
        <v>cant wait</v>
      </c>
      <c r="D1045">
        <v>1</v>
      </c>
      <c r="E1045">
        <v>0</v>
      </c>
      <c r="F1045" t="s">
        <v>19</v>
      </c>
      <c r="G1045" t="str" cm="1">
        <f t="array" ref="G1045" xml:space="preserve"> FindCountryName(F1045)</f>
        <v>United States of America (the)</v>
      </c>
      <c r="H1045" s="1">
        <v>45307.239155092589</v>
      </c>
      <c r="I1045" s="1">
        <v>45307.239155092589</v>
      </c>
      <c r="J1045" s="1">
        <v>45272.211678240739</v>
      </c>
      <c r="K1045" cm="1">
        <f t="array" ref="K1045" xml:space="preserve"> sentimentCalc(C1045)</f>
        <v>0</v>
      </c>
      <c r="L1045" t="str" cm="1">
        <f t="array" ref="L1045" xml:space="preserve"> sentimentCategory(K1045)</f>
        <v>Neutral</v>
      </c>
    </row>
    <row r="1046" spans="1:12">
      <c r="A1046" t="s">
        <v>30</v>
      </c>
      <c r="B1046" t="s">
        <v>3471</v>
      </c>
      <c r="C1046" t="str" cm="1">
        <f t="array" ref="C1046" xml:space="preserve"> CleanText(B1046)</f>
        <v>exquisite ravishing i want to see this movie</v>
      </c>
      <c r="D1046">
        <v>2</v>
      </c>
      <c r="E1046">
        <v>1</v>
      </c>
      <c r="F1046" t="s">
        <v>0</v>
      </c>
      <c r="G1046" t="str" cm="1">
        <f t="array" ref="G1046" xml:space="preserve"> FindCountryName(F1046)</f>
        <v>None</v>
      </c>
      <c r="H1046" s="1">
        <v>45307.19599537037</v>
      </c>
      <c r="I1046" s="1">
        <v>45307.19599537037</v>
      </c>
      <c r="J1046" s="1">
        <v>44192.625706018516</v>
      </c>
      <c r="K1046" cm="1">
        <f t="array" ref="K1046" xml:space="preserve"> sentimentCalc(C1046)</f>
        <v>1</v>
      </c>
      <c r="L1046" t="str" cm="1">
        <f t="array" ref="L1046" xml:space="preserve"> sentimentCategory(K1046)</f>
        <v>Positive</v>
      </c>
    </row>
    <row r="1047" spans="1:12">
      <c r="A1047" t="s">
        <v>462</v>
      </c>
      <c r="B1047" t="s">
        <v>3470</v>
      </c>
      <c r="C1047" t="str" cm="1">
        <f t="array" ref="C1047" xml:space="preserve"> CleanText(B1047)</f>
        <v>netflix wheres the full trailer there are 7 days left until the release of the series and we only have a teaser trailer</v>
      </c>
      <c r="D1047">
        <v>80</v>
      </c>
      <c r="E1047">
        <v>5</v>
      </c>
      <c r="F1047" t="s">
        <v>0</v>
      </c>
      <c r="G1047" t="str" cm="1">
        <f t="array" ref="G1047" xml:space="preserve"> FindCountryName(F1047)</f>
        <v>None</v>
      </c>
      <c r="H1047" s="1">
        <v>45307.110115740739</v>
      </c>
      <c r="I1047" s="1">
        <v>45307.110115740739</v>
      </c>
      <c r="J1047" s="1">
        <v>40540.539872685185</v>
      </c>
      <c r="K1047" cm="1">
        <f t="array" ref="K1047" xml:space="preserve"> sentimentCalc(C1047)</f>
        <v>0</v>
      </c>
      <c r="L1047" t="str" cm="1">
        <f t="array" ref="L1047" xml:space="preserve"> sentimentCategory(K1047)</f>
        <v>Neutral</v>
      </c>
    </row>
    <row r="1048" spans="1:12">
      <c r="A1048" t="s">
        <v>175</v>
      </c>
      <c r="B1048" t="s">
        <v>3469</v>
      </c>
      <c r="C1048" t="str" cm="1">
        <f t="array" ref="C1048" xml:space="preserve"> CleanText(B1048)</f>
        <v>where is toph beifong</v>
      </c>
      <c r="D1048">
        <v>1</v>
      </c>
      <c r="E1048">
        <v>2</v>
      </c>
      <c r="F1048" t="s">
        <v>0</v>
      </c>
      <c r="G1048" t="str" cm="1">
        <f t="array" ref="G1048" xml:space="preserve"> FindCountryName(F1048)</f>
        <v>None</v>
      </c>
      <c r="H1048" s="1">
        <v>45307.094467592593</v>
      </c>
      <c r="I1048" s="1">
        <v>45307.094467592593</v>
      </c>
      <c r="J1048" s="1">
        <v>42485.826643518521</v>
      </c>
      <c r="K1048" cm="1">
        <f t="array" ref="K1048" xml:space="preserve"> sentimentCalc(C1048)</f>
        <v>0</v>
      </c>
      <c r="L1048" t="str" cm="1">
        <f t="array" ref="L1048" xml:space="preserve"> sentimentCategory(K1048)</f>
        <v>Neutral</v>
      </c>
    </row>
    <row r="1049" spans="1:12">
      <c r="A1049" t="s">
        <v>680</v>
      </c>
      <c r="B1049" t="s">
        <v>3468</v>
      </c>
      <c r="C1049" t="str" cm="1">
        <f t="array" ref="C1049" xml:space="preserve"> CleanText(B1049)</f>
        <v>cant wait</v>
      </c>
      <c r="D1049">
        <v>1</v>
      </c>
      <c r="E1049">
        <v>0</v>
      </c>
      <c r="F1049" t="s">
        <v>0</v>
      </c>
      <c r="G1049" t="str" cm="1">
        <f t="array" ref="G1049" xml:space="preserve"> FindCountryName(F1049)</f>
        <v>None</v>
      </c>
      <c r="H1049" s="1">
        <v>45307.073368055557</v>
      </c>
      <c r="I1049" s="1">
        <v>45307.073368055557</v>
      </c>
      <c r="J1049" s="1">
        <v>45244.986018518517</v>
      </c>
      <c r="K1049" cm="1">
        <f t="array" ref="K1049" xml:space="preserve"> sentimentCalc(C1049)</f>
        <v>0</v>
      </c>
      <c r="L1049" t="str" cm="1">
        <f t="array" ref="L1049" xml:space="preserve"> sentimentCategory(K1049)</f>
        <v>Neutral</v>
      </c>
    </row>
    <row r="1050" spans="1:12">
      <c r="A1050" t="s">
        <v>745</v>
      </c>
      <c r="B1050" t="s">
        <v>3467</v>
      </c>
      <c r="C1050" t="str" cm="1">
        <f t="array" ref="C1050" xml:space="preserve"> CleanText(B1050)</f>
        <v>5 to 9 is my favorite part of the trailer</v>
      </c>
      <c r="D1050">
        <v>20</v>
      </c>
      <c r="E1050">
        <v>1</v>
      </c>
      <c r="F1050" t="s">
        <v>0</v>
      </c>
      <c r="G1050" t="str" cm="1">
        <f t="array" ref="G1050" xml:space="preserve"> FindCountryName(F1050)</f>
        <v>None</v>
      </c>
      <c r="H1050" s="1">
        <v>45307.055775462963</v>
      </c>
      <c r="I1050" s="1">
        <v>45307.055775462963</v>
      </c>
      <c r="J1050" s="1">
        <v>44245.58388888889</v>
      </c>
      <c r="K1050" cm="1">
        <f t="array" ref="K1050" xml:space="preserve"> sentimentCalc(C1050)</f>
        <v>2</v>
      </c>
      <c r="L1050" t="str" cm="1">
        <f t="array" ref="L1050" xml:space="preserve"> sentimentCategory(K1050)</f>
        <v>Positive</v>
      </c>
    </row>
    <row r="1051" spans="1:12">
      <c r="A1051" t="s">
        <v>806</v>
      </c>
      <c r="B1051" t="s">
        <v>3466</v>
      </c>
      <c r="C1051" t="str" cm="1">
        <f t="array" ref="C1051" xml:space="preserve"> CleanText(B1051)</f>
        <v>at least shama lama dingdong set the bar really low heres hoping this series doesnt suck</v>
      </c>
      <c r="D1051">
        <v>2</v>
      </c>
      <c r="E1051">
        <v>0</v>
      </c>
      <c r="F1051" t="s">
        <v>0</v>
      </c>
      <c r="G1051" t="str" cm="1">
        <f t="array" ref="G1051" xml:space="preserve"> FindCountryName(F1051)</f>
        <v>None</v>
      </c>
      <c r="H1051" s="1">
        <v>45307.05364583333</v>
      </c>
      <c r="I1051" s="1">
        <v>45307.05364583333</v>
      </c>
      <c r="J1051" s="1">
        <v>41858.144421296296</v>
      </c>
      <c r="K1051" cm="1">
        <f t="array" ref="K1051" xml:space="preserve"> sentimentCalc(C1051)</f>
        <v>-1</v>
      </c>
      <c r="L1051" t="str" cm="1">
        <f t="array" ref="L1051" xml:space="preserve"> sentimentCategory(K1051)</f>
        <v>Negative</v>
      </c>
    </row>
    <row r="1052" spans="1:12">
      <c r="A1052" t="s">
        <v>3465</v>
      </c>
      <c r="B1052" t="s">
        <v>3464</v>
      </c>
      <c r="C1052" t="str" cm="1">
        <f t="array" ref="C1052" xml:space="preserve"> CleanText(B1052)</f>
        <v>netflix will probably cancel it after two seasons regardless of success or fanfare its what they do</v>
      </c>
      <c r="D1052">
        <v>0</v>
      </c>
      <c r="E1052">
        <v>0</v>
      </c>
      <c r="F1052" t="s">
        <v>0</v>
      </c>
      <c r="G1052" t="str" cm="1">
        <f t="array" ref="G1052" xml:space="preserve"> FindCountryName(F1052)</f>
        <v>None</v>
      </c>
      <c r="H1052" s="1">
        <v>45306.98940972222</v>
      </c>
      <c r="I1052" s="1">
        <v>45306.98940972222</v>
      </c>
      <c r="J1052" s="1">
        <v>41548.045081018521</v>
      </c>
      <c r="K1052" cm="1">
        <f t="array" ref="K1052" xml:space="preserve"> sentimentCalc(C1052)</f>
        <v>1</v>
      </c>
      <c r="L1052" t="str" cm="1">
        <f t="array" ref="L1052" xml:space="preserve"> sentimentCategory(K1052)</f>
        <v>Positive</v>
      </c>
    </row>
    <row r="1053" spans="1:12">
      <c r="A1053" t="s">
        <v>297</v>
      </c>
      <c r="B1053" t="s">
        <v>3463</v>
      </c>
      <c r="C1053" t="str" cm="1">
        <f t="array" ref="C1053" xml:space="preserve"> CleanText(B1053)</f>
        <v>wheres the full trailer im stressing at this point _xDE02__xDD23_</v>
      </c>
      <c r="D1053">
        <v>29</v>
      </c>
      <c r="E1053">
        <v>4</v>
      </c>
      <c r="F1053" t="s">
        <v>0</v>
      </c>
      <c r="G1053" t="str" cm="1">
        <f t="array" ref="G1053" xml:space="preserve"> FindCountryName(F1053)</f>
        <v>None</v>
      </c>
      <c r="H1053" s="1">
        <v>45306.980949074074</v>
      </c>
      <c r="I1053" s="1">
        <v>45306.980949074074</v>
      </c>
      <c r="J1053" s="1">
        <v>42128.002766203703</v>
      </c>
      <c r="K1053" cm="1">
        <f t="array" ref="K1053" xml:space="preserve"> sentimentCalc(C1053)</f>
        <v>0</v>
      </c>
      <c r="L1053" t="str" cm="1">
        <f t="array" ref="L1053" xml:space="preserve"> sentimentCategory(K1053)</f>
        <v>Neutral</v>
      </c>
    </row>
    <row r="1054" spans="1:12">
      <c r="A1054" t="s">
        <v>902</v>
      </c>
      <c r="B1054" t="s">
        <v>3462</v>
      </c>
      <c r="C1054" t="str" cm="1">
        <f t="array" ref="C1054" xml:space="preserve"> CleanText(B1054)</f>
        <v>is it just me or the one they made in 00 grew on my more just the fighting parts seem more like magic than anything else i was really hoping for continuation rather than a remake but thats just my opinion</v>
      </c>
      <c r="D1054">
        <v>0</v>
      </c>
      <c r="E1054">
        <v>3</v>
      </c>
      <c r="F1054" t="s">
        <v>0</v>
      </c>
      <c r="G1054" t="str" cm="1">
        <f t="array" ref="G1054" xml:space="preserve"> FindCountryName(F1054)</f>
        <v>None</v>
      </c>
      <c r="H1054" s="1">
        <v>45306.952280092592</v>
      </c>
      <c r="I1054" s="1">
        <v>45306.952280092592</v>
      </c>
      <c r="J1054" s="1">
        <v>44397.432384259257</v>
      </c>
      <c r="K1054" cm="1">
        <f t="array" ref="K1054" xml:space="preserve"> sentimentCalc(C1054)</f>
        <v>4</v>
      </c>
      <c r="L1054" t="str" cm="1">
        <f t="array" ref="L1054" xml:space="preserve"> sentimentCategory(K1054)</f>
        <v>Positive</v>
      </c>
    </row>
    <row r="1055" spans="1:12">
      <c r="A1055" t="s">
        <v>1112</v>
      </c>
      <c r="B1055" t="s">
        <v>3461</v>
      </c>
      <c r="C1055" t="str" cm="1">
        <f t="array" ref="C1055" xml:space="preserve"> CleanText(B1055)</f>
        <v>ano na netflix nauumay nako sa teaser nato kailan release ng final trailer</v>
      </c>
      <c r="D1055">
        <v>1</v>
      </c>
      <c r="E1055">
        <v>0</v>
      </c>
      <c r="F1055" t="s">
        <v>0</v>
      </c>
      <c r="G1055" t="str" cm="1">
        <f t="array" ref="G1055" xml:space="preserve"> FindCountryName(F1055)</f>
        <v>None</v>
      </c>
      <c r="H1055" s="1">
        <v>45306.937268518515</v>
      </c>
      <c r="I1055" s="1">
        <v>45306.937268518515</v>
      </c>
      <c r="J1055" s="1">
        <v>44780.166967592595</v>
      </c>
      <c r="K1055" cm="1">
        <f t="array" ref="K1055" xml:space="preserve"> sentimentCalc(C1055)</f>
        <v>0</v>
      </c>
      <c r="L1055" t="str" cm="1">
        <f t="array" ref="L1055" xml:space="preserve"> sentimentCategory(K1055)</f>
        <v>Neutral</v>
      </c>
    </row>
    <row r="1056" spans="1:12">
      <c r="A1056" t="s">
        <v>1067</v>
      </c>
      <c r="B1056" t="s">
        <v>3460</v>
      </c>
      <c r="C1056" t="str" cm="1">
        <f t="array" ref="C1056" xml:space="preserve"> CleanText(B1056)</f>
        <v>release when</v>
      </c>
      <c r="D1056">
        <v>0</v>
      </c>
      <c r="E1056">
        <v>1</v>
      </c>
      <c r="F1056" t="s">
        <v>19</v>
      </c>
      <c r="G1056" t="str" cm="1">
        <f t="array" ref="G1056" xml:space="preserve"> FindCountryName(F1056)</f>
        <v>United States of America (the)</v>
      </c>
      <c r="H1056" s="1">
        <v>45306.931134259263</v>
      </c>
      <c r="I1056" s="1">
        <v>45306.931134259263</v>
      </c>
      <c r="J1056" s="1">
        <v>45235.034803240742</v>
      </c>
      <c r="K1056" cm="1">
        <f t="array" ref="K1056" xml:space="preserve"> sentimentCalc(C1056)</f>
        <v>0</v>
      </c>
      <c r="L1056" t="str" cm="1">
        <f t="array" ref="L1056" xml:space="preserve"> sentimentCategory(K1056)</f>
        <v>Neutral</v>
      </c>
    </row>
    <row r="1057" spans="1:12">
      <c r="A1057" t="s">
        <v>62</v>
      </c>
      <c r="B1057" t="s">
        <v>3459</v>
      </c>
      <c r="C1057" t="str" cm="1">
        <f t="array" ref="C1057" xml:space="preserve"> CleanText(B1057)</f>
        <v>picked the worst actors possible this is gonna be as bad as the first adaptation</v>
      </c>
      <c r="D1057">
        <v>0</v>
      </c>
      <c r="E1057">
        <v>2</v>
      </c>
      <c r="F1057" t="s">
        <v>0</v>
      </c>
      <c r="G1057" t="str" cm="1">
        <f t="array" ref="G1057" xml:space="preserve"> FindCountryName(F1057)</f>
        <v>None</v>
      </c>
      <c r="H1057" s="1">
        <v>45306.895752314813</v>
      </c>
      <c r="I1057" s="1">
        <v>45306.895752314813</v>
      </c>
      <c r="J1057" s="1">
        <v>44788.880856481483</v>
      </c>
      <c r="K1057" cm="1">
        <f t="array" ref="K1057" xml:space="preserve"> sentimentCalc(C1057)</f>
        <v>-6</v>
      </c>
      <c r="L1057" t="str" cm="1">
        <f t="array" ref="L1057" xml:space="preserve"> sentimentCategory(K1057)</f>
        <v>Negative</v>
      </c>
    </row>
    <row r="1058" spans="1:12">
      <c r="A1058" t="s">
        <v>141</v>
      </c>
      <c r="B1058" t="s">
        <v>3458</v>
      </c>
      <c r="C1058" t="str" cm="1">
        <f t="array" ref="C1058" xml:space="preserve"> CleanText(B1058)</f>
        <v>oh yeah</v>
      </c>
      <c r="D1058">
        <v>0</v>
      </c>
      <c r="E1058">
        <v>0</v>
      </c>
      <c r="F1058" t="s">
        <v>0</v>
      </c>
      <c r="G1058" t="str" cm="1">
        <f t="array" ref="G1058" xml:space="preserve"> FindCountryName(F1058)</f>
        <v>None</v>
      </c>
      <c r="H1058" s="1">
        <v>45306.858865740738</v>
      </c>
      <c r="I1058" s="1">
        <v>45306.858865740738</v>
      </c>
      <c r="J1058" s="1">
        <v>44473.034641203703</v>
      </c>
      <c r="K1058" cm="1">
        <f t="array" ref="K1058" xml:space="preserve"> sentimentCalc(C1058)</f>
        <v>1</v>
      </c>
      <c r="L1058" t="str" cm="1">
        <f t="array" ref="L1058" xml:space="preserve"> sentimentCategory(K1058)</f>
        <v>Positive</v>
      </c>
    </row>
    <row r="1059" spans="1:12">
      <c r="A1059" t="s">
        <v>249</v>
      </c>
      <c r="B1059" t="s">
        <v>3457</v>
      </c>
      <c r="C1059" t="str" cm="1">
        <f t="array" ref="C1059" xml:space="preserve"> CleanText(B1059)</f>
        <v>if netflix makes a series out of this it will be the first i watch and finish</v>
      </c>
      <c r="D1059">
        <v>1</v>
      </c>
      <c r="E1059">
        <v>0</v>
      </c>
      <c r="F1059" t="s">
        <v>0</v>
      </c>
      <c r="G1059" t="str" cm="1">
        <f t="array" ref="G1059" xml:space="preserve"> FindCountryName(F1059)</f>
        <v>None</v>
      </c>
      <c r="H1059" s="1">
        <v>45306.838969907411</v>
      </c>
      <c r="I1059" s="1">
        <v>45306.838969907411</v>
      </c>
      <c r="J1059" s="1">
        <v>41179.752986111111</v>
      </c>
      <c r="K1059" cm="1">
        <f t="array" ref="K1059" xml:space="preserve"> sentimentCalc(C1059)</f>
        <v>0</v>
      </c>
      <c r="L1059" t="str" cm="1">
        <f t="array" ref="L1059" xml:space="preserve"> sentimentCategory(K1059)</f>
        <v>Neutral</v>
      </c>
    </row>
    <row r="1060" spans="1:12">
      <c r="A1060" t="s">
        <v>3456</v>
      </c>
      <c r="B1060" t="s">
        <v>3455</v>
      </c>
      <c r="C1060" t="str" cm="1">
        <f t="array" ref="C1060" xml:space="preserve"> CleanText(B1060)</f>
        <v>stranger things s looks crazzzzzy cant wait for this</v>
      </c>
      <c r="D1060">
        <v>0</v>
      </c>
      <c r="E1060">
        <v>0</v>
      </c>
      <c r="F1060" t="s">
        <v>0</v>
      </c>
      <c r="G1060" t="str" cm="1">
        <f t="array" ref="G1060" xml:space="preserve"> FindCountryName(F1060)</f>
        <v>None</v>
      </c>
      <c r="H1060" s="1">
        <v>45306.822511574072</v>
      </c>
      <c r="I1060" s="1">
        <v>45306.822511574072</v>
      </c>
      <c r="J1060" s="1">
        <v>44667.161122685182</v>
      </c>
      <c r="K1060" cm="1">
        <f t="array" ref="K1060" xml:space="preserve"> sentimentCalc(C1060)</f>
        <v>0</v>
      </c>
      <c r="L1060" t="str" cm="1">
        <f t="array" ref="L1060" xml:space="preserve"> sentimentCategory(K1060)</f>
        <v>Neutral</v>
      </c>
    </row>
    <row r="1061" spans="1:12">
      <c r="A1061" t="s">
        <v>514</v>
      </c>
      <c r="B1061" t="s">
        <v>3454</v>
      </c>
      <c r="C1061" t="str" cm="1">
        <f t="array" ref="C1061" xml:space="preserve"> CleanText(B1061)</f>
        <v>wished they invested in animation _xDE02_</v>
      </c>
      <c r="D1061">
        <v>0</v>
      </c>
      <c r="E1061">
        <v>0</v>
      </c>
      <c r="F1061" t="s">
        <v>0</v>
      </c>
      <c r="G1061" t="str" cm="1">
        <f t="array" ref="G1061" xml:space="preserve"> FindCountryName(F1061)</f>
        <v>None</v>
      </c>
      <c r="H1061" s="1">
        <v>45306.800115740742</v>
      </c>
      <c r="I1061" s="1">
        <v>45306.800115740742</v>
      </c>
      <c r="J1061" s="1">
        <v>42820.208807870367</v>
      </c>
      <c r="K1061" cm="1">
        <f t="array" ref="K1061" xml:space="preserve"> sentimentCalc(C1061)</f>
        <v>0</v>
      </c>
      <c r="L1061" t="str" cm="1">
        <f t="array" ref="L1061" xml:space="preserve"> sentimentCategory(K1061)</f>
        <v>Neutral</v>
      </c>
    </row>
    <row r="1062" spans="1:12">
      <c r="A1062" t="s">
        <v>361</v>
      </c>
      <c r="B1062" t="s">
        <v>3453</v>
      </c>
      <c r="C1062" t="str" cm="1">
        <f t="array" ref="C1062" xml:space="preserve"> CleanText(B1062)</f>
        <v>bruh when is the next trailer coming out_xDC80_</v>
      </c>
      <c r="D1062">
        <v>2</v>
      </c>
      <c r="E1062">
        <v>1</v>
      </c>
      <c r="F1062" t="s">
        <v>0</v>
      </c>
      <c r="G1062" t="str" cm="1">
        <f t="array" ref="G1062" xml:space="preserve"> FindCountryName(F1062)</f>
        <v>None</v>
      </c>
      <c r="H1062" s="1">
        <v>45306.771296296298</v>
      </c>
      <c r="I1062" s="1">
        <v>45306.771296296298</v>
      </c>
      <c r="J1062" s="1">
        <v>41230.754942129628</v>
      </c>
      <c r="K1062" cm="1">
        <f t="array" ref="K1062" xml:space="preserve"> sentimentCalc(C1062)</f>
        <v>0</v>
      </c>
      <c r="L1062" t="str" cm="1">
        <f t="array" ref="L1062" xml:space="preserve"> sentimentCategory(K1062)</f>
        <v>Neutral</v>
      </c>
    </row>
    <row r="1063" spans="1:12">
      <c r="A1063" t="s">
        <v>3452</v>
      </c>
      <c r="B1063" t="s">
        <v>3451</v>
      </c>
      <c r="C1063" t="str" cm="1">
        <f t="array" ref="C1063" xml:space="preserve"> CleanText(B1063)</f>
        <v>me mantengo optimista desde mxico</v>
      </c>
      <c r="D1063">
        <v>0</v>
      </c>
      <c r="E1063">
        <v>0</v>
      </c>
      <c r="F1063" t="s">
        <v>0</v>
      </c>
      <c r="G1063" t="str" cm="1">
        <f t="array" ref="G1063" xml:space="preserve"> FindCountryName(F1063)</f>
        <v>None</v>
      </c>
      <c r="H1063" s="1">
        <v>45306.717789351853</v>
      </c>
      <c r="I1063" s="1">
        <v>45306.717789351853</v>
      </c>
      <c r="J1063" s="1">
        <v>44233.679432870369</v>
      </c>
      <c r="K1063" cm="1">
        <f t="array" ref="K1063" xml:space="preserve"> sentimentCalc(C1063)</f>
        <v>0</v>
      </c>
      <c r="L1063" t="str" cm="1">
        <f t="array" ref="L1063" xml:space="preserve"> sentimentCategory(K1063)</f>
        <v>Neutral</v>
      </c>
    </row>
    <row r="1064" spans="1:12">
      <c r="A1064" t="s">
        <v>3450</v>
      </c>
      <c r="B1064" t="s">
        <v>3449</v>
      </c>
      <c r="C1064" t="str" cm="1">
        <f t="array" ref="C1064" xml:space="preserve"> CleanText(B1064)</f>
        <v>so if avatar the last airbender can get a remake worthy of the anime can we finally get a dragonball or dragonball z live action series to replace that god awful dragonball evolution movie</v>
      </c>
      <c r="D1064">
        <v>1</v>
      </c>
      <c r="E1064">
        <v>1</v>
      </c>
      <c r="F1064" t="s">
        <v>0</v>
      </c>
      <c r="G1064" t="str" cm="1">
        <f t="array" ref="G1064" xml:space="preserve"> FindCountryName(F1064)</f>
        <v>None</v>
      </c>
      <c r="H1064" s="1">
        <v>45306.703599537039</v>
      </c>
      <c r="I1064" s="1">
        <v>45306.703599537039</v>
      </c>
      <c r="J1064" s="1">
        <v>42856.007881944446</v>
      </c>
      <c r="K1064" cm="1">
        <f t="array" ref="K1064" xml:space="preserve"> sentimentCalc(C1064)</f>
        <v>0</v>
      </c>
      <c r="L1064" t="str" cm="1">
        <f t="array" ref="L1064" xml:space="preserve"> sentimentCategory(K1064)</f>
        <v>Neutral</v>
      </c>
    </row>
    <row r="1065" spans="1:12">
      <c r="A1065" t="s">
        <v>3448</v>
      </c>
      <c r="B1065" t="s">
        <v>3447</v>
      </c>
      <c r="C1065" t="str" cm="1">
        <f t="array" ref="C1065" xml:space="preserve"> CleanText(B1065)</f>
        <v>y para cuando el trailer oficial netflix ya es tiempo de que lo lanzes _xDD37__xDD37__xDD37_</v>
      </c>
      <c r="D1065">
        <v>1</v>
      </c>
      <c r="E1065">
        <v>2</v>
      </c>
      <c r="F1065" t="s">
        <v>0</v>
      </c>
      <c r="G1065" t="str" cm="1">
        <f t="array" ref="G1065" xml:space="preserve"> FindCountryName(F1065)</f>
        <v>None</v>
      </c>
      <c r="H1065" s="1">
        <v>45306.618344907409</v>
      </c>
      <c r="I1065" s="1">
        <v>45306.618344907409</v>
      </c>
      <c r="J1065" s="1">
        <v>44304.688796296294</v>
      </c>
      <c r="K1065" cm="1">
        <f t="array" ref="K1065" xml:space="preserve"> sentimentCalc(C1065)</f>
        <v>0</v>
      </c>
      <c r="L1065" t="str" cm="1">
        <f t="array" ref="L1065" xml:space="preserve"> sentimentCategory(K1065)</f>
        <v>Neutral</v>
      </c>
    </row>
    <row r="1066" spans="1:12">
      <c r="A1066" t="s">
        <v>598</v>
      </c>
      <c r="B1066" t="s">
        <v>3446</v>
      </c>
      <c r="C1066" t="str" cm="1">
        <f t="array" ref="C1066" xml:space="preserve"> CleanText(B1066)</f>
        <v>literal chills as im watching this</v>
      </c>
      <c r="D1066">
        <v>3</v>
      </c>
      <c r="E1066">
        <v>0</v>
      </c>
      <c r="F1066" t="s">
        <v>0</v>
      </c>
      <c r="G1066" t="str" cm="1">
        <f t="array" ref="G1066" xml:space="preserve"> FindCountryName(F1066)</f>
        <v>None</v>
      </c>
      <c r="H1066" s="1">
        <v>45306.548402777778</v>
      </c>
      <c r="I1066" s="1">
        <v>45306.548402777778</v>
      </c>
      <c r="J1066" s="1">
        <v>42190.917025462964</v>
      </c>
      <c r="K1066" cm="1">
        <f t="array" ref="K1066" xml:space="preserve"> sentimentCalc(C1066)</f>
        <v>0</v>
      </c>
      <c r="L1066" t="str" cm="1">
        <f t="array" ref="L1066" xml:space="preserve"> sentimentCategory(K1066)</f>
        <v>Neutral</v>
      </c>
    </row>
    <row r="1067" spans="1:12">
      <c r="A1067" t="s">
        <v>1696</v>
      </c>
      <c r="B1067" t="s">
        <v>3445</v>
      </c>
      <c r="C1067" t="str" cm="1">
        <f t="array" ref="C1067" xml:space="preserve"> CleanText(B1067)</f>
        <v>they always write aang as serious forgetting hes joking around 0 of the time</v>
      </c>
      <c r="D1067">
        <v>0</v>
      </c>
      <c r="E1067">
        <v>1</v>
      </c>
      <c r="F1067" t="s">
        <v>0</v>
      </c>
      <c r="G1067" t="str" cm="1">
        <f t="array" ref="G1067" xml:space="preserve"> FindCountryName(F1067)</f>
        <v>None</v>
      </c>
      <c r="H1067" s="1">
        <v>45306.524895833332</v>
      </c>
      <c r="I1067" s="1">
        <v>45306.524895833332</v>
      </c>
      <c r="J1067" s="1">
        <v>42357.448576388888</v>
      </c>
      <c r="K1067" cm="1">
        <f t="array" ref="K1067" xml:space="preserve"> sentimentCalc(C1067)</f>
        <v>0</v>
      </c>
      <c r="L1067" t="str" cm="1">
        <f t="array" ref="L1067" xml:space="preserve"> sentimentCategory(K1067)</f>
        <v>Neutral</v>
      </c>
    </row>
    <row r="1068" spans="1:12">
      <c r="A1068" t="s">
        <v>870</v>
      </c>
      <c r="B1068" t="s">
        <v>3444</v>
      </c>
      <c r="C1068" t="str" cm="1">
        <f t="array" ref="C1068" xml:space="preserve"> CleanText(B1068)</f>
        <v>nice job team ovatar</v>
      </c>
      <c r="D1068">
        <v>1</v>
      </c>
      <c r="E1068">
        <v>0</v>
      </c>
      <c r="F1068" t="s">
        <v>0</v>
      </c>
      <c r="G1068" t="str" cm="1">
        <f t="array" ref="G1068" xml:space="preserve"> FindCountryName(F1068)</f>
        <v>None</v>
      </c>
      <c r="H1068" s="1">
        <v>45306.517465277779</v>
      </c>
      <c r="I1068" s="1">
        <v>45306.517465277779</v>
      </c>
      <c r="J1068" s="1">
        <v>44423.847858796296</v>
      </c>
      <c r="K1068" cm="1">
        <f t="array" ref="K1068" xml:space="preserve"> sentimentCalc(C1068)</f>
        <v>3</v>
      </c>
      <c r="L1068" t="str" cm="1">
        <f t="array" ref="L1068" xml:space="preserve"> sentimentCategory(K1068)</f>
        <v>Positive</v>
      </c>
    </row>
    <row r="1069" spans="1:12">
      <c r="A1069" t="s">
        <v>872</v>
      </c>
      <c r="B1069" t="s">
        <v>3443</v>
      </c>
      <c r="C1069" t="str" cm="1">
        <f t="array" ref="C1069" xml:space="preserve"> CleanText(B1069)</f>
        <v>this will be the season finale everyone will love to watch it  i even watched it  times</v>
      </c>
      <c r="D1069">
        <v>1</v>
      </c>
      <c r="E1069">
        <v>0</v>
      </c>
      <c r="F1069" t="s">
        <v>0</v>
      </c>
      <c r="G1069" t="str" cm="1">
        <f t="array" ref="G1069" xml:space="preserve"> FindCountryName(F1069)</f>
        <v>None</v>
      </c>
      <c r="H1069" s="1">
        <v>45306.511990740742</v>
      </c>
      <c r="I1069" s="1">
        <v>45306.511990740742</v>
      </c>
      <c r="J1069" s="1">
        <v>45306.506678240738</v>
      </c>
      <c r="K1069" cm="1">
        <f t="array" ref="K1069" xml:space="preserve"> sentimentCalc(C1069)</f>
        <v>3</v>
      </c>
      <c r="L1069" t="str" cm="1">
        <f t="array" ref="L1069" xml:space="preserve"> sentimentCategory(K1069)</f>
        <v>Positive</v>
      </c>
    </row>
    <row r="1070" spans="1:12">
      <c r="A1070" t="s">
        <v>1067</v>
      </c>
      <c r="B1070" t="s">
        <v>3442</v>
      </c>
      <c r="C1070" t="str" cm="1">
        <f t="array" ref="C1070" xml:space="preserve"> CleanText(B1070)</f>
        <v>chills everytime i see this ngl hopefully its just as good as the series and a faithful adaptation</v>
      </c>
      <c r="D1070">
        <v>47</v>
      </c>
      <c r="E1070">
        <v>0</v>
      </c>
      <c r="F1070" t="s">
        <v>0</v>
      </c>
      <c r="G1070" t="str" cm="1">
        <f t="array" ref="G1070" xml:space="preserve"> FindCountryName(F1070)</f>
        <v>None</v>
      </c>
      <c r="H1070" s="1">
        <v>45306.4997337963</v>
      </c>
      <c r="I1070" s="1">
        <v>45306.4997337963</v>
      </c>
      <c r="J1070" s="1">
        <v>41235.539085648146</v>
      </c>
      <c r="K1070" cm="1">
        <f t="array" ref="K1070" xml:space="preserve"> sentimentCalc(C1070)</f>
        <v>8</v>
      </c>
      <c r="L1070" t="str" cm="1">
        <f t="array" ref="L1070" xml:space="preserve"> sentimentCategory(K1070)</f>
        <v>Positive</v>
      </c>
    </row>
    <row r="1071" spans="1:12">
      <c r="A1071" t="s">
        <v>1696</v>
      </c>
      <c r="B1071" t="s">
        <v>758</v>
      </c>
      <c r="C1071" t="str" cm="1">
        <f t="array" ref="C1071" xml:space="preserve"> CleanText(B1071)</f>
        <v>nice</v>
      </c>
      <c r="D1071">
        <v>1</v>
      </c>
      <c r="E1071">
        <v>0</v>
      </c>
      <c r="F1071" t="s">
        <v>0</v>
      </c>
      <c r="G1071" t="str" cm="1">
        <f t="array" ref="G1071" xml:space="preserve"> FindCountryName(F1071)</f>
        <v>None</v>
      </c>
      <c r="H1071" s="1">
        <v>45306.496076388888</v>
      </c>
      <c r="I1071" s="1">
        <v>45306.496076388888</v>
      </c>
      <c r="J1071" s="1">
        <v>44401.184918981482</v>
      </c>
      <c r="K1071" cm="1">
        <f t="array" ref="K1071" xml:space="preserve"> sentimentCalc(C1071)</f>
        <v>3</v>
      </c>
      <c r="L1071" t="str" cm="1">
        <f t="array" ref="L1071" xml:space="preserve"> sentimentCategory(K1071)</f>
        <v>Positive</v>
      </c>
    </row>
    <row r="1072" spans="1:12">
      <c r="A1072" t="s">
        <v>3441</v>
      </c>
      <c r="B1072" t="s">
        <v>3440</v>
      </c>
      <c r="C1072" t="str" cm="1">
        <f t="array" ref="C1072" xml:space="preserve"> CleanText(B1072)</f>
        <v>the first ever live action adaptationright _xDE02_</v>
      </c>
      <c r="D1072">
        <v>9</v>
      </c>
      <c r="E1072">
        <v>2</v>
      </c>
      <c r="F1072" t="s">
        <v>0</v>
      </c>
      <c r="G1072" t="str" cm="1">
        <f t="array" ref="G1072" xml:space="preserve"> FindCountryName(F1072)</f>
        <v>None</v>
      </c>
      <c r="H1072" s="1">
        <v>45306.448657407411</v>
      </c>
      <c r="I1072" s="1">
        <v>45306.448657407411</v>
      </c>
      <c r="J1072" s="1">
        <v>45304.350717592592</v>
      </c>
      <c r="K1072" cm="1">
        <f t="array" ref="K1072" xml:space="preserve"> sentimentCalc(C1072)</f>
        <v>0</v>
      </c>
      <c r="L1072" t="str" cm="1">
        <f t="array" ref="L1072" xml:space="preserve"> sentimentCategory(K1072)</f>
        <v>Neutral</v>
      </c>
    </row>
    <row r="1073" spans="1:12">
      <c r="A1073" t="s">
        <v>826</v>
      </c>
      <c r="B1073" t="s">
        <v>3439</v>
      </c>
      <c r="C1073" t="str" cm="1">
        <f t="array" ref="C1073" xml:space="preserve"> CleanText(B1073)</f>
        <v>this shit looks fire _xDD25_ now this is how it should have been done in 00</v>
      </c>
      <c r="D1073">
        <v>2</v>
      </c>
      <c r="E1073">
        <v>3</v>
      </c>
      <c r="F1073" t="s">
        <v>0</v>
      </c>
      <c r="G1073" t="str" cm="1">
        <f t="array" ref="G1073" xml:space="preserve"> FindCountryName(F1073)</f>
        <v>None</v>
      </c>
      <c r="H1073" s="1">
        <v>45306.436516203707</v>
      </c>
      <c r="I1073" s="1">
        <v>45306.436516203707</v>
      </c>
      <c r="J1073" s="1">
        <v>42466.600335648145</v>
      </c>
      <c r="K1073" cm="1">
        <f t="array" ref="K1073" xml:space="preserve"> sentimentCalc(C1073)</f>
        <v>-2</v>
      </c>
      <c r="L1073" t="str" cm="1">
        <f t="array" ref="L1073" xml:space="preserve"> sentimentCategory(K1073)</f>
        <v>Negative</v>
      </c>
    </row>
    <row r="1074" spans="1:12">
      <c r="A1074" t="s">
        <v>2593</v>
      </c>
      <c r="B1074" t="s">
        <v>3438</v>
      </c>
      <c r="C1074" t="str" cm="1">
        <f t="array" ref="C1074" xml:space="preserve"> CleanText(B1074)</f>
        <v>i wish they wouldve gone with what happens after aang beats ozai the original story is so good that its very difficult to remake successfully</v>
      </c>
      <c r="D1074">
        <v>0</v>
      </c>
      <c r="E1074">
        <v>3</v>
      </c>
      <c r="F1074" t="s">
        <v>0</v>
      </c>
      <c r="G1074" t="str" cm="1">
        <f t="array" ref="G1074" xml:space="preserve"> FindCountryName(F1074)</f>
        <v>None</v>
      </c>
      <c r="H1074" s="1">
        <v>45306.425509259258</v>
      </c>
      <c r="I1074" s="1">
        <v>45306.425509259258</v>
      </c>
      <c r="J1074" s="1">
        <v>40636.54078703704</v>
      </c>
      <c r="K1074" cm="1">
        <f t="array" ref="K1074" xml:space="preserve"> sentimentCalc(C1074)</f>
        <v>3</v>
      </c>
      <c r="L1074" t="str" cm="1">
        <f t="array" ref="L1074" xml:space="preserve"> sentimentCategory(K1074)</f>
        <v>Positive</v>
      </c>
    </row>
    <row r="1075" spans="1:12">
      <c r="A1075" t="s">
        <v>779</v>
      </c>
      <c r="B1075" t="s">
        <v>3437</v>
      </c>
      <c r="C1075" t="str" cm="1">
        <f t="array" ref="C1075" xml:space="preserve"> CleanText(B1075)</f>
        <v>_xDD26__xDFFD_♂ its gobba be cringe</v>
      </c>
      <c r="D1075">
        <v>0</v>
      </c>
      <c r="E1075">
        <v>0</v>
      </c>
      <c r="F1075" t="s">
        <v>0</v>
      </c>
      <c r="G1075" t="str" cm="1">
        <f t="array" ref="G1075" xml:space="preserve"> FindCountryName(F1075)</f>
        <v>None</v>
      </c>
      <c r="H1075" s="1">
        <v>45306.375115740739</v>
      </c>
      <c r="I1075" s="1">
        <v>45306.375115740739</v>
      </c>
      <c r="J1075" s="1">
        <v>42800.538055555553</v>
      </c>
      <c r="K1075" cm="1">
        <f t="array" ref="K1075" xml:space="preserve"> sentimentCalc(C1075)</f>
        <v>0</v>
      </c>
      <c r="L1075" t="str" cm="1">
        <f t="array" ref="L1075" xml:space="preserve"> sentimentCategory(K1075)</f>
        <v>Neutral</v>
      </c>
    </row>
    <row r="1076" spans="1:12">
      <c r="A1076" t="s">
        <v>2044</v>
      </c>
      <c r="B1076" t="s">
        <v>3436</v>
      </c>
      <c r="C1076" t="str" cm="1">
        <f t="array" ref="C1076" xml:space="preserve"> CleanText(B1076)</f>
        <v>i hate that iroh isnt an actual old guy but a middle aged man made to look old looks very silly and this is such an important character</v>
      </c>
      <c r="D1076">
        <v>0</v>
      </c>
      <c r="E1076">
        <v>1</v>
      </c>
      <c r="F1076" t="s">
        <v>0</v>
      </c>
      <c r="G1076" t="str" cm="1">
        <f t="array" ref="G1076" xml:space="preserve"> FindCountryName(F1076)</f>
        <v>None</v>
      </c>
      <c r="H1076" s="1">
        <v>45306.342847222222</v>
      </c>
      <c r="I1076" s="1">
        <v>45306.342847222222</v>
      </c>
      <c r="J1076" s="1">
        <v>40639.226701388892</v>
      </c>
      <c r="K1076" cm="1">
        <f t="array" ref="K1076" xml:space="preserve"> sentimentCalc(C1076)</f>
        <v>-2</v>
      </c>
      <c r="L1076" t="str" cm="1">
        <f t="array" ref="L1076" xml:space="preserve"> sentimentCategory(K1076)</f>
        <v>Negative</v>
      </c>
    </row>
    <row r="1077" spans="1:12">
      <c r="A1077" t="s">
        <v>190</v>
      </c>
      <c r="B1077" t="s">
        <v>3435</v>
      </c>
      <c r="C1077" t="str" cm="1">
        <f t="array" ref="C1077" xml:space="preserve"> CleanText(B1077)</f>
        <v>oh boy this is going to be another memes for this year good luck oong_xDE05_</v>
      </c>
      <c r="D1077">
        <v>0</v>
      </c>
      <c r="E1077">
        <v>0</v>
      </c>
      <c r="F1077" t="s">
        <v>633</v>
      </c>
      <c r="G1077" t="str" cm="1">
        <f t="array" ref="G1077" xml:space="preserve"> FindCountryName(F1077)</f>
        <v>Indonesia</v>
      </c>
      <c r="H1077" s="1">
        <v>45306.246724537035</v>
      </c>
      <c r="I1077" s="1">
        <v>45306.246724537035</v>
      </c>
      <c r="J1077" s="1">
        <v>42445.47111111111</v>
      </c>
      <c r="K1077" cm="1">
        <f t="array" ref="K1077" xml:space="preserve"> sentimentCalc(C1077)</f>
        <v>6</v>
      </c>
      <c r="L1077" t="str" cm="1">
        <f t="array" ref="L1077" xml:space="preserve"> sentimentCategory(K1077)</f>
        <v>Positive</v>
      </c>
    </row>
    <row r="1078" spans="1:12">
      <c r="A1078" t="s">
        <v>1067</v>
      </c>
      <c r="B1078" t="s">
        <v>3434</v>
      </c>
      <c r="C1078" t="str" cm="1">
        <f t="array" ref="C1078" xml:space="preserve"> CleanText(B1078)</f>
        <v>this is ass</v>
      </c>
      <c r="D1078">
        <v>0</v>
      </c>
      <c r="E1078">
        <v>2</v>
      </c>
      <c r="F1078" t="s">
        <v>0</v>
      </c>
      <c r="G1078" t="str" cm="1">
        <f t="array" ref="G1078" xml:space="preserve"> FindCountryName(F1078)</f>
        <v>None</v>
      </c>
      <c r="H1078" s="1">
        <v>45306.203877314816</v>
      </c>
      <c r="I1078" s="1">
        <v>45306.203877314816</v>
      </c>
      <c r="J1078" s="1">
        <v>42712.848379629628</v>
      </c>
      <c r="K1078" cm="1">
        <f t="array" ref="K1078" xml:space="preserve"> sentimentCalc(C1078)</f>
        <v>-4</v>
      </c>
      <c r="L1078" t="str" cm="1">
        <f t="array" ref="L1078" xml:space="preserve"> sentimentCategory(K1078)</f>
        <v>Negative</v>
      </c>
    </row>
    <row r="1079" spans="1:12">
      <c r="A1079" t="s">
        <v>2065</v>
      </c>
      <c r="B1079" t="s">
        <v>3433</v>
      </c>
      <c r="C1079" t="str" cm="1">
        <f t="array" ref="C1079" xml:space="preserve"> CleanText(B1079)</f>
        <v>while on my way to work i applied my foot to the breaks in the hopes of stopping just in time i did not stop in time and hit someones fender luckily the man was bald head and knew how to air bend before he left he told me i hope this is your last time being a careless driver after  minutes of looking for him he vanished  weeks later at a mcdonalds i thought i saw him because a bald man walked in the store just as the wind blew yes i work at mcdonalds in this story anyways he walked and said he wanted to buy a burger i asked if he was the bald head dude that i hit he didnt say a word i told him hey man i dont like bald people not telling me there name he said his name was ang or something he told me he came from memphis and likes to listen to jazz occasionally after a bit of time i realized this man was the last air bending fry cooker i told my manager about his wonderful powers to keep the fries evenly distributed so you get a  ratio oil to potato after his disappearance we were attacked by the karans their power growing stronger and stronger when the restaurant needed you the most you disappeared i said now that he was back turns out he had about  weeks of pto so i guess he didnt really have to work since he didnt enter his time in though that did have to be readjusted so he wouldnt get fired when he was on break the fry cooking bender returned to making those delicious fries and he was really good at it maybe he was ang or paul not sure he does this cool thing where the arrow on his head turns blue and he just serves food slightly faster idk what he calls it but it keeps me from having to walk to people so i will take it as a win</v>
      </c>
      <c r="D1079">
        <v>1</v>
      </c>
      <c r="E1079">
        <v>0</v>
      </c>
      <c r="F1079" t="s">
        <v>0</v>
      </c>
      <c r="G1079" t="str" cm="1">
        <f t="array" ref="G1079" xml:space="preserve"> FindCountryName(F1079)</f>
        <v>None</v>
      </c>
      <c r="H1079" s="1">
        <v>45306.12327546296</v>
      </c>
      <c r="I1079" s="1">
        <v>45306.12327546296</v>
      </c>
      <c r="J1079" s="1">
        <v>45211.046666666669</v>
      </c>
      <c r="K1079" cm="1">
        <f t="array" ref="K1079" xml:space="preserve"> sentimentCalc(C1079)</f>
        <v>21</v>
      </c>
      <c r="L1079" t="str" cm="1">
        <f t="array" ref="L1079" xml:space="preserve"> sentimentCategory(K1079)</f>
        <v>Positive</v>
      </c>
    </row>
    <row r="1080" spans="1:12">
      <c r="A1080" t="s">
        <v>3432</v>
      </c>
      <c r="B1080" t="s">
        <v>3431</v>
      </c>
      <c r="C1080" t="str" cm="1">
        <f t="array" ref="C1080" xml:space="preserve"> CleanText(B1080)</f>
        <v>please have english dub</v>
      </c>
      <c r="D1080">
        <v>0</v>
      </c>
      <c r="E1080">
        <v>3</v>
      </c>
      <c r="F1080" t="s">
        <v>0</v>
      </c>
      <c r="G1080" t="str" cm="1">
        <f t="array" ref="G1080" xml:space="preserve"> FindCountryName(F1080)</f>
        <v>None</v>
      </c>
      <c r="H1080" s="1">
        <v>45306.093252314815</v>
      </c>
      <c r="I1080" s="1">
        <v>45306.093252314815</v>
      </c>
      <c r="J1080" s="1">
        <v>38928.368217592593</v>
      </c>
      <c r="K1080" cm="1">
        <f t="array" ref="K1080" xml:space="preserve"> sentimentCalc(C1080)</f>
        <v>1</v>
      </c>
      <c r="L1080" t="str" cm="1">
        <f t="array" ref="L1080" xml:space="preserve"> sentimentCategory(K1080)</f>
        <v>Positive</v>
      </c>
    </row>
    <row r="1081" spans="1:12">
      <c r="A1081" t="s">
        <v>3430</v>
      </c>
      <c r="B1081" t="s">
        <v>3429</v>
      </c>
      <c r="C1081" t="str" cm="1">
        <f t="array" ref="C1081" xml:space="preserve"> CleanText(B1081)</f>
        <v>actually looks fire</v>
      </c>
      <c r="D1081">
        <v>2</v>
      </c>
      <c r="E1081">
        <v>0</v>
      </c>
      <c r="F1081" t="s">
        <v>0</v>
      </c>
      <c r="G1081" t="str" cm="1">
        <f t="array" ref="G1081" xml:space="preserve"> FindCountryName(F1081)</f>
        <v>None</v>
      </c>
      <c r="H1081" s="1">
        <v>45306.042002314818</v>
      </c>
      <c r="I1081" s="1">
        <v>45306.042002314818</v>
      </c>
      <c r="J1081" s="1">
        <v>45104.670659722222</v>
      </c>
      <c r="K1081" cm="1">
        <f t="array" ref="K1081" xml:space="preserve"> sentimentCalc(C1081)</f>
        <v>-2</v>
      </c>
      <c r="L1081" t="str" cm="1">
        <f t="array" ref="L1081" xml:space="preserve"> sentimentCategory(K1081)</f>
        <v>Negative</v>
      </c>
    </row>
    <row r="1082" spans="1:12">
      <c r="A1082" t="s">
        <v>2700</v>
      </c>
      <c r="B1082" t="s">
        <v>3428</v>
      </c>
      <c r="C1082" t="str" cm="1">
        <f t="array" ref="C1082" xml:space="preserve"> CleanText(B1082)</f>
        <v>_xDD2E_ n</v>
      </c>
      <c r="D1082">
        <v>0</v>
      </c>
      <c r="E1082">
        <v>1</v>
      </c>
      <c r="F1082" t="s">
        <v>0</v>
      </c>
      <c r="G1082" t="str" cm="1">
        <f t="array" ref="G1082" xml:space="preserve"> FindCountryName(F1082)</f>
        <v>None</v>
      </c>
      <c r="H1082" s="1">
        <v>45306.015104166669</v>
      </c>
      <c r="I1082" s="1">
        <v>45306.015104166669</v>
      </c>
      <c r="J1082" s="1">
        <v>44785.504525462966</v>
      </c>
      <c r="K1082" cm="1">
        <f t="array" ref="K1082" xml:space="preserve"> sentimentCalc(C1082)</f>
        <v>0</v>
      </c>
      <c r="L1082" t="str" cm="1">
        <f t="array" ref="L1082" xml:space="preserve"> sentimentCategory(K1082)</f>
        <v>Neutral</v>
      </c>
    </row>
    <row r="1083" spans="1:12">
      <c r="A1083" t="s">
        <v>2067</v>
      </c>
      <c r="B1083" t="s">
        <v>3427</v>
      </c>
      <c r="C1083" t="str" cm="1">
        <f t="array" ref="C1083" xml:space="preserve"> CleanText(B1083)</f>
        <v>dont u dare to mess with the best show ever existed in humanity</v>
      </c>
      <c r="D1083">
        <v>1</v>
      </c>
      <c r="E1083">
        <v>0</v>
      </c>
      <c r="F1083" t="s">
        <v>1250</v>
      </c>
      <c r="G1083" t="str" cm="1">
        <f t="array" ref="G1083" xml:space="preserve"> FindCountryName(F1083)</f>
        <v>Argentina</v>
      </c>
      <c r="H1083" s="1">
        <v>45305.991944444446</v>
      </c>
      <c r="I1083" s="1">
        <v>45305.991944444446</v>
      </c>
      <c r="J1083" s="1">
        <v>42649.785486111112</v>
      </c>
      <c r="K1083" cm="1">
        <f t="array" ref="K1083" xml:space="preserve"> sentimentCalc(C1083)</f>
        <v>1</v>
      </c>
      <c r="L1083" t="str" cm="1">
        <f t="array" ref="L1083" xml:space="preserve"> sentimentCategory(K1083)</f>
        <v>Positive</v>
      </c>
    </row>
    <row r="1084" spans="1:12">
      <c r="A1084" t="s">
        <v>924</v>
      </c>
      <c r="B1084" t="s">
        <v>3426</v>
      </c>
      <c r="C1084" t="str" cm="1">
        <f t="array" ref="C1084" xml:space="preserve"> CleanText(B1084)</f>
        <v>m night shamylan will be the cabbage man _xDD6C_</v>
      </c>
      <c r="D1084">
        <v>1</v>
      </c>
      <c r="E1084">
        <v>0</v>
      </c>
      <c r="F1084" t="s">
        <v>0</v>
      </c>
      <c r="G1084" t="str" cm="1">
        <f t="array" ref="G1084" xml:space="preserve"> FindCountryName(F1084)</f>
        <v>None</v>
      </c>
      <c r="H1084" s="1">
        <v>45305.929756944446</v>
      </c>
      <c r="I1084" s="1">
        <v>45305.929756944446</v>
      </c>
      <c r="J1084" s="1">
        <v>42259.803483796299</v>
      </c>
      <c r="K1084" cm="1">
        <f t="array" ref="K1084" xml:space="preserve"> sentimentCalc(C1084)</f>
        <v>0</v>
      </c>
      <c r="L1084" t="str" cm="1">
        <f t="array" ref="L1084" xml:space="preserve"> sentimentCategory(K1084)</f>
        <v>Neutral</v>
      </c>
    </row>
    <row r="1085" spans="1:12">
      <c r="A1085" t="s">
        <v>320</v>
      </c>
      <c r="B1085" t="s">
        <v>3425</v>
      </c>
      <c r="C1085" t="str" cm="1">
        <f t="array" ref="C1085" xml:space="preserve"> CleanText(B1085)</f>
        <v>predication its going to have the same problem as the last live action adaptation it will be too serious and rely too much on cgi i hope im wrong</v>
      </c>
      <c r="D1085">
        <v>0</v>
      </c>
      <c r="E1085">
        <v>1</v>
      </c>
      <c r="F1085" t="s">
        <v>0</v>
      </c>
      <c r="G1085" t="str" cm="1">
        <f t="array" ref="G1085" xml:space="preserve"> FindCountryName(F1085)</f>
        <v>None</v>
      </c>
      <c r="H1085" s="1">
        <v>45305.904652777775</v>
      </c>
      <c r="I1085" s="1">
        <v>45305.904652777775</v>
      </c>
      <c r="J1085" s="1">
        <v>42142.436828703707</v>
      </c>
      <c r="K1085" cm="1">
        <f t="array" ref="K1085" xml:space="preserve"> sentimentCalc(C1085)</f>
        <v>-2</v>
      </c>
      <c r="L1085" t="str" cm="1">
        <f t="array" ref="L1085" xml:space="preserve"> sentimentCategory(K1085)</f>
        <v>Negative</v>
      </c>
    </row>
    <row r="1086" spans="1:12">
      <c r="A1086" t="s">
        <v>273</v>
      </c>
      <c r="B1086" t="s">
        <v>3424</v>
      </c>
      <c r="C1086" t="str" cm="1">
        <f t="array" ref="C1086" xml:space="preserve"> CleanText(B1086)</f>
        <v>nooooooooooooooooooooooooooooooooooooooooooo</v>
      </c>
      <c r="D1086">
        <v>0</v>
      </c>
      <c r="E1086">
        <v>2</v>
      </c>
      <c r="F1086" t="s">
        <v>0</v>
      </c>
      <c r="G1086" t="str" cm="1">
        <f t="array" ref="G1086" xml:space="preserve"> FindCountryName(F1086)</f>
        <v>None</v>
      </c>
      <c r="H1086" s="1">
        <v>45305.902453703704</v>
      </c>
      <c r="I1086" s="1">
        <v>45305.902453703704</v>
      </c>
      <c r="J1086" s="1">
        <v>42425.041712962964</v>
      </c>
      <c r="K1086" cm="1">
        <f t="array" ref="K1086" xml:space="preserve"> sentimentCalc(C1086)</f>
        <v>0</v>
      </c>
      <c r="L1086" t="str" cm="1">
        <f t="array" ref="L1086" xml:space="preserve"> sentimentCategory(K1086)</f>
        <v>Neutral</v>
      </c>
    </row>
    <row r="1087" spans="1:12">
      <c r="A1087" t="s">
        <v>2331</v>
      </c>
      <c r="B1087" t="s">
        <v>3423</v>
      </c>
      <c r="C1087" t="str" cm="1">
        <f t="array" ref="C1087" xml:space="preserve"> CleanText(B1087)</f>
        <v>this looks almost just as bad as the first live action remake</v>
      </c>
      <c r="D1087">
        <v>0</v>
      </c>
      <c r="E1087">
        <v>1</v>
      </c>
      <c r="F1087" t="s">
        <v>0</v>
      </c>
      <c r="G1087" t="str" cm="1">
        <f t="array" ref="G1087" xml:space="preserve"> FindCountryName(F1087)</f>
        <v>None</v>
      </c>
      <c r="H1087" s="1">
        <v>45305.889756944445</v>
      </c>
      <c r="I1087" s="1">
        <v>45305.889756944445</v>
      </c>
      <c r="J1087" s="1">
        <v>40893.621064814812</v>
      </c>
      <c r="K1087" cm="1">
        <f t="array" ref="K1087" xml:space="preserve"> sentimentCalc(C1087)</f>
        <v>-3</v>
      </c>
      <c r="L1087" t="str" cm="1">
        <f t="array" ref="L1087" xml:space="preserve"> sentimentCategory(K1087)</f>
        <v>Negative</v>
      </c>
    </row>
    <row r="1088" spans="1:12">
      <c r="A1088" t="s">
        <v>255</v>
      </c>
      <c r="B1088" t="s">
        <v>3422</v>
      </c>
      <c r="C1088" t="str" cm="1">
        <f t="array" ref="C1088" xml:space="preserve"> CleanText(B1088)</f>
        <v>after knowing how the last movies failed so badlybegin again</v>
      </c>
      <c r="D1088">
        <v>0</v>
      </c>
      <c r="E1088">
        <v>1</v>
      </c>
      <c r="F1088" t="s">
        <v>0</v>
      </c>
      <c r="G1088" t="str" cm="1">
        <f t="array" ref="G1088" xml:space="preserve"> FindCountryName(F1088)</f>
        <v>None</v>
      </c>
      <c r="H1088" s="1">
        <v>45305.888240740744</v>
      </c>
      <c r="I1088" s="1">
        <v>45305.888240740744</v>
      </c>
      <c r="J1088" s="1">
        <v>41464.754965277774</v>
      </c>
      <c r="K1088" cm="1">
        <f t="array" ref="K1088" xml:space="preserve"> sentimentCalc(C1088)</f>
        <v>-2</v>
      </c>
      <c r="L1088" t="str" cm="1">
        <f t="array" ref="L1088" xml:space="preserve"> sentimentCategory(K1088)</f>
        <v>Negative</v>
      </c>
    </row>
    <row r="1089" spans="1:12">
      <c r="A1089" t="s">
        <v>1154</v>
      </c>
      <c r="B1089" t="s">
        <v>3421</v>
      </c>
      <c r="C1089" t="str" cm="1">
        <f t="array" ref="C1089" xml:space="preserve"> CleanText(B1089)</f>
        <v>i lost my faith in the life actionsthanks and bye</v>
      </c>
      <c r="D1089">
        <v>0</v>
      </c>
      <c r="E1089">
        <v>0</v>
      </c>
      <c r="F1089" t="s">
        <v>0</v>
      </c>
      <c r="G1089" t="str" cm="1">
        <f t="array" ref="G1089" xml:space="preserve"> FindCountryName(F1089)</f>
        <v>None</v>
      </c>
      <c r="H1089" s="1">
        <v>45305.878321759257</v>
      </c>
      <c r="I1089" s="1">
        <v>45305.878321759257</v>
      </c>
      <c r="J1089" s="1">
        <v>42027.734583333331</v>
      </c>
      <c r="K1089" cm="1">
        <f t="array" ref="K1089" xml:space="preserve"> sentimentCalc(C1089)</f>
        <v>-2</v>
      </c>
      <c r="L1089" t="str" cm="1">
        <f t="array" ref="L1089" xml:space="preserve"> sentimentCategory(K1089)</f>
        <v>Negative</v>
      </c>
    </row>
    <row r="1090" spans="1:12">
      <c r="A1090" t="s">
        <v>640</v>
      </c>
      <c r="B1090" t="s">
        <v>3420</v>
      </c>
      <c r="C1090" t="str" cm="1">
        <f t="array" ref="C1090" xml:space="preserve"> CleanText(B1090)</f>
        <v>its alright they better not screw up</v>
      </c>
      <c r="D1090">
        <v>1</v>
      </c>
      <c r="E1090">
        <v>0</v>
      </c>
      <c r="F1090" t="s">
        <v>0</v>
      </c>
      <c r="G1090" t="str" cm="1">
        <f t="array" ref="G1090" xml:space="preserve"> FindCountryName(F1090)</f>
        <v>None</v>
      </c>
      <c r="H1090" s="1">
        <v>45305.873078703706</v>
      </c>
      <c r="I1090" s="1">
        <v>45305.873078703706</v>
      </c>
      <c r="J1090" s="1">
        <v>41272.343425925923</v>
      </c>
      <c r="K1090" cm="1">
        <f t="array" ref="K1090" xml:space="preserve"> sentimentCalc(C1090)</f>
        <v>2</v>
      </c>
      <c r="L1090" t="str" cm="1">
        <f t="array" ref="L1090" xml:space="preserve"> sentimentCategory(K1090)</f>
        <v>Positive</v>
      </c>
    </row>
    <row r="1091" spans="1:12">
      <c r="A1091" t="s">
        <v>612</v>
      </c>
      <c r="B1091" t="s">
        <v>3419</v>
      </c>
      <c r="C1091" t="str" cm="1">
        <f t="array" ref="C1091" xml:space="preserve"> CleanText(B1091)</f>
        <v>the fact that they use original sound track means they respect the original cartoon series for asian culture respect for the elderly or the one the come before you is big thing thats why it looks promising _xDE0A_</v>
      </c>
      <c r="D1091">
        <v>1</v>
      </c>
      <c r="E1091">
        <v>0</v>
      </c>
      <c r="F1091" t="s">
        <v>452</v>
      </c>
      <c r="G1091" t="str" cm="1">
        <f t="array" ref="G1091" xml:space="preserve"> FindCountryName(F1091)</f>
        <v>Japan</v>
      </c>
      <c r="H1091" s="1">
        <v>45305.858414351853</v>
      </c>
      <c r="I1091" s="1">
        <v>45305.858414351853</v>
      </c>
      <c r="J1091" s="1">
        <v>43171.771805555552</v>
      </c>
      <c r="K1091" cm="1">
        <f t="array" ref="K1091" xml:space="preserve"> sentimentCalc(C1091)</f>
        <v>1</v>
      </c>
      <c r="L1091" t="str" cm="1">
        <f t="array" ref="L1091" xml:space="preserve"> sentimentCategory(K1091)</f>
        <v>Positive</v>
      </c>
    </row>
    <row r="1092" spans="1:12">
      <c r="A1092" t="s">
        <v>779</v>
      </c>
      <c r="B1092" t="s">
        <v>3418</v>
      </c>
      <c r="C1092" t="str" cm="1">
        <f t="array" ref="C1092" xml:space="preserve"> CleanText(B1092)</f>
        <v>omg thats looks fckin cool big budget</v>
      </c>
      <c r="D1092">
        <v>1</v>
      </c>
      <c r="E1092">
        <v>0</v>
      </c>
      <c r="F1092" t="s">
        <v>0</v>
      </c>
      <c r="G1092" t="str" cm="1">
        <f t="array" ref="G1092" xml:space="preserve"> FindCountryName(F1092)</f>
        <v>None</v>
      </c>
      <c r="H1092" s="1">
        <v>45305.830069444448</v>
      </c>
      <c r="I1092" s="1">
        <v>45305.830069444448</v>
      </c>
      <c r="J1092" s="1">
        <v>42863.214583333334</v>
      </c>
      <c r="K1092" cm="1">
        <f t="array" ref="K1092" xml:space="preserve"> sentimentCalc(C1092)</f>
        <v>2</v>
      </c>
      <c r="L1092" t="str" cm="1">
        <f t="array" ref="L1092" xml:space="preserve"> sentimentCategory(K1092)</f>
        <v>Positive</v>
      </c>
    </row>
    <row r="1093" spans="1:12">
      <c r="A1093" t="s">
        <v>865</v>
      </c>
      <c r="B1093" t="s">
        <v>3417</v>
      </c>
      <c r="C1093" t="str" cm="1">
        <f t="array" ref="C1093" xml:space="preserve"> CleanText(B1093)</f>
        <v>animations look like a shit tbh</v>
      </c>
      <c r="D1093">
        <v>0</v>
      </c>
      <c r="E1093">
        <v>1</v>
      </c>
      <c r="F1093" t="s">
        <v>0</v>
      </c>
      <c r="G1093" t="str" cm="1">
        <f t="array" ref="G1093" xml:space="preserve"> FindCountryName(F1093)</f>
        <v>None</v>
      </c>
      <c r="H1093" s="1">
        <v>45305.710266203707</v>
      </c>
      <c r="I1093" s="1">
        <v>45305.710266203707</v>
      </c>
      <c r="J1093" s="1">
        <v>42866.327106481483</v>
      </c>
      <c r="K1093" cm="1">
        <f t="array" ref="K1093" xml:space="preserve"> sentimentCalc(C1093)</f>
        <v>2</v>
      </c>
      <c r="L1093" t="str" cm="1">
        <f t="array" ref="L1093" xml:space="preserve"> sentimentCategory(K1093)</f>
        <v>Positive</v>
      </c>
    </row>
    <row r="1094" spans="1:12">
      <c r="A1094" t="s">
        <v>938</v>
      </c>
      <c r="B1094" t="s">
        <v>3416</v>
      </c>
      <c r="C1094" t="str" cm="1">
        <f t="array" ref="C1094" xml:space="preserve"> CleanText(B1094)</f>
        <v>its not that difficult to improve from a previous adaptation even the triler already has better casts and vfx but nothing can top the original nonetheless id love to be proven wrong</v>
      </c>
      <c r="D1094">
        <v>1</v>
      </c>
      <c r="E1094">
        <v>2</v>
      </c>
      <c r="F1094" t="s">
        <v>633</v>
      </c>
      <c r="G1094" t="str" cm="1">
        <f t="array" ref="G1094" xml:space="preserve"> FindCountryName(F1094)</f>
        <v>Indonesia</v>
      </c>
      <c r="H1094" s="1">
        <v>45305.643657407411</v>
      </c>
      <c r="I1094" s="1">
        <v>45305.643657407411</v>
      </c>
      <c r="J1094" s="1">
        <v>42841.4690625</v>
      </c>
      <c r="K1094" cm="1">
        <f t="array" ref="K1094" xml:space="preserve"> sentimentCalc(C1094)</f>
        <v>6</v>
      </c>
      <c r="L1094" t="str" cm="1">
        <f t="array" ref="L1094" xml:space="preserve"> sentimentCategory(K1094)</f>
        <v>Positive</v>
      </c>
    </row>
    <row r="1095" spans="1:12">
      <c r="A1095" t="s">
        <v>2385</v>
      </c>
      <c r="B1095" t="s">
        <v>3415</v>
      </c>
      <c r="C1095" t="str" cm="1">
        <f t="array" ref="C1095" xml:space="preserve"> CleanText(B1095)</f>
        <v>i truly hope netflix did a great job here not space for middle terms you either leave the original series alone or do an incredible live action show</v>
      </c>
      <c r="D1095">
        <v>0</v>
      </c>
      <c r="E1095">
        <v>0</v>
      </c>
      <c r="F1095" t="s">
        <v>0</v>
      </c>
      <c r="G1095" t="str" cm="1">
        <f t="array" ref="G1095" xml:space="preserve"> FindCountryName(F1095)</f>
        <v>None</v>
      </c>
      <c r="H1095" s="1">
        <v>45305.570474537039</v>
      </c>
      <c r="I1095" s="1">
        <v>45305.570474537039</v>
      </c>
      <c r="J1095" s="1">
        <v>41374.65184027778</v>
      </c>
      <c r="K1095" cm="1">
        <f t="array" ref="K1095" xml:space="preserve"> sentimentCalc(C1095)</f>
        <v>2</v>
      </c>
      <c r="L1095" t="str" cm="1">
        <f t="array" ref="L1095" xml:space="preserve"> sentimentCategory(K1095)</f>
        <v>Positive</v>
      </c>
    </row>
    <row r="1096" spans="1:12">
      <c r="A1096" t="s">
        <v>304</v>
      </c>
      <c r="B1096" t="s">
        <v>3414</v>
      </c>
      <c r="C1096" t="str" cm="1">
        <f t="array" ref="C1096" xml:space="preserve"> CleanText(B1096)</f>
        <v>i want to see an animated series of the adult gang not the live action version</v>
      </c>
      <c r="D1096">
        <v>0</v>
      </c>
      <c r="E1096">
        <v>1</v>
      </c>
      <c r="F1096" t="s">
        <v>0</v>
      </c>
      <c r="G1096" t="str" cm="1">
        <f t="array" ref="G1096" xml:space="preserve"> FindCountryName(F1096)</f>
        <v>None</v>
      </c>
      <c r="H1096" s="1">
        <v>45305.569537037038</v>
      </c>
      <c r="I1096" s="1">
        <v>45305.569537037038</v>
      </c>
      <c r="J1096" s="1">
        <v>43359.951724537037</v>
      </c>
      <c r="K1096" cm="1">
        <f t="array" ref="K1096" xml:space="preserve"> sentimentCalc(C1096)</f>
        <v>1</v>
      </c>
      <c r="L1096" t="str" cm="1">
        <f t="array" ref="L1096" xml:space="preserve"> sentimentCategory(K1096)</f>
        <v>Positive</v>
      </c>
    </row>
    <row r="1097" spans="1:12">
      <c r="A1097" t="s">
        <v>420</v>
      </c>
      <c r="B1097" t="s">
        <v>3413</v>
      </c>
      <c r="C1097" t="str" cm="1">
        <f t="array" ref="C1097" xml:space="preserve"> CleanText(B1097)</f>
        <v>this has the chance to be really gay and bad but it also has the chance to be good</v>
      </c>
      <c r="D1097">
        <v>0</v>
      </c>
      <c r="E1097">
        <v>0</v>
      </c>
      <c r="F1097" t="s">
        <v>0</v>
      </c>
      <c r="G1097" t="str" cm="1">
        <f t="array" ref="G1097" xml:space="preserve"> FindCountryName(F1097)</f>
        <v>None</v>
      </c>
      <c r="H1097" s="1">
        <v>45305.530636574076</v>
      </c>
      <c r="I1097" s="1">
        <v>45305.530636574076</v>
      </c>
      <c r="J1097" s="1">
        <v>45305.530613425923</v>
      </c>
      <c r="K1097" cm="1">
        <f t="array" ref="K1097" xml:space="preserve"> sentimentCalc(C1097)</f>
        <v>4</v>
      </c>
      <c r="L1097" t="str" cm="1">
        <f t="array" ref="L1097" xml:space="preserve"> sentimentCategory(K1097)</f>
        <v>Positive</v>
      </c>
    </row>
    <row r="1098" spans="1:12">
      <c r="A1098" t="s">
        <v>745</v>
      </c>
      <c r="B1098" t="s">
        <v>3412</v>
      </c>
      <c r="C1098" t="str" cm="1">
        <f t="array" ref="C1098" xml:space="preserve"> CleanText(B1098)</f>
        <v>hmmmm cautiously optimistic is the way to go</v>
      </c>
      <c r="D1098">
        <v>2</v>
      </c>
      <c r="E1098">
        <v>0</v>
      </c>
      <c r="F1098" t="s">
        <v>0</v>
      </c>
      <c r="G1098" t="str" cm="1">
        <f t="array" ref="G1098" xml:space="preserve"> FindCountryName(F1098)</f>
        <v>None</v>
      </c>
      <c r="H1098" s="1">
        <v>45305.514803240738</v>
      </c>
      <c r="I1098" s="1">
        <v>45305.514803240738</v>
      </c>
      <c r="J1098" s="1">
        <v>41425.883310185185</v>
      </c>
      <c r="K1098" cm="1">
        <f t="array" ref="K1098" xml:space="preserve"> sentimentCalc(C1098)</f>
        <v>2</v>
      </c>
      <c r="L1098" t="str" cm="1">
        <f t="array" ref="L1098" xml:space="preserve"> sentimentCategory(K1098)</f>
        <v>Positive</v>
      </c>
    </row>
    <row r="1099" spans="1:12">
      <c r="A1099" t="s">
        <v>691</v>
      </c>
      <c r="B1099" t="s">
        <v>3411</v>
      </c>
      <c r="C1099" t="str" cm="1">
        <f t="array" ref="C1099" xml:space="preserve"> CleanText(B1099)</f>
        <v>any updates on when the main trailer will release i feel like it will probably still release in the window of jan 62. but there just hasnt been any announcements or news</v>
      </c>
      <c r="D1099">
        <v>8</v>
      </c>
      <c r="E1099">
        <v>3</v>
      </c>
      <c r="F1099" t="s">
        <v>1961</v>
      </c>
      <c r="G1099" t="str" cm="1">
        <f t="array" ref="G1099" xml:space="preserve"> FindCountryName(F1099)</f>
        <v>Australia</v>
      </c>
      <c r="H1099" s="1">
        <v>45305.394131944442</v>
      </c>
      <c r="I1099" s="1">
        <v>45305.394131944442</v>
      </c>
      <c r="J1099" s="1">
        <v>43023.987013888887</v>
      </c>
      <c r="K1099" cm="1">
        <f t="array" ref="K1099" xml:space="preserve"> sentimentCalc(C1099)</f>
        <v>2</v>
      </c>
      <c r="L1099" t="str" cm="1">
        <f t="array" ref="L1099" xml:space="preserve"> sentimentCategory(K1099)</f>
        <v>Positive</v>
      </c>
    </row>
    <row r="1100" spans="1:12">
      <c r="A1100" t="s">
        <v>2681</v>
      </c>
      <c r="B1100" t="s">
        <v>3410</v>
      </c>
      <c r="C1100" t="str" cm="1">
        <f t="array" ref="C1100" xml:space="preserve"> CleanText(B1100)</f>
        <v>me gust esta pelcula</v>
      </c>
      <c r="D1100">
        <v>0</v>
      </c>
      <c r="E1100">
        <v>0</v>
      </c>
      <c r="F1100" t="s">
        <v>0</v>
      </c>
      <c r="G1100" t="str" cm="1">
        <f t="array" ref="G1100" xml:space="preserve"> FindCountryName(F1100)</f>
        <v>None</v>
      </c>
      <c r="H1100" s="1">
        <v>45305.3905787037</v>
      </c>
      <c r="I1100" s="1">
        <v>45305.3905787037</v>
      </c>
      <c r="J1100" s="1">
        <v>41998.446099537039</v>
      </c>
      <c r="K1100" cm="1">
        <f t="array" ref="K1100" xml:space="preserve"> sentimentCalc(C1100)</f>
        <v>0</v>
      </c>
      <c r="L1100" t="str" cm="1">
        <f t="array" ref="L1100" xml:space="preserve"> sentimentCategory(K1100)</f>
        <v>Neutral</v>
      </c>
    </row>
    <row r="1101" spans="1:12">
      <c r="A1101" t="s">
        <v>516</v>
      </c>
      <c r="B1101" t="s">
        <v>3409</v>
      </c>
      <c r="C1101" t="str" cm="1">
        <f t="array" ref="C1101" xml:space="preserve"> CleanText(B1101)</f>
        <v>ok gzel bir film herkese tavsiye ederim</v>
      </c>
      <c r="D1101">
        <v>0</v>
      </c>
      <c r="E1101">
        <v>0</v>
      </c>
      <c r="F1101" t="s">
        <v>0</v>
      </c>
      <c r="G1101" t="str" cm="1">
        <f t="array" ref="G1101" xml:space="preserve"> FindCountryName(F1101)</f>
        <v>None</v>
      </c>
      <c r="H1101" s="1">
        <v>45305.306226851855</v>
      </c>
      <c r="I1101" s="1">
        <v>45305.306226851855</v>
      </c>
      <c r="J1101" s="1">
        <v>41703.3203587963</v>
      </c>
      <c r="K1101" cm="1">
        <f t="array" ref="K1101" xml:space="preserve"> sentimentCalc(C1101)</f>
        <v>0</v>
      </c>
      <c r="L1101" t="str" cm="1">
        <f t="array" ref="L1101" xml:space="preserve"> sentimentCategory(K1101)</f>
        <v>Neutral</v>
      </c>
    </row>
    <row r="1102" spans="1:12">
      <c r="A1102" t="s">
        <v>82</v>
      </c>
      <c r="B1102" t="s">
        <v>3408</v>
      </c>
      <c r="C1102" t="str" cm="1">
        <f t="array" ref="C1102" xml:space="preserve"> CleanText(B1102)</f>
        <v>why am i crying watching this</v>
      </c>
      <c r="D1102">
        <v>6</v>
      </c>
      <c r="E1102">
        <v>0</v>
      </c>
      <c r="F1102" t="s">
        <v>0</v>
      </c>
      <c r="G1102" t="str" cm="1">
        <f t="array" ref="G1102" xml:space="preserve"> FindCountryName(F1102)</f>
        <v>None</v>
      </c>
      <c r="H1102" s="1">
        <v>45305.281053240738</v>
      </c>
      <c r="I1102" s="1">
        <v>45305.281053240738</v>
      </c>
      <c r="J1102" s="1">
        <v>41601.914363425924</v>
      </c>
      <c r="K1102" cm="1">
        <f t="array" ref="K1102" xml:space="preserve"> sentimentCalc(C1102)</f>
        <v>-2</v>
      </c>
      <c r="L1102" t="str" cm="1">
        <f t="array" ref="L1102" xml:space="preserve"> sentimentCategory(K1102)</f>
        <v>Negative</v>
      </c>
    </row>
    <row r="1103" spans="1:12">
      <c r="A1103" t="s">
        <v>221</v>
      </c>
      <c r="B1103" t="s">
        <v>3407</v>
      </c>
      <c r="C1103" t="str" cm="1">
        <f t="array" ref="C1103" xml:space="preserve"> CleanText(B1103)</f>
        <v>guzel</v>
      </c>
      <c r="D1103">
        <v>0</v>
      </c>
      <c r="E1103">
        <v>0</v>
      </c>
      <c r="F1103" t="s">
        <v>0</v>
      </c>
      <c r="G1103" t="str" cm="1">
        <f t="array" ref="G1103" xml:space="preserve"> FindCountryName(F1103)</f>
        <v>None</v>
      </c>
      <c r="H1103" s="1">
        <v>45305.277800925927</v>
      </c>
      <c r="I1103" s="1">
        <v>45305.277800925927</v>
      </c>
      <c r="J1103" s="1">
        <v>43958.865324074075</v>
      </c>
      <c r="K1103" cm="1">
        <f t="array" ref="K1103" xml:space="preserve"> sentimentCalc(C1103)</f>
        <v>0</v>
      </c>
      <c r="L1103" t="str" cm="1">
        <f t="array" ref="L1103" xml:space="preserve"> sentimentCategory(K1103)</f>
        <v>Neutral</v>
      </c>
    </row>
    <row r="1104" spans="1:12">
      <c r="A1104" t="s">
        <v>1525</v>
      </c>
      <c r="B1104" t="s">
        <v>3406</v>
      </c>
      <c r="C1104" t="str" cm="1">
        <f t="array" ref="C1104" xml:space="preserve"> CleanText(B1104)</f>
        <v>gayet kaliteli bir film _xDE01_</v>
      </c>
      <c r="D1104">
        <v>0</v>
      </c>
      <c r="E1104">
        <v>0</v>
      </c>
      <c r="F1104" t="s">
        <v>0</v>
      </c>
      <c r="G1104" t="str" cm="1">
        <f t="array" ref="G1104" xml:space="preserve"> FindCountryName(F1104)</f>
        <v>None</v>
      </c>
      <c r="H1104" s="1">
        <v>45305.21670138889</v>
      </c>
      <c r="I1104" s="1">
        <v>45305.21670138889</v>
      </c>
      <c r="J1104" s="1">
        <v>44674.595879629633</v>
      </c>
      <c r="K1104" cm="1">
        <f t="array" ref="K1104" xml:space="preserve"> sentimentCalc(C1104)</f>
        <v>0</v>
      </c>
      <c r="L1104" t="str" cm="1">
        <f t="array" ref="L1104" xml:space="preserve"> sentimentCategory(K1104)</f>
        <v>Neutral</v>
      </c>
    </row>
    <row r="1105" spans="1:12">
      <c r="A1105" t="s">
        <v>1666</v>
      </c>
      <c r="B1105" t="s">
        <v>3405</v>
      </c>
      <c r="C1105" t="str" cm="1">
        <f t="array" ref="C1105" xml:space="preserve"> CleanText(B1105)</f>
        <v>cartoon aang this is way better than a woman playing me in some playavatar korra i hope i get to come out and play in this</v>
      </c>
      <c r="D1105">
        <v>0</v>
      </c>
      <c r="E1105">
        <v>0</v>
      </c>
      <c r="F1105" t="s">
        <v>0</v>
      </c>
      <c r="G1105" t="str" cm="1">
        <f t="array" ref="G1105" xml:space="preserve"> FindCountryName(F1105)</f>
        <v>None</v>
      </c>
      <c r="H1105" s="1">
        <v>45305.178425925929</v>
      </c>
      <c r="I1105" s="1">
        <v>45305.178425925929</v>
      </c>
      <c r="J1105" s="1">
        <v>44773.124108796299</v>
      </c>
      <c r="K1105" cm="1">
        <f t="array" ref="K1105" xml:space="preserve"> sentimentCalc(C1105)</f>
        <v>4</v>
      </c>
      <c r="L1105" t="str" cm="1">
        <f t="array" ref="L1105" xml:space="preserve"> sentimentCategory(K1105)</f>
        <v>Positive</v>
      </c>
    </row>
    <row r="1106" spans="1:12">
      <c r="A1106" t="s">
        <v>2867</v>
      </c>
      <c r="B1106" t="s">
        <v>3404</v>
      </c>
      <c r="C1106" t="str" cm="1">
        <f t="array" ref="C1106" xml:space="preserve"> CleanText(B1106)</f>
        <v>the teaser alone makes me wanna sub to netflix again but ill do the smart thing and w for the reviews from people i trust</v>
      </c>
      <c r="D1106">
        <v>0</v>
      </c>
      <c r="E1106">
        <v>1</v>
      </c>
      <c r="F1106" t="s">
        <v>0</v>
      </c>
      <c r="G1106" t="str" cm="1">
        <f t="array" ref="G1106" xml:space="preserve"> FindCountryName(F1106)</f>
        <v>None</v>
      </c>
      <c r="H1106" s="1">
        <v>45305.142430555556</v>
      </c>
      <c r="I1106" s="1">
        <v>45305.142430555556</v>
      </c>
      <c r="J1106" s="1">
        <v>41369.577476851853</v>
      </c>
      <c r="K1106" cm="1">
        <f t="array" ref="K1106" xml:space="preserve"> sentimentCalc(C1106)</f>
        <v>-2</v>
      </c>
      <c r="L1106" t="str" cm="1">
        <f t="array" ref="L1106" xml:space="preserve"> sentimentCategory(K1106)</f>
        <v>Negative</v>
      </c>
    </row>
    <row r="1107" spans="1:12">
      <c r="A1107" t="s">
        <v>3021</v>
      </c>
      <c r="B1107" t="s">
        <v>3403</v>
      </c>
      <c r="C1107" t="str" cm="1">
        <f t="array" ref="C1107" xml:space="preserve"> CleanText(B1107)</f>
        <v>avatar bir filmden daha fazlasdr_xDF89_</v>
      </c>
      <c r="D1107">
        <v>0</v>
      </c>
      <c r="E1107">
        <v>0</v>
      </c>
      <c r="F1107" t="s">
        <v>0</v>
      </c>
      <c r="G1107" t="str" cm="1">
        <f t="array" ref="G1107" xml:space="preserve"> FindCountryName(F1107)</f>
        <v>None</v>
      </c>
      <c r="H1107" s="1">
        <v>45305.10670138889</v>
      </c>
      <c r="I1107" s="1">
        <v>45305.10670138889</v>
      </c>
      <c r="J1107" s="1">
        <v>45256.641585648147</v>
      </c>
      <c r="K1107" cm="1">
        <f t="array" ref="K1107" xml:space="preserve"> sentimentCalc(C1107)</f>
        <v>0</v>
      </c>
      <c r="L1107" t="str" cm="1">
        <f t="array" ref="L1107" xml:space="preserve"> sentimentCategory(K1107)</f>
        <v>Neutral</v>
      </c>
    </row>
    <row r="1108" spans="1:12">
      <c r="A1108" t="s">
        <v>3402</v>
      </c>
      <c r="B1108" t="s">
        <v>3401</v>
      </c>
      <c r="C1108" t="str" cm="1">
        <f t="array" ref="C1108" xml:space="preserve"> CleanText(B1108)</f>
        <v>i am the avatar</v>
      </c>
      <c r="D1108">
        <v>0</v>
      </c>
      <c r="E1108">
        <v>0</v>
      </c>
      <c r="F1108" t="s">
        <v>19</v>
      </c>
      <c r="G1108" t="str" cm="1">
        <f t="array" ref="G1108" xml:space="preserve"> FindCountryName(F1108)</f>
        <v>United States of America (the)</v>
      </c>
      <c r="H1108" s="1">
        <v>45305.074965277781</v>
      </c>
      <c r="I1108" s="1">
        <v>45305.074965277781</v>
      </c>
      <c r="J1108" s="1">
        <v>41547.519247685188</v>
      </c>
      <c r="K1108" cm="1">
        <f t="array" ref="K1108" xml:space="preserve"> sentimentCalc(C1108)</f>
        <v>0</v>
      </c>
      <c r="L1108" t="str" cm="1">
        <f t="array" ref="L1108" xml:space="preserve"> sentimentCategory(K1108)</f>
        <v>Neutral</v>
      </c>
    </row>
    <row r="1109" spans="1:12">
      <c r="A1109" t="s">
        <v>263</v>
      </c>
      <c r="B1109" t="s">
        <v>3400</v>
      </c>
      <c r="C1109" t="str" cm="1">
        <f t="array" ref="C1109" xml:space="preserve"> CleanText(B1109)</f>
        <v>wtf saka and ketara are black</v>
      </c>
      <c r="D1109">
        <v>0</v>
      </c>
      <c r="E1109">
        <v>2</v>
      </c>
      <c r="F1109" t="s">
        <v>0</v>
      </c>
      <c r="G1109" t="str" cm="1">
        <f t="array" ref="G1109" xml:space="preserve"> FindCountryName(F1109)</f>
        <v>None</v>
      </c>
      <c r="H1109" s="1">
        <v>45305.069861111115</v>
      </c>
      <c r="I1109" s="1">
        <v>45305.069861111115</v>
      </c>
      <c r="J1109" s="1">
        <v>45029.367581018516</v>
      </c>
      <c r="K1109" cm="1">
        <f t="array" ref="K1109" xml:space="preserve"> sentimentCalc(C1109)</f>
        <v>0</v>
      </c>
      <c r="L1109" t="str" cm="1">
        <f t="array" ref="L1109" xml:space="preserve"> sentimentCategory(K1109)</f>
        <v>Neutral</v>
      </c>
    </row>
    <row r="1110" spans="1:12">
      <c r="A1110" t="s">
        <v>2649</v>
      </c>
      <c r="B1110" t="s">
        <v>3399</v>
      </c>
      <c r="C1110" t="str" cm="1">
        <f t="array" ref="C1110" xml:space="preserve"> CleanText(B1110)</f>
        <v>wooooow this looks incredibleeeeee</v>
      </c>
      <c r="D1110">
        <v>1</v>
      </c>
      <c r="E1110">
        <v>0</v>
      </c>
      <c r="F1110" t="s">
        <v>0</v>
      </c>
      <c r="G1110" t="str" cm="1">
        <f t="array" ref="G1110" xml:space="preserve"> FindCountryName(F1110)</f>
        <v>None</v>
      </c>
      <c r="H1110" s="1">
        <v>45305.069027777776</v>
      </c>
      <c r="I1110" s="1">
        <v>45305.069027777776</v>
      </c>
      <c r="J1110" s="1">
        <v>43279.701215277775</v>
      </c>
      <c r="K1110" cm="1">
        <f t="array" ref="K1110" xml:space="preserve"> sentimentCalc(C1110)</f>
        <v>0</v>
      </c>
      <c r="L1110" t="str" cm="1">
        <f t="array" ref="L1110" xml:space="preserve"> sentimentCategory(K1110)</f>
        <v>Neutral</v>
      </c>
    </row>
    <row r="1111" spans="1:12">
      <c r="A1111" t="s">
        <v>622</v>
      </c>
      <c r="B1111" t="s">
        <v>3398</v>
      </c>
      <c r="C1111" t="str" cm="1">
        <f t="array" ref="C1111" xml:space="preserve"> CleanText(B1111)</f>
        <v>please please please dont mess up please please</v>
      </c>
      <c r="D1111">
        <v>1</v>
      </c>
      <c r="E1111">
        <v>0</v>
      </c>
      <c r="F1111" t="s">
        <v>0</v>
      </c>
      <c r="G1111" t="str" cm="1">
        <f t="array" ref="G1111" xml:space="preserve"> FindCountryName(F1111)</f>
        <v>None</v>
      </c>
      <c r="H1111" s="1">
        <v>45305.060891203706</v>
      </c>
      <c r="I1111" s="1">
        <v>45305.060891203706</v>
      </c>
      <c r="J1111" s="1">
        <v>41288.661076388889</v>
      </c>
      <c r="K1111" cm="1">
        <f t="array" ref="K1111" xml:space="preserve"> sentimentCalc(C1111)</f>
        <v>3</v>
      </c>
      <c r="L1111" t="str" cm="1">
        <f t="array" ref="L1111" xml:space="preserve"> sentimentCategory(K1111)</f>
        <v>Positive</v>
      </c>
    </row>
    <row r="1112" spans="1:12">
      <c r="A1112" t="s">
        <v>1782</v>
      </c>
      <c r="B1112" t="s">
        <v>3397</v>
      </c>
      <c r="C1112" t="str" cm="1">
        <f t="array" ref="C1112" xml:space="preserve"> CleanText(B1112)</f>
        <v>whenever you enjoy something as a kid remember there will always be ppl trying to ruin your childhood for money _xDCB0_</v>
      </c>
      <c r="D1112">
        <v>0</v>
      </c>
      <c r="E1112">
        <v>0</v>
      </c>
      <c r="F1112" t="s">
        <v>0</v>
      </c>
      <c r="G1112" t="str" cm="1">
        <f t="array" ref="G1112" xml:space="preserve"> FindCountryName(F1112)</f>
        <v>None</v>
      </c>
      <c r="H1112" s="1">
        <v>45305.054363425923</v>
      </c>
      <c r="I1112" s="1">
        <v>45305.054363425923</v>
      </c>
      <c r="J1112" s="1">
        <v>41543.299837962964</v>
      </c>
      <c r="K1112" cm="1">
        <f t="array" ref="K1112" xml:space="preserve"> sentimentCalc(C1112)</f>
        <v>0</v>
      </c>
      <c r="L1112" t="str" cm="1">
        <f t="array" ref="L1112" xml:space="preserve"> sentimentCategory(K1112)</f>
        <v>Neutral</v>
      </c>
    </row>
    <row r="1113" spans="1:12">
      <c r="A1113" t="s">
        <v>225</v>
      </c>
      <c r="B1113" t="s">
        <v>3396</v>
      </c>
      <c r="C1113" t="str" cm="1">
        <f t="array" ref="C1113" xml:space="preserve"> CleanText(B1113)</f>
        <v>boy this gonna suck</v>
      </c>
      <c r="D1113">
        <v>0</v>
      </c>
      <c r="E1113">
        <v>0</v>
      </c>
      <c r="F1113" t="s">
        <v>0</v>
      </c>
      <c r="G1113" t="str" cm="1">
        <f t="array" ref="G1113" xml:space="preserve"> FindCountryName(F1113)</f>
        <v>None</v>
      </c>
      <c r="H1113" s="1">
        <v>45305.014432870368</v>
      </c>
      <c r="I1113" s="1">
        <v>45305.014432870368</v>
      </c>
      <c r="J1113" s="1">
        <v>42641.239236111112</v>
      </c>
      <c r="K1113" cm="1">
        <f t="array" ref="K1113" xml:space="preserve"> sentimentCalc(C1113)</f>
        <v>-3</v>
      </c>
      <c r="L1113" t="str" cm="1">
        <f t="array" ref="L1113" xml:space="preserve"> sentimentCategory(K1113)</f>
        <v>Negative</v>
      </c>
    </row>
    <row r="1114" spans="1:12">
      <c r="A1114" t="s">
        <v>162</v>
      </c>
      <c r="B1114" t="s">
        <v>3395</v>
      </c>
      <c r="C1114" t="str" cm="1">
        <f t="array" ref="C1114" xml:space="preserve"> CleanText(B1114)</f>
        <v>i am really crossing my fingers on this one</v>
      </c>
      <c r="D1114">
        <v>1</v>
      </c>
      <c r="E1114">
        <v>0</v>
      </c>
      <c r="F1114" t="s">
        <v>0</v>
      </c>
      <c r="G1114" t="str" cm="1">
        <f t="array" ref="G1114" xml:space="preserve"> FindCountryName(F1114)</f>
        <v>None</v>
      </c>
      <c r="H1114" s="1">
        <v>45304.975601851853</v>
      </c>
      <c r="I1114" s="1">
        <v>45304.975601851853</v>
      </c>
      <c r="J1114" s="1">
        <v>40879.043912037036</v>
      </c>
      <c r="K1114" cm="1">
        <f t="array" ref="K1114" xml:space="preserve"> sentimentCalc(C1114)</f>
        <v>0</v>
      </c>
      <c r="L1114" t="str" cm="1">
        <f t="array" ref="L1114" xml:space="preserve"> sentimentCategory(K1114)</f>
        <v>Neutral</v>
      </c>
    </row>
    <row r="1115" spans="1:12">
      <c r="A1115" t="s">
        <v>144</v>
      </c>
      <c r="B1115" t="s">
        <v>3394</v>
      </c>
      <c r="C1115" t="str" cm="1">
        <f t="array" ref="C1115" xml:space="preserve"> CleanText(B1115)</f>
        <v>what katara is white</v>
      </c>
      <c r="D1115">
        <v>0</v>
      </c>
      <c r="E1115">
        <v>1</v>
      </c>
      <c r="F1115" t="s">
        <v>0</v>
      </c>
      <c r="G1115" t="str" cm="1">
        <f t="array" ref="G1115" xml:space="preserve"> FindCountryName(F1115)</f>
        <v>None</v>
      </c>
      <c r="H1115" s="1">
        <v>45304.952094907407</v>
      </c>
      <c r="I1115" s="1">
        <v>45304.952094907407</v>
      </c>
      <c r="J1115" s="1">
        <v>41766.986909722225</v>
      </c>
      <c r="K1115" cm="1">
        <f t="array" ref="K1115" xml:space="preserve"> sentimentCalc(C1115)</f>
        <v>0</v>
      </c>
      <c r="L1115" t="str" cm="1">
        <f t="array" ref="L1115" xml:space="preserve"> sentimentCategory(K1115)</f>
        <v>Neutral</v>
      </c>
    </row>
    <row r="1116" spans="1:12">
      <c r="A1116" t="s">
        <v>3393</v>
      </c>
      <c r="B1116" t="s">
        <v>3392</v>
      </c>
      <c r="C1116" t="str" cm="1">
        <f t="array" ref="C1116" xml:space="preserve"> CleanText(B1116)</f>
        <v>uncle iroh is perfect</v>
      </c>
      <c r="D1116">
        <v>2</v>
      </c>
      <c r="E1116">
        <v>0</v>
      </c>
      <c r="F1116" t="s">
        <v>0</v>
      </c>
      <c r="G1116" t="str" cm="1">
        <f t="array" ref="G1116" xml:space="preserve"> FindCountryName(F1116)</f>
        <v>None</v>
      </c>
      <c r="H1116" s="1">
        <v>45304.903738425928</v>
      </c>
      <c r="I1116" s="1">
        <v>45304.903738425928</v>
      </c>
      <c r="J1116" s="1">
        <v>43874.061932870369</v>
      </c>
      <c r="K1116" cm="1">
        <f t="array" ref="K1116" xml:space="preserve"> sentimentCalc(C1116)</f>
        <v>3</v>
      </c>
      <c r="L1116" t="str" cm="1">
        <f t="array" ref="L1116" xml:space="preserve"> sentimentCategory(K1116)</f>
        <v>Positive</v>
      </c>
    </row>
    <row r="1117" spans="1:12">
      <c r="A1117" t="s">
        <v>108</v>
      </c>
      <c r="B1117" t="s">
        <v>3391</v>
      </c>
      <c r="C1117" t="str" cm="1">
        <f t="array" ref="C1117" xml:space="preserve"> CleanText(B1117)</f>
        <v>they have momo  its already better than film</v>
      </c>
      <c r="D1117">
        <v>2</v>
      </c>
      <c r="E1117">
        <v>0</v>
      </c>
      <c r="F1117" t="s">
        <v>0</v>
      </c>
      <c r="G1117" t="str" cm="1">
        <f t="array" ref="G1117" xml:space="preserve"> FindCountryName(F1117)</f>
        <v>None</v>
      </c>
      <c r="H1117" s="1">
        <v>45304.902731481481</v>
      </c>
      <c r="I1117" s="1">
        <v>45304.902731481481</v>
      </c>
      <c r="J1117" s="1">
        <v>41565.169340277775</v>
      </c>
      <c r="K1117" cm="1">
        <f t="array" ref="K1117" xml:space="preserve"> sentimentCalc(C1117)</f>
        <v>2</v>
      </c>
      <c r="L1117" t="str" cm="1">
        <f t="array" ref="L1117" xml:space="preserve"> sentimentCategory(K1117)</f>
        <v>Positive</v>
      </c>
    </row>
    <row r="1118" spans="1:12">
      <c r="A1118" t="s">
        <v>1378</v>
      </c>
      <c r="B1118" t="s">
        <v>3390</v>
      </c>
      <c r="C1118" t="str" cm="1">
        <f t="array" ref="C1118" xml:space="preserve"> CleanText(B1118)</f>
        <v>looks like sht</v>
      </c>
      <c r="D1118">
        <v>0</v>
      </c>
      <c r="E1118">
        <v>0</v>
      </c>
      <c r="F1118" t="s">
        <v>0</v>
      </c>
      <c r="G1118" t="str" cm="1">
        <f t="array" ref="G1118" xml:space="preserve"> FindCountryName(F1118)</f>
        <v>None</v>
      </c>
      <c r="H1118" s="1">
        <v>45304.806215277778</v>
      </c>
      <c r="I1118" s="1">
        <v>45304.806215277778</v>
      </c>
      <c r="J1118" s="1">
        <v>40785.803194444445</v>
      </c>
      <c r="K1118" cm="1">
        <f t="array" ref="K1118" xml:space="preserve"> sentimentCalc(C1118)</f>
        <v>2</v>
      </c>
      <c r="L1118" t="str" cm="1">
        <f t="array" ref="L1118" xml:space="preserve"> sentimentCategory(K1118)</f>
        <v>Positive</v>
      </c>
    </row>
    <row r="1119" spans="1:12">
      <c r="A1119" t="s">
        <v>1059</v>
      </c>
      <c r="B1119" t="s">
        <v>3389</v>
      </c>
      <c r="C1119" t="str" cm="1">
        <f t="array" ref="C1119" xml:space="preserve"> CleanText(B1119)</f>
        <v>aang looks more like an  year old than a 2 year old</v>
      </c>
      <c r="D1119">
        <v>0</v>
      </c>
      <c r="E1119">
        <v>0</v>
      </c>
      <c r="F1119" t="s">
        <v>0</v>
      </c>
      <c r="G1119" t="str" cm="1">
        <f t="array" ref="G1119" xml:space="preserve"> FindCountryName(F1119)</f>
        <v>None</v>
      </c>
      <c r="H1119" s="1">
        <v>45304.748726851853</v>
      </c>
      <c r="I1119" s="1">
        <v>45304.748726851853</v>
      </c>
      <c r="J1119" s="1">
        <v>43361.551168981481</v>
      </c>
      <c r="K1119" cm="1">
        <f t="array" ref="K1119" xml:space="preserve"> sentimentCalc(C1119)</f>
        <v>2</v>
      </c>
      <c r="L1119" t="str" cm="1">
        <f t="array" ref="L1119" xml:space="preserve"> sentimentCategory(K1119)</f>
        <v>Positive</v>
      </c>
    </row>
    <row r="1120" spans="1:12">
      <c r="A1120" t="s">
        <v>210</v>
      </c>
      <c r="B1120" t="s">
        <v>3388</v>
      </c>
      <c r="C1120" t="str" cm="1">
        <f t="array" ref="C1120" xml:space="preserve"> CleanText(B1120)</f>
        <v>cabbage guy better be in it</v>
      </c>
      <c r="D1120">
        <v>0</v>
      </c>
      <c r="E1120">
        <v>1</v>
      </c>
      <c r="F1120" t="s">
        <v>0</v>
      </c>
      <c r="G1120" t="str" cm="1">
        <f t="array" ref="G1120" xml:space="preserve"> FindCountryName(F1120)</f>
        <v>None</v>
      </c>
      <c r="H1120" s="1">
        <v>45304.723310185182</v>
      </c>
      <c r="I1120" s="1">
        <v>45304.723310185182</v>
      </c>
      <c r="J1120" s="1">
        <v>42364.955231481479</v>
      </c>
      <c r="K1120" cm="1">
        <f t="array" ref="K1120" xml:space="preserve"> sentimentCalc(C1120)</f>
        <v>2</v>
      </c>
      <c r="L1120" t="str" cm="1">
        <f t="array" ref="L1120" xml:space="preserve"> sentimentCategory(K1120)</f>
        <v>Positive</v>
      </c>
    </row>
    <row r="1121" spans="1:12">
      <c r="A1121" t="s">
        <v>3336</v>
      </c>
      <c r="B1121" t="s">
        <v>3387</v>
      </c>
      <c r="C1121" t="str" cm="1">
        <f t="array" ref="C1121" xml:space="preserve"> CleanText(B1121)</f>
        <v>i hope its not like the movie my name is uung</v>
      </c>
      <c r="D1121">
        <v>0</v>
      </c>
      <c r="E1121">
        <v>0</v>
      </c>
      <c r="F1121" t="s">
        <v>0</v>
      </c>
      <c r="G1121" t="str" cm="1">
        <f t="array" ref="G1121" xml:space="preserve"> FindCountryName(F1121)</f>
        <v>None</v>
      </c>
      <c r="H1121" s="1">
        <v>45304.711956018517</v>
      </c>
      <c r="I1121" s="1">
        <v>45304.711956018517</v>
      </c>
      <c r="J1121" s="1">
        <v>43920.15729166667</v>
      </c>
      <c r="K1121" cm="1">
        <f t="array" ref="K1121" xml:space="preserve"> sentimentCalc(C1121)</f>
        <v>4</v>
      </c>
      <c r="L1121" t="str" cm="1">
        <f t="array" ref="L1121" xml:space="preserve"> sentimentCategory(K1121)</f>
        <v>Positive</v>
      </c>
    </row>
    <row r="1122" spans="1:12">
      <c r="A1122" t="s">
        <v>225</v>
      </c>
      <c r="B1122" t="s">
        <v>3386</v>
      </c>
      <c r="C1122" t="str" cm="1">
        <f t="array" ref="C1122" xml:space="preserve"> CleanText(B1122)</f>
        <v>this isnt avatar</v>
      </c>
      <c r="D1122">
        <v>1</v>
      </c>
      <c r="E1122">
        <v>1</v>
      </c>
      <c r="F1122" t="s">
        <v>0</v>
      </c>
      <c r="G1122" t="str" cm="1">
        <f t="array" ref="G1122" xml:space="preserve"> FindCountryName(F1122)</f>
        <v>None</v>
      </c>
      <c r="H1122" s="1">
        <v>45304.696261574078</v>
      </c>
      <c r="I1122" s="1">
        <v>45304.696261574078</v>
      </c>
      <c r="J1122" s="1">
        <v>43720.680439814816</v>
      </c>
      <c r="K1122" cm="1">
        <f t="array" ref="K1122" xml:space="preserve"> sentimentCalc(C1122)</f>
        <v>0</v>
      </c>
      <c r="L1122" t="str" cm="1">
        <f t="array" ref="L1122" xml:space="preserve"> sentimentCategory(K1122)</f>
        <v>Neutral</v>
      </c>
    </row>
    <row r="1123" spans="1:12">
      <c r="A1123" t="s">
        <v>483</v>
      </c>
      <c r="B1123" t="s">
        <v>3385</v>
      </c>
      <c r="C1123" t="str" cm="1">
        <f t="array" ref="C1123" xml:space="preserve"> CleanText(B1123)</f>
        <v>same avatar story new video quality good idea ever ironic</v>
      </c>
      <c r="D1123">
        <v>1</v>
      </c>
      <c r="E1123">
        <v>0</v>
      </c>
      <c r="F1123" t="s">
        <v>0</v>
      </c>
      <c r="G1123" t="str" cm="1">
        <f t="array" ref="G1123" xml:space="preserve"> FindCountryName(F1123)</f>
        <v>None</v>
      </c>
      <c r="H1123" s="1">
        <v>45304.681354166663</v>
      </c>
      <c r="I1123" s="1">
        <v>45304.681493055556</v>
      </c>
      <c r="J1123" s="1">
        <v>44511.418287037035</v>
      </c>
      <c r="K1123" cm="1">
        <f t="array" ref="K1123" xml:space="preserve"> sentimentCalc(C1123)</f>
        <v>2</v>
      </c>
      <c r="L1123" t="str" cm="1">
        <f t="array" ref="L1123" xml:space="preserve"> sentimentCategory(K1123)</f>
        <v>Positive</v>
      </c>
    </row>
    <row r="1124" spans="1:12">
      <c r="A1124" t="s">
        <v>1247</v>
      </c>
      <c r="B1124" t="s">
        <v>3384</v>
      </c>
      <c r="C1124" t="str" cm="1">
        <f t="array" ref="C1124" xml:space="preserve"> CleanText(B1124)</f>
        <v>okay im subscribing just to watch this</v>
      </c>
      <c r="D1124">
        <v>0</v>
      </c>
      <c r="E1124">
        <v>0</v>
      </c>
      <c r="F1124" t="s">
        <v>0</v>
      </c>
      <c r="G1124" t="str" cm="1">
        <f t="array" ref="G1124" xml:space="preserve"> FindCountryName(F1124)</f>
        <v>None</v>
      </c>
      <c r="H1124" s="1">
        <v>45304.658391203702</v>
      </c>
      <c r="I1124" s="1">
        <v>45304.658391203702</v>
      </c>
      <c r="J1124" s="1">
        <v>41581.438310185185</v>
      </c>
      <c r="K1124" cm="1">
        <f t="array" ref="K1124" xml:space="preserve"> sentimentCalc(C1124)</f>
        <v>0</v>
      </c>
      <c r="L1124" t="str" cm="1">
        <f t="array" ref="L1124" xml:space="preserve"> sentimentCategory(K1124)</f>
        <v>Neutral</v>
      </c>
    </row>
    <row r="1125" spans="1:12">
      <c r="A1125" t="s">
        <v>3383</v>
      </c>
      <c r="B1125" t="s">
        <v>3382</v>
      </c>
      <c r="C1125" t="str" cm="1">
        <f t="array" ref="C1125" xml:space="preserve"> CleanText(B1125)</f>
        <v>prolly another flop_xDE22_</v>
      </c>
      <c r="D1125">
        <v>0</v>
      </c>
      <c r="E1125">
        <v>0</v>
      </c>
      <c r="F1125" t="s">
        <v>0</v>
      </c>
      <c r="G1125" t="str" cm="1">
        <f t="array" ref="G1125" xml:space="preserve"> FindCountryName(F1125)</f>
        <v>None</v>
      </c>
      <c r="H1125" s="1">
        <v>45304.633344907408</v>
      </c>
      <c r="I1125" s="1">
        <v>45304.633344907408</v>
      </c>
      <c r="J1125" s="1">
        <v>44113.684050925927</v>
      </c>
      <c r="K1125" cm="1">
        <f t="array" ref="K1125" xml:space="preserve"> sentimentCalc(C1125)</f>
        <v>0</v>
      </c>
      <c r="L1125" t="str" cm="1">
        <f t="array" ref="L1125" xml:space="preserve"> sentimentCategory(K1125)</f>
        <v>Neutral</v>
      </c>
    </row>
    <row r="1126" spans="1:12">
      <c r="A1126" t="s">
        <v>865</v>
      </c>
      <c r="B1126" t="s">
        <v>3381</v>
      </c>
      <c r="C1126" t="str" cm="1">
        <f t="array" ref="C1126" xml:space="preserve"> CleanText(B1126)</f>
        <v>see that m night thats how its done</v>
      </c>
      <c r="D1126">
        <v>1</v>
      </c>
      <c r="E1126">
        <v>0</v>
      </c>
      <c r="F1126" t="s">
        <v>0</v>
      </c>
      <c r="G1126" t="str" cm="1">
        <f t="array" ref="G1126" xml:space="preserve"> FindCountryName(F1126)</f>
        <v>None</v>
      </c>
      <c r="H1126" s="1">
        <v>45304.605729166666</v>
      </c>
      <c r="I1126" s="1">
        <v>45304.605729166666</v>
      </c>
      <c r="J1126" s="1">
        <v>42297.356817129628</v>
      </c>
      <c r="K1126" cm="1">
        <f t="array" ref="K1126" xml:space="preserve"> sentimentCalc(C1126)</f>
        <v>0</v>
      </c>
      <c r="L1126" t="str" cm="1">
        <f t="array" ref="L1126" xml:space="preserve"> sentimentCategory(K1126)</f>
        <v>Neutral</v>
      </c>
    </row>
    <row r="1127" spans="1:12">
      <c r="A1127" t="s">
        <v>1030</v>
      </c>
      <c r="B1127" t="s">
        <v>3380</v>
      </c>
      <c r="C1127" t="str" cm="1">
        <f t="array" ref="C1127" xml:space="preserve"> CleanText(B1127)</f>
        <v>ready to watch</v>
      </c>
      <c r="D1127">
        <v>0</v>
      </c>
      <c r="E1127">
        <v>0</v>
      </c>
      <c r="F1127" t="s">
        <v>0</v>
      </c>
      <c r="G1127" t="str" cm="1">
        <f t="array" ref="G1127" xml:space="preserve"> FindCountryName(F1127)</f>
        <v>None</v>
      </c>
      <c r="H1127" s="1">
        <v>45304.579895833333</v>
      </c>
      <c r="I1127" s="1">
        <v>45304.579895833333</v>
      </c>
      <c r="J1127" s="1">
        <v>42739.680208333331</v>
      </c>
      <c r="K1127" cm="1">
        <f t="array" ref="K1127" xml:space="preserve"> sentimentCalc(C1127)</f>
        <v>0</v>
      </c>
      <c r="L1127" t="str" cm="1">
        <f t="array" ref="L1127" xml:space="preserve"> sentimentCategory(K1127)</f>
        <v>Neutral</v>
      </c>
    </row>
    <row r="1128" spans="1:12">
      <c r="A1128" t="s">
        <v>735</v>
      </c>
      <c r="B1128" t="s">
        <v>3379</v>
      </c>
      <c r="C1128" t="str" cm="1">
        <f t="array" ref="C1128" xml:space="preserve"> CleanText(B1128)</f>
        <v>tengo recuerdos de vietnamtengo miedo</v>
      </c>
      <c r="D1128">
        <v>0</v>
      </c>
      <c r="E1128">
        <v>0</v>
      </c>
      <c r="F1128" t="s">
        <v>0</v>
      </c>
      <c r="G1128" t="str" cm="1">
        <f t="array" ref="G1128" xml:space="preserve"> FindCountryName(F1128)</f>
        <v>None</v>
      </c>
      <c r="H1128" s="1">
        <v>45304.544953703706</v>
      </c>
      <c r="I1128" s="1">
        <v>45304.544953703706</v>
      </c>
      <c r="J1128" s="1">
        <v>44929.379629629628</v>
      </c>
      <c r="K1128" cm="1">
        <f t="array" ref="K1128" xml:space="preserve"> sentimentCalc(C1128)</f>
        <v>0</v>
      </c>
      <c r="L1128" t="str" cm="1">
        <f t="array" ref="L1128" xml:space="preserve"> sentimentCategory(K1128)</f>
        <v>Neutral</v>
      </c>
    </row>
    <row r="1129" spans="1:12">
      <c r="A1129" t="s">
        <v>2135</v>
      </c>
      <c r="B1129" t="s">
        <v>3378</v>
      </c>
      <c r="C1129" t="str" cm="1">
        <f t="array" ref="C1129" xml:space="preserve"> CleanText(B1129)</f>
        <v>waiting for the full trailer to drop _xDE06_</v>
      </c>
      <c r="D1129">
        <v>4</v>
      </c>
      <c r="E1129">
        <v>1</v>
      </c>
      <c r="F1129" t="s">
        <v>0</v>
      </c>
      <c r="G1129" t="str" cm="1">
        <f t="array" ref="G1129" xml:space="preserve"> FindCountryName(F1129)</f>
        <v>None</v>
      </c>
      <c r="H1129" s="1">
        <v>45304.539502314816</v>
      </c>
      <c r="I1129" s="1">
        <v>45304.539502314816</v>
      </c>
      <c r="J1129" s="1">
        <v>41008.506527777776</v>
      </c>
      <c r="K1129" cm="1">
        <f t="array" ref="K1129" xml:space="preserve"> sentimentCalc(C1129)</f>
        <v>-1</v>
      </c>
      <c r="L1129" t="str" cm="1">
        <f t="array" ref="L1129" xml:space="preserve"> sentimentCategory(K1129)</f>
        <v>Negative</v>
      </c>
    </row>
    <row r="1130" spans="1:12">
      <c r="A1130" t="s">
        <v>1356</v>
      </c>
      <c r="B1130" t="s">
        <v>3377</v>
      </c>
      <c r="C1130" t="str" cm="1">
        <f t="array" ref="C1130" xml:space="preserve"> CleanText(B1130)</f>
        <v>iyi bir film</v>
      </c>
      <c r="D1130">
        <v>0</v>
      </c>
      <c r="E1130">
        <v>0</v>
      </c>
      <c r="F1130" t="s">
        <v>0</v>
      </c>
      <c r="G1130" t="str" cm="1">
        <f t="array" ref="G1130" xml:space="preserve"> FindCountryName(F1130)</f>
        <v>None</v>
      </c>
      <c r="H1130" s="1">
        <v>45304.493784722225</v>
      </c>
      <c r="I1130" s="1">
        <v>45304.493784722225</v>
      </c>
      <c r="J1130" s="1">
        <v>42709.389305555553</v>
      </c>
      <c r="K1130" cm="1">
        <f t="array" ref="K1130" xml:space="preserve"> sentimentCalc(C1130)</f>
        <v>0</v>
      </c>
      <c r="L1130" t="str" cm="1">
        <f t="array" ref="L1130" xml:space="preserve"> sentimentCategory(K1130)</f>
        <v>Neutral</v>
      </c>
    </row>
    <row r="1131" spans="1:12">
      <c r="A1131" t="s">
        <v>3376</v>
      </c>
      <c r="B1131" t="s">
        <v>3375</v>
      </c>
      <c r="C1131" t="str" cm="1">
        <f t="array" ref="C1131" xml:space="preserve"> CleanText(B1131)</f>
        <v>i have not expected katara and soka to be this pale</v>
      </c>
      <c r="D1131">
        <v>1</v>
      </c>
      <c r="E1131">
        <v>0</v>
      </c>
      <c r="F1131" t="s">
        <v>0</v>
      </c>
      <c r="G1131" t="str" cm="1">
        <f t="array" ref="G1131" xml:space="preserve"> FindCountryName(F1131)</f>
        <v>None</v>
      </c>
      <c r="H1131" s="1">
        <v>45304.449560185189</v>
      </c>
      <c r="I1131" s="1">
        <v>45304.449560185189</v>
      </c>
      <c r="J1131" s="1">
        <v>41314.578958333332</v>
      </c>
      <c r="K1131" cm="1">
        <f t="array" ref="K1131" xml:space="preserve"> sentimentCalc(C1131)</f>
        <v>0</v>
      </c>
      <c r="L1131" t="str" cm="1">
        <f t="array" ref="L1131" xml:space="preserve"> sentimentCategory(K1131)</f>
        <v>Neutral</v>
      </c>
    </row>
    <row r="1132" spans="1:12">
      <c r="A1132" t="s">
        <v>1059</v>
      </c>
      <c r="B1132" t="s">
        <v>3374</v>
      </c>
      <c r="C1132" t="str" cm="1">
        <f t="array" ref="C1132" xml:space="preserve"> CleanText(B1132)</f>
        <v>dude i really need to watch this</v>
      </c>
      <c r="D1132">
        <v>0</v>
      </c>
      <c r="E1132">
        <v>0</v>
      </c>
      <c r="F1132" t="s">
        <v>0</v>
      </c>
      <c r="G1132" t="str" cm="1">
        <f t="array" ref="G1132" xml:space="preserve"> FindCountryName(F1132)</f>
        <v>None</v>
      </c>
      <c r="H1132" s="1">
        <v>45304.442789351851</v>
      </c>
      <c r="I1132" s="1">
        <v>45304.442789351851</v>
      </c>
      <c r="J1132" s="1">
        <v>41256.525775462964</v>
      </c>
      <c r="K1132" cm="1">
        <f t="array" ref="K1132" xml:space="preserve"> sentimentCalc(C1132)</f>
        <v>0</v>
      </c>
      <c r="L1132" t="str" cm="1">
        <f t="array" ref="L1132" xml:space="preserve"> sentimentCategory(K1132)</f>
        <v>Neutral</v>
      </c>
    </row>
    <row r="1133" spans="1:12">
      <c r="A1133" t="s">
        <v>1338</v>
      </c>
      <c r="B1133" t="s">
        <v>3373</v>
      </c>
      <c r="C1133" t="str" cm="1">
        <f t="array" ref="C1133" xml:space="preserve"> CleanText(B1133)</f>
        <v>ok beyendim emeinize salk teekkrler</v>
      </c>
      <c r="D1133">
        <v>0</v>
      </c>
      <c r="E1133">
        <v>0</v>
      </c>
      <c r="F1133" t="s">
        <v>0</v>
      </c>
      <c r="G1133" t="str" cm="1">
        <f t="array" ref="G1133" xml:space="preserve"> FindCountryName(F1133)</f>
        <v>None</v>
      </c>
      <c r="H1133" s="1">
        <v>45304.434212962966</v>
      </c>
      <c r="I1133" s="1">
        <v>45304.434212962966</v>
      </c>
      <c r="J1133" s="1">
        <v>45304.305972222224</v>
      </c>
      <c r="K1133" cm="1">
        <f t="array" ref="K1133" xml:space="preserve"> sentimentCalc(C1133)</f>
        <v>0</v>
      </c>
      <c r="L1133" t="str" cm="1">
        <f t="array" ref="L1133" xml:space="preserve"> sentimentCategory(K1133)</f>
        <v>Neutral</v>
      </c>
    </row>
    <row r="1134" spans="1:12">
      <c r="A1134" t="s">
        <v>816</v>
      </c>
      <c r="B1134" t="s">
        <v>3372</v>
      </c>
      <c r="C1134" t="str" cm="1">
        <f t="array" ref="C1134" xml:space="preserve"> CleanText(B1134)</f>
        <v>ok baarl bir film olmu</v>
      </c>
      <c r="D1134">
        <v>0</v>
      </c>
      <c r="E1134">
        <v>0</v>
      </c>
      <c r="F1134" t="s">
        <v>0</v>
      </c>
      <c r="G1134" t="str" cm="1">
        <f t="array" ref="G1134" xml:space="preserve"> FindCountryName(F1134)</f>
        <v>None</v>
      </c>
      <c r="H1134" s="1">
        <v>45304.429837962962</v>
      </c>
      <c r="I1134" s="1">
        <v>45304.429837962962</v>
      </c>
      <c r="J1134" s="1">
        <v>41567.206516203703</v>
      </c>
      <c r="K1134" cm="1">
        <f t="array" ref="K1134" xml:space="preserve"> sentimentCalc(C1134)</f>
        <v>0</v>
      </c>
      <c r="L1134" t="str" cm="1">
        <f t="array" ref="L1134" xml:space="preserve"> sentimentCategory(K1134)</f>
        <v>Neutral</v>
      </c>
    </row>
    <row r="1135" spans="1:12">
      <c r="A1135" t="s">
        <v>3371</v>
      </c>
      <c r="B1135" t="s">
        <v>3370</v>
      </c>
      <c r="C1135" t="str" cm="1">
        <f t="array" ref="C1135" xml:space="preserve"> CleanText(B1135)</f>
        <v>katara  sokka is white</v>
      </c>
      <c r="D1135">
        <v>1</v>
      </c>
      <c r="E1135">
        <v>2</v>
      </c>
      <c r="F1135" t="s">
        <v>0</v>
      </c>
      <c r="G1135" t="str" cm="1">
        <f t="array" ref="G1135" xml:space="preserve"> FindCountryName(F1135)</f>
        <v>None</v>
      </c>
      <c r="H1135" s="1">
        <v>45304.417187500003</v>
      </c>
      <c r="I1135" s="1">
        <v>45304.417187500003</v>
      </c>
      <c r="J1135" s="1">
        <v>45212.46738425926</v>
      </c>
      <c r="K1135" cm="1">
        <f t="array" ref="K1135" xml:space="preserve"> sentimentCalc(C1135)</f>
        <v>0</v>
      </c>
      <c r="L1135" t="str" cm="1">
        <f t="array" ref="L1135" xml:space="preserve"> sentimentCategory(K1135)</f>
        <v>Neutral</v>
      </c>
    </row>
    <row r="1136" spans="1:12">
      <c r="A1136" t="s">
        <v>640</v>
      </c>
      <c r="B1136" t="s">
        <v>3369</v>
      </c>
      <c r="C1136" t="str" cm="1">
        <f t="array" ref="C1136" xml:space="preserve"> CleanText(B1136)</f>
        <v>i just hope they do justice to the real herovictim of the showthe cabbage merchant</v>
      </c>
      <c r="D1136">
        <v>0</v>
      </c>
      <c r="E1136">
        <v>0</v>
      </c>
      <c r="F1136" t="s">
        <v>0</v>
      </c>
      <c r="G1136" t="str" cm="1">
        <f t="array" ref="G1136" xml:space="preserve"> FindCountryName(F1136)</f>
        <v>None</v>
      </c>
      <c r="H1136" s="1">
        <v>45304.416944444441</v>
      </c>
      <c r="I1136" s="1">
        <v>45304.416944444441</v>
      </c>
      <c r="J1136" s="1">
        <v>40833.8283912037</v>
      </c>
      <c r="K1136" cm="1">
        <f t="array" ref="K1136" xml:space="preserve"> sentimentCalc(C1136)</f>
        <v>4</v>
      </c>
      <c r="L1136" t="str" cm="1">
        <f t="array" ref="L1136" xml:space="preserve"> sentimentCategory(K1136)</f>
        <v>Positive</v>
      </c>
    </row>
    <row r="1137" spans="1:12">
      <c r="A1137" t="s">
        <v>223</v>
      </c>
      <c r="B1137" t="s">
        <v>3368</v>
      </c>
      <c r="C1137" t="str" cm="1">
        <f t="array" ref="C1137" xml:space="preserve"> CleanText(B1137)</f>
        <v>tavsiye ediyorum</v>
      </c>
      <c r="D1137">
        <v>0</v>
      </c>
      <c r="E1137">
        <v>0</v>
      </c>
      <c r="F1137" t="s">
        <v>0</v>
      </c>
      <c r="G1137" t="str" cm="1">
        <f t="array" ref="G1137" xml:space="preserve"> FindCountryName(F1137)</f>
        <v>None</v>
      </c>
      <c r="H1137" s="1">
        <v>45304.414444444446</v>
      </c>
      <c r="I1137" s="1">
        <v>45304.414444444446</v>
      </c>
      <c r="J1137" s="1">
        <v>41767.414814814816</v>
      </c>
      <c r="K1137" cm="1">
        <f t="array" ref="K1137" xml:space="preserve"> sentimentCalc(C1137)</f>
        <v>0</v>
      </c>
      <c r="L1137" t="str" cm="1">
        <f t="array" ref="L1137" xml:space="preserve"> sentimentCategory(K1137)</f>
        <v>Neutral</v>
      </c>
    </row>
    <row r="1138" spans="1:12">
      <c r="A1138" t="s">
        <v>415</v>
      </c>
      <c r="B1138" t="s">
        <v>3367</v>
      </c>
      <c r="C1138" t="str" cm="1">
        <f t="array" ref="C1138" xml:space="preserve"> CleanText(B1138)</f>
        <v>ok gzel hayatmda izlediim en iyi filmlerden hl itkisinden kamadm</v>
      </c>
      <c r="D1138">
        <v>0</v>
      </c>
      <c r="E1138">
        <v>0</v>
      </c>
      <c r="F1138" t="s">
        <v>0</v>
      </c>
      <c r="G1138" t="str" cm="1">
        <f t="array" ref="G1138" xml:space="preserve"> FindCountryName(F1138)</f>
        <v>None</v>
      </c>
      <c r="H1138" s="1">
        <v>45304.391539351855</v>
      </c>
      <c r="I1138" s="1">
        <v>45304.391539351855</v>
      </c>
      <c r="J1138" s="1">
        <v>44523.491990740738</v>
      </c>
      <c r="K1138" cm="1">
        <f t="array" ref="K1138" xml:space="preserve"> sentimentCalc(C1138)</f>
        <v>0</v>
      </c>
      <c r="L1138" t="str" cm="1">
        <f t="array" ref="L1138" xml:space="preserve"> sentimentCategory(K1138)</f>
        <v>Neutral</v>
      </c>
    </row>
    <row r="1139" spans="1:12">
      <c r="A1139" t="s">
        <v>355</v>
      </c>
      <c r="B1139" t="s">
        <v>3366</v>
      </c>
      <c r="C1139" t="str" cm="1">
        <f t="array" ref="C1139" xml:space="preserve"> CleanText(B1139)</f>
        <v>zlenmeli</v>
      </c>
      <c r="D1139">
        <v>0</v>
      </c>
      <c r="E1139">
        <v>0</v>
      </c>
      <c r="F1139" t="s">
        <v>0</v>
      </c>
      <c r="G1139" t="str" cm="1">
        <f t="array" ref="G1139" xml:space="preserve"> FindCountryName(F1139)</f>
        <v>None</v>
      </c>
      <c r="H1139" s="1">
        <v>45304.379270833335</v>
      </c>
      <c r="I1139" s="1">
        <v>45304.379270833335</v>
      </c>
      <c r="J1139" s="1">
        <v>45304.258043981485</v>
      </c>
      <c r="K1139" cm="1">
        <f t="array" ref="K1139" xml:space="preserve"> sentimentCalc(C1139)</f>
        <v>0</v>
      </c>
      <c r="L1139" t="str" cm="1">
        <f t="array" ref="L1139" xml:space="preserve"> sentimentCategory(K1139)</f>
        <v>Neutral</v>
      </c>
    </row>
    <row r="1140" spans="1:12">
      <c r="A1140" t="s">
        <v>1154</v>
      </c>
      <c r="B1140" t="s">
        <v>3365</v>
      </c>
      <c r="C1140" t="str" cm="1">
        <f t="array" ref="C1140" xml:space="preserve"> CleanText(B1140)</f>
        <v>n</v>
      </c>
      <c r="D1140">
        <v>0</v>
      </c>
      <c r="E1140">
        <v>0</v>
      </c>
      <c r="F1140" t="s">
        <v>0</v>
      </c>
      <c r="G1140" t="str" cm="1">
        <f t="array" ref="G1140" xml:space="preserve"> FindCountryName(F1140)</f>
        <v>None</v>
      </c>
      <c r="H1140" s="1">
        <v>45304.376805555556</v>
      </c>
      <c r="I1140" s="1">
        <v>45304.376805555556</v>
      </c>
      <c r="J1140" s="1">
        <v>41386.358530092592</v>
      </c>
      <c r="K1140" cm="1">
        <f t="array" ref="K1140" xml:space="preserve"> sentimentCalc(C1140)</f>
        <v>0</v>
      </c>
      <c r="L1140" t="str" cm="1">
        <f t="array" ref="L1140" xml:space="preserve"> sentimentCategory(K1140)</f>
        <v>Neutral</v>
      </c>
    </row>
    <row r="1141" spans="1:12">
      <c r="A1141" t="s">
        <v>1634</v>
      </c>
      <c r="B1141" t="s">
        <v>3364</v>
      </c>
      <c r="C1141" t="str" cm="1">
        <f t="array" ref="C1141" xml:space="preserve"> CleanText(B1141)</f>
        <v>harika bir flim tek kelimeyle muhteem</v>
      </c>
      <c r="D1141">
        <v>0</v>
      </c>
      <c r="E1141">
        <v>0</v>
      </c>
      <c r="F1141" t="s">
        <v>0</v>
      </c>
      <c r="G1141" t="str" cm="1">
        <f t="array" ref="G1141" xml:space="preserve"> FindCountryName(F1141)</f>
        <v>None</v>
      </c>
      <c r="H1141" s="1">
        <v>45304.375798611109</v>
      </c>
      <c r="I1141" s="1">
        <v>45304.375798611109</v>
      </c>
      <c r="J1141" s="1">
        <v>42160.328298611108</v>
      </c>
      <c r="K1141" cm="1">
        <f t="array" ref="K1141" xml:space="preserve"> sentimentCalc(C1141)</f>
        <v>0</v>
      </c>
      <c r="L1141" t="str" cm="1">
        <f t="array" ref="L1141" xml:space="preserve"> sentimentCategory(K1141)</f>
        <v>Neutral</v>
      </c>
    </row>
    <row r="1142" spans="1:12">
      <c r="A1142" t="s">
        <v>153</v>
      </c>
      <c r="B1142" t="s">
        <v>3363</v>
      </c>
      <c r="C1142" t="str" cm="1">
        <f t="array" ref="C1142" xml:space="preserve"> CleanText(B1142)</f>
        <v>woaww looks interesting _xD83D_</v>
      </c>
      <c r="D1142">
        <v>0</v>
      </c>
      <c r="E1142">
        <v>0</v>
      </c>
      <c r="F1142" t="s">
        <v>0</v>
      </c>
      <c r="G1142" t="str" cm="1">
        <f t="array" ref="G1142" xml:space="preserve"> FindCountryName(F1142)</f>
        <v>None</v>
      </c>
      <c r="H1142" s="1">
        <v>45304.375740740739</v>
      </c>
      <c r="I1142" s="1">
        <v>45304.375740740739</v>
      </c>
      <c r="J1142" s="1">
        <v>42995.370335648149</v>
      </c>
      <c r="K1142" cm="1">
        <f t="array" ref="K1142" xml:space="preserve"> sentimentCalc(C1142)</f>
        <v>2</v>
      </c>
      <c r="L1142" t="str" cm="1">
        <f t="array" ref="L1142" xml:space="preserve"> sentimentCategory(K1142)</f>
        <v>Positive</v>
      </c>
    </row>
    <row r="1143" spans="1:12">
      <c r="A1143" t="s">
        <v>3362</v>
      </c>
      <c r="B1143" t="s">
        <v>3361</v>
      </c>
      <c r="C1143" t="str" cm="1">
        <f t="array" ref="C1143" xml:space="preserve"> CleanText(B1143)</f>
        <v>hayatmda izlediim en iyi filmlerden hala etkisinden kamadm</v>
      </c>
      <c r="D1143">
        <v>0</v>
      </c>
      <c r="E1143">
        <v>0</v>
      </c>
      <c r="F1143" t="s">
        <v>0</v>
      </c>
      <c r="G1143" t="str" cm="1">
        <f t="array" ref="G1143" xml:space="preserve"> FindCountryName(F1143)</f>
        <v>None</v>
      </c>
      <c r="H1143" s="1">
        <v>45304.373703703706</v>
      </c>
      <c r="I1143" s="1">
        <v>45304.373703703706</v>
      </c>
      <c r="J1143" s="1">
        <v>44402.246111111112</v>
      </c>
      <c r="K1143" cm="1">
        <f t="array" ref="K1143" xml:space="preserve"> sentimentCalc(C1143)</f>
        <v>0</v>
      </c>
      <c r="L1143" t="str" cm="1">
        <f t="array" ref="L1143" xml:space="preserve"> sentimentCategory(K1143)</f>
        <v>Neutral</v>
      </c>
    </row>
    <row r="1144" spans="1:12">
      <c r="A1144" t="s">
        <v>1915</v>
      </c>
      <c r="B1144" t="s">
        <v>3360</v>
      </c>
      <c r="C1144" t="str" cm="1">
        <f t="array" ref="C1144" xml:space="preserve"> CleanText(B1144)</f>
        <v>okaaay this one looks better i hope it doesnt disappoint like the movie this one will be a series so of course the story would be much better but i hope actors graphics effects and dialogs will be better</v>
      </c>
      <c r="D1144">
        <v>1</v>
      </c>
      <c r="E1144">
        <v>0</v>
      </c>
      <c r="F1144" t="s">
        <v>0</v>
      </c>
      <c r="G1144" t="str" cm="1">
        <f t="array" ref="G1144" xml:space="preserve"> FindCountryName(F1144)</f>
        <v>None</v>
      </c>
      <c r="H1144" s="1">
        <v>45304.336273148147</v>
      </c>
      <c r="I1144" s="1">
        <v>45304.336273148147</v>
      </c>
      <c r="J1144" s="1">
        <v>42546.770868055559</v>
      </c>
      <c r="K1144" cm="1">
        <f t="array" ref="K1144" xml:space="preserve"> sentimentCalc(C1144)</f>
        <v>10</v>
      </c>
      <c r="L1144" t="str" cm="1">
        <f t="array" ref="L1144" xml:space="preserve"> sentimentCategory(K1144)</f>
        <v>Positive</v>
      </c>
    </row>
    <row r="1145" spans="1:12">
      <c r="A1145" t="s">
        <v>3359</v>
      </c>
      <c r="B1145" t="s">
        <v>3358</v>
      </c>
      <c r="C1145" t="str" cm="1">
        <f t="array" ref="C1145" xml:space="preserve"> CleanText(B1145)</f>
        <v>pls netflix drop the full trailer alreadyyyy im beggiiiinngggg</v>
      </c>
      <c r="D1145">
        <v>1</v>
      </c>
      <c r="E1145">
        <v>0</v>
      </c>
      <c r="F1145" t="s">
        <v>0</v>
      </c>
      <c r="G1145" t="str" cm="1">
        <f t="array" ref="G1145" xml:space="preserve"> FindCountryName(F1145)</f>
        <v>None</v>
      </c>
      <c r="H1145" s="1">
        <v>45304.292870370373</v>
      </c>
      <c r="I1145" s="1">
        <v>45304.292870370373</v>
      </c>
      <c r="J1145" s="1">
        <v>45018.846203703702</v>
      </c>
      <c r="K1145" cm="1">
        <f t="array" ref="K1145" xml:space="preserve"> sentimentCalc(C1145)</f>
        <v>-1</v>
      </c>
      <c r="L1145" t="str" cm="1">
        <f t="array" ref="L1145" xml:space="preserve"> sentimentCategory(K1145)</f>
        <v>Negative</v>
      </c>
    </row>
    <row r="1146" spans="1:12">
      <c r="A1146" t="s">
        <v>3357</v>
      </c>
      <c r="B1146" t="s">
        <v>3356</v>
      </c>
      <c r="C1146" t="str" cm="1">
        <f t="array" ref="C1146" xml:space="preserve"> CleanText(B1146)</f>
        <v>its been  months we need the official trailer please</v>
      </c>
      <c r="D1146">
        <v>13</v>
      </c>
      <c r="E1146">
        <v>0</v>
      </c>
      <c r="F1146" t="s">
        <v>0</v>
      </c>
      <c r="G1146" t="str" cm="1">
        <f t="array" ref="G1146" xml:space="preserve"> FindCountryName(F1146)</f>
        <v>None</v>
      </c>
      <c r="H1146" s="1">
        <v>45304.235844907409</v>
      </c>
      <c r="I1146" s="1">
        <v>45304.235844907409</v>
      </c>
      <c r="J1146" s="1">
        <v>42306.752430555556</v>
      </c>
      <c r="K1146" cm="1">
        <f t="array" ref="K1146" xml:space="preserve"> sentimentCalc(C1146)</f>
        <v>1</v>
      </c>
      <c r="L1146" t="str" cm="1">
        <f t="array" ref="L1146" xml:space="preserve"> sentimentCategory(K1146)</f>
        <v>Positive</v>
      </c>
    </row>
    <row r="1147" spans="1:12">
      <c r="A1147" t="s">
        <v>1827</v>
      </c>
      <c r="B1147" t="s">
        <v>3355</v>
      </c>
      <c r="C1147" t="str" cm="1">
        <f t="array" ref="C1147" xml:space="preserve"> CleanText(B1147)</f>
        <v>well this already looks better than that dreadful movie from 00</v>
      </c>
      <c r="D1147">
        <v>1</v>
      </c>
      <c r="E1147">
        <v>0</v>
      </c>
      <c r="F1147" t="s">
        <v>0</v>
      </c>
      <c r="G1147" t="str" cm="1">
        <f t="array" ref="G1147" xml:space="preserve"> FindCountryName(F1147)</f>
        <v>None</v>
      </c>
      <c r="H1147" s="1">
        <v>45304.227870370371</v>
      </c>
      <c r="I1147" s="1">
        <v>45304.227870370371</v>
      </c>
      <c r="J1147" s="1">
        <v>41471.802291666667</v>
      </c>
      <c r="K1147" cm="1">
        <f t="array" ref="K1147" xml:space="preserve"> sentimentCalc(C1147)</f>
        <v>-1</v>
      </c>
      <c r="L1147" t="str" cm="1">
        <f t="array" ref="L1147" xml:space="preserve"> sentimentCategory(K1147)</f>
        <v>Negative</v>
      </c>
    </row>
    <row r="1148" spans="1:12">
      <c r="A1148" t="s">
        <v>3310</v>
      </c>
      <c r="B1148" t="s">
        <v>3354</v>
      </c>
      <c r="C1148" t="str" cm="1">
        <f t="array" ref="C1148" xml:space="preserve"> CleanText(B1148)</f>
        <v>i also hope that they show koh the face stealerthat would be so cool _xDC4C_</v>
      </c>
      <c r="D1148">
        <v>9</v>
      </c>
      <c r="E1148">
        <v>2</v>
      </c>
      <c r="F1148" t="s">
        <v>0</v>
      </c>
      <c r="G1148" t="str" cm="1">
        <f t="array" ref="G1148" xml:space="preserve"> FindCountryName(F1148)</f>
        <v>None</v>
      </c>
      <c r="H1148" s="1">
        <v>45304.167962962965</v>
      </c>
      <c r="I1148" s="1">
        <v>45304.167962962965</v>
      </c>
      <c r="J1148" s="1">
        <v>43598.54959490741</v>
      </c>
      <c r="K1148" cm="1">
        <f t="array" ref="K1148" xml:space="preserve"> sentimentCalc(C1148)</f>
        <v>3</v>
      </c>
      <c r="L1148" t="str" cm="1">
        <f t="array" ref="L1148" xml:space="preserve"> sentimentCategory(K1148)</f>
        <v>Positive</v>
      </c>
    </row>
    <row r="1149" spans="1:12">
      <c r="A1149" t="s">
        <v>874</v>
      </c>
      <c r="B1149" t="s">
        <v>3353</v>
      </c>
      <c r="C1149" t="str" cm="1">
        <f t="array" ref="C1149" xml:space="preserve"> CleanText(B1149)</f>
        <v>s kids are getting redemption for their favorite books and tv shows to be made into tv series and theyre doing them right this time</v>
      </c>
      <c r="D1149">
        <v>1</v>
      </c>
      <c r="E1149">
        <v>0</v>
      </c>
      <c r="F1149" t="s">
        <v>0</v>
      </c>
      <c r="G1149" t="str" cm="1">
        <f t="array" ref="G1149" xml:space="preserve"> FindCountryName(F1149)</f>
        <v>None</v>
      </c>
      <c r="H1149" s="1">
        <v>45304.143194444441</v>
      </c>
      <c r="I1149" s="1">
        <v>45304.143194444441</v>
      </c>
      <c r="J1149" s="1">
        <v>41850.911840277775</v>
      </c>
      <c r="K1149" cm="1">
        <f t="array" ref="K1149" xml:space="preserve"> sentimentCalc(C1149)</f>
        <v>2</v>
      </c>
      <c r="L1149" t="str" cm="1">
        <f t="array" ref="L1149" xml:space="preserve"> sentimentCategory(K1149)</f>
        <v>Positive</v>
      </c>
    </row>
    <row r="1150" spans="1:12">
      <c r="A1150" t="s">
        <v>582</v>
      </c>
      <c r="B1150" t="s">
        <v>3352</v>
      </c>
      <c r="C1150" t="str" cm="1">
        <f t="array" ref="C1150" xml:space="preserve"> CleanText(B1150)</f>
        <v>espero que no sea el caso de increble trailer y psima serie</v>
      </c>
      <c r="D1150">
        <v>0</v>
      </c>
      <c r="E1150">
        <v>0</v>
      </c>
      <c r="F1150" t="s">
        <v>0</v>
      </c>
      <c r="G1150" t="str" cm="1">
        <f t="array" ref="G1150" xml:space="preserve"> FindCountryName(F1150)</f>
        <v>None</v>
      </c>
      <c r="H1150" s="1">
        <v>45304.071030092593</v>
      </c>
      <c r="I1150" s="1">
        <v>45304.071030092593</v>
      </c>
      <c r="J1150" s="1">
        <v>44111.901284722226</v>
      </c>
      <c r="K1150" cm="1">
        <f t="array" ref="K1150" xml:space="preserve"> sentimentCalc(C1150)</f>
        <v>-1</v>
      </c>
      <c r="L1150" t="str" cm="1">
        <f t="array" ref="L1150" xml:space="preserve"> sentimentCategory(K1150)</f>
        <v>Negative</v>
      </c>
    </row>
    <row r="1151" spans="1:12">
      <c r="A1151" t="s">
        <v>290</v>
      </c>
      <c r="B1151" t="s">
        <v>3351</v>
      </c>
      <c r="C1151" t="str" cm="1">
        <f t="array" ref="C1151" xml:space="preserve"> CleanText(B1151)</f>
        <v>this literally give me goosebumps_xD83E__xD83E_</v>
      </c>
      <c r="D1151">
        <v>1</v>
      </c>
      <c r="E1151">
        <v>0</v>
      </c>
      <c r="F1151" t="s">
        <v>0</v>
      </c>
      <c r="G1151" t="str" cm="1">
        <f t="array" ref="G1151" xml:space="preserve"> FindCountryName(F1151)</f>
        <v>None</v>
      </c>
      <c r="H1151" s="1">
        <v>45304.016122685185</v>
      </c>
      <c r="I1151" s="1">
        <v>45304.016122685185</v>
      </c>
      <c r="J1151" s="1">
        <v>42600.313923611109</v>
      </c>
      <c r="K1151" cm="1">
        <f t="array" ref="K1151" xml:space="preserve"> sentimentCalc(C1151)</f>
        <v>0</v>
      </c>
      <c r="L1151" t="str" cm="1">
        <f t="array" ref="L1151" xml:space="preserve"> sentimentCategory(K1151)</f>
        <v>Neutral</v>
      </c>
    </row>
    <row r="1152" spans="1:12">
      <c r="A1152" t="s">
        <v>902</v>
      </c>
      <c r="B1152" t="s">
        <v>3350</v>
      </c>
      <c r="C1152" t="str" cm="1">
        <f t="array" ref="C1152" xml:space="preserve"> CleanText(B1152)</f>
        <v>0 lowkey kinda fire</v>
      </c>
      <c r="D1152">
        <v>0</v>
      </c>
      <c r="E1152">
        <v>0</v>
      </c>
      <c r="F1152" t="s">
        <v>0</v>
      </c>
      <c r="G1152" t="str" cm="1">
        <f t="array" ref="G1152" xml:space="preserve"> FindCountryName(F1152)</f>
        <v>None</v>
      </c>
      <c r="H1152" s="1">
        <v>45303.990636574075</v>
      </c>
      <c r="I1152" s="1">
        <v>45303.990636574075</v>
      </c>
      <c r="J1152" s="1">
        <v>44673.802523148152</v>
      </c>
      <c r="K1152" cm="1">
        <f t="array" ref="K1152" xml:space="preserve"> sentimentCalc(C1152)</f>
        <v>-2</v>
      </c>
      <c r="L1152" t="str" cm="1">
        <f t="array" ref="L1152" xml:space="preserve"> sentimentCategory(K1152)</f>
        <v>Negative</v>
      </c>
    </row>
    <row r="1153" spans="1:12">
      <c r="A1153" t="s">
        <v>3349</v>
      </c>
      <c r="B1153" t="s">
        <v>3348</v>
      </c>
      <c r="C1153" t="str" cm="1">
        <f t="array" ref="C1153" xml:space="preserve"> CleanText(B1153)</f>
        <v>im so glad you chose actors that look somewhat like teenagers really brings home the point of children in a war and their actual cartoon ages</v>
      </c>
      <c r="D1153">
        <v>6</v>
      </c>
      <c r="E1153">
        <v>0</v>
      </c>
      <c r="F1153" t="s">
        <v>0</v>
      </c>
      <c r="G1153" t="str" cm="1">
        <f t="array" ref="G1153" xml:space="preserve"> FindCountryName(F1153)</f>
        <v>None</v>
      </c>
      <c r="H1153" s="1">
        <v>45303.93959490741</v>
      </c>
      <c r="I1153" s="1">
        <v>45303.93959490741</v>
      </c>
      <c r="J1153" s="1">
        <v>41276.357372685183</v>
      </c>
      <c r="K1153" cm="1">
        <f t="array" ref="K1153" xml:space="preserve"> sentimentCalc(C1153)</f>
        <v>3</v>
      </c>
      <c r="L1153" t="str" cm="1">
        <f t="array" ref="L1153" xml:space="preserve"> sentimentCategory(K1153)</f>
        <v>Positive</v>
      </c>
    </row>
    <row r="1154" spans="1:12">
      <c r="A1154" t="s">
        <v>3347</v>
      </c>
      <c r="B1154" t="s">
        <v>3346</v>
      </c>
      <c r="C1154" t="str" cm="1">
        <f t="array" ref="C1154" xml:space="preserve"> CleanText(B1154)</f>
        <v>probably too early to say but this is looking like the best most faithful adaptation of an animated series ive seen in a long time and it works so well like it doesnt feel forced</v>
      </c>
      <c r="D1154">
        <v>538</v>
      </c>
      <c r="E1154">
        <v>9</v>
      </c>
      <c r="F1154" t="s">
        <v>0</v>
      </c>
      <c r="G1154" t="str" cm="1">
        <f t="array" ref="G1154" xml:space="preserve"> FindCountryName(F1154)</f>
        <v>None</v>
      </c>
      <c r="H1154" s="1">
        <v>45303.908182870371</v>
      </c>
      <c r="I1154" s="1">
        <v>45303.908182870371</v>
      </c>
      <c r="J1154" s="1">
        <v>41220.65351851852</v>
      </c>
      <c r="K1154" cm="1">
        <f t="array" ref="K1154" xml:space="preserve"> sentimentCalc(C1154)</f>
        <v>9</v>
      </c>
      <c r="L1154" t="str" cm="1">
        <f t="array" ref="L1154" xml:space="preserve"> sentimentCategory(K1154)</f>
        <v>Positive</v>
      </c>
    </row>
    <row r="1155" spans="1:12">
      <c r="A1155" t="s">
        <v>779</v>
      </c>
      <c r="B1155" t="s">
        <v>3345</v>
      </c>
      <c r="C1155" t="str" cm="1">
        <f t="array" ref="C1155" xml:space="preserve"> CleanText(B1155)</f>
        <v>still doesnt live up to the anime</v>
      </c>
      <c r="D1155">
        <v>0</v>
      </c>
      <c r="E1155">
        <v>0</v>
      </c>
      <c r="F1155" t="s">
        <v>0</v>
      </c>
      <c r="G1155" t="str" cm="1">
        <f t="array" ref="G1155" xml:space="preserve"> FindCountryName(F1155)</f>
        <v>None</v>
      </c>
      <c r="H1155" s="1">
        <v>45303.899456018517</v>
      </c>
      <c r="I1155" s="1">
        <v>45303.899456018517</v>
      </c>
      <c r="J1155" s="1">
        <v>42800.391273148147</v>
      </c>
      <c r="K1155" cm="1">
        <f t="array" ref="K1155" xml:space="preserve"> sentimentCalc(C1155)</f>
        <v>0</v>
      </c>
      <c r="L1155" t="str" cm="1">
        <f t="array" ref="L1155" xml:space="preserve"> sentimentCategory(K1155)</f>
        <v>Neutral</v>
      </c>
    </row>
    <row r="1156" spans="1:12">
      <c r="A1156" t="s">
        <v>3342</v>
      </c>
      <c r="B1156" t="s">
        <v>3344</v>
      </c>
      <c r="C1156" t="str" cm="1">
        <f t="array" ref="C1156" xml:space="preserve"> CleanText(B1156)</f>
        <v>one piece live adaption was a / effort and a / showthis will be same effort / show</v>
      </c>
      <c r="D1156">
        <v>0</v>
      </c>
      <c r="E1156">
        <v>0</v>
      </c>
      <c r="F1156" t="s">
        <v>0</v>
      </c>
      <c r="G1156" t="str" cm="1">
        <f t="array" ref="G1156" xml:space="preserve"> FindCountryName(F1156)</f>
        <v>None</v>
      </c>
      <c r="H1156" s="1">
        <v>45303.881805555553</v>
      </c>
      <c r="I1156" s="1">
        <v>45303.881805555553</v>
      </c>
      <c r="J1156" s="1">
        <v>42221.569108796299</v>
      </c>
      <c r="K1156" cm="1">
        <f t="array" ref="K1156" xml:space="preserve"> sentimentCalc(C1156)</f>
        <v>0</v>
      </c>
      <c r="L1156" t="str" cm="1">
        <f t="array" ref="L1156" xml:space="preserve"> sentimentCategory(K1156)</f>
        <v>Neutral</v>
      </c>
    </row>
    <row r="1157" spans="1:12">
      <c r="A1157" t="s">
        <v>3342</v>
      </c>
      <c r="B1157" t="s">
        <v>3343</v>
      </c>
      <c r="C1157" t="str" cm="1">
        <f t="array" ref="C1157" xml:space="preserve"> CleanText(B1157)</f>
        <v>oh hell nah</v>
      </c>
      <c r="D1157">
        <v>0</v>
      </c>
      <c r="E1157">
        <v>0</v>
      </c>
      <c r="F1157" t="s">
        <v>0</v>
      </c>
      <c r="G1157" t="str" cm="1">
        <f t="array" ref="G1157" xml:space="preserve"> FindCountryName(F1157)</f>
        <v>None</v>
      </c>
      <c r="H1157" s="1">
        <v>45303.879374999997</v>
      </c>
      <c r="I1157" s="1">
        <v>45303.879374999997</v>
      </c>
      <c r="J1157" s="1">
        <v>42221.569108796299</v>
      </c>
      <c r="K1157" cm="1">
        <f t="array" ref="K1157" xml:space="preserve"> sentimentCalc(C1157)</f>
        <v>-4</v>
      </c>
      <c r="L1157" t="str" cm="1">
        <f t="array" ref="L1157" xml:space="preserve"> sentimentCategory(K1157)</f>
        <v>Negative</v>
      </c>
    </row>
    <row r="1158" spans="1:12">
      <c r="A1158" t="s">
        <v>3342</v>
      </c>
      <c r="B1158" t="s">
        <v>3341</v>
      </c>
      <c r="C1158" t="str" cm="1">
        <f t="array" ref="C1158" xml:space="preserve"> CleanText(B1158)</f>
        <v>avatar for the uncool kidssamurai jack for the cool kids</v>
      </c>
      <c r="D1158">
        <v>1</v>
      </c>
      <c r="E1158">
        <v>0</v>
      </c>
      <c r="F1158" t="s">
        <v>0</v>
      </c>
      <c r="G1158" t="str" cm="1">
        <f t="array" ref="G1158" xml:space="preserve"> FindCountryName(F1158)</f>
        <v>None</v>
      </c>
      <c r="H1158" s="1">
        <v>45303.875601851854</v>
      </c>
      <c r="I1158" s="1">
        <v>45303.875601851854</v>
      </c>
      <c r="J1158" s="1">
        <v>42221.569108796299</v>
      </c>
      <c r="K1158" cm="1">
        <f t="array" ref="K1158" xml:space="preserve"> sentimentCalc(C1158)</f>
        <v>1</v>
      </c>
      <c r="L1158" t="str" cm="1">
        <f t="array" ref="L1158" xml:space="preserve"> sentimentCategory(K1158)</f>
        <v>Positive</v>
      </c>
    </row>
    <row r="1159" spans="1:12">
      <c r="A1159" t="s">
        <v>3340</v>
      </c>
      <c r="B1159" t="s">
        <v>3339</v>
      </c>
      <c r="C1159" t="str" cm="1">
        <f t="array" ref="C1159" xml:space="preserve"> CleanText(B1159)</f>
        <v>m night shitting his pants right now</v>
      </c>
      <c r="D1159">
        <v>0</v>
      </c>
      <c r="E1159">
        <v>0</v>
      </c>
      <c r="F1159" t="s">
        <v>0</v>
      </c>
      <c r="G1159" t="str" cm="1">
        <f t="array" ref="G1159" xml:space="preserve"> FindCountryName(F1159)</f>
        <v>None</v>
      </c>
      <c r="H1159" s="1">
        <v>45303.856354166666</v>
      </c>
      <c r="I1159" s="1">
        <v>45303.856354166666</v>
      </c>
      <c r="J1159" s="1">
        <v>41975.931990740741</v>
      </c>
      <c r="K1159" cm="1">
        <f t="array" ref="K1159" xml:space="preserve"> sentimentCalc(C1159)</f>
        <v>0</v>
      </c>
      <c r="L1159" t="str" cm="1">
        <f t="array" ref="L1159" xml:space="preserve"> sentimentCategory(K1159)</f>
        <v>Neutral</v>
      </c>
    </row>
    <row r="1160" spans="1:12">
      <c r="A1160" t="s">
        <v>56</v>
      </c>
      <c r="B1160" t="s">
        <v>3338</v>
      </c>
      <c r="C1160" t="str" cm="1">
        <f t="array" ref="C1160" xml:space="preserve"> CleanText(B1160)</f>
        <v>wheres my cabbages</v>
      </c>
      <c r="D1160">
        <v>0</v>
      </c>
      <c r="E1160">
        <v>0</v>
      </c>
      <c r="F1160" t="s">
        <v>944</v>
      </c>
      <c r="G1160" t="str" cm="1">
        <f t="array" ref="G1160" xml:space="preserve"> FindCountryName(F1160)</f>
        <v>Russian Federation (the)</v>
      </c>
      <c r="H1160" s="1">
        <v>45303.811631944445</v>
      </c>
      <c r="I1160" s="1">
        <v>45303.811631944445</v>
      </c>
      <c r="J1160" s="1">
        <v>43307.070474537039</v>
      </c>
      <c r="K1160" cm="1">
        <f t="array" ref="K1160" xml:space="preserve"> sentimentCalc(C1160)</f>
        <v>0</v>
      </c>
      <c r="L1160" t="str" cm="1">
        <f t="array" ref="L1160" xml:space="preserve"> sentimentCategory(K1160)</f>
        <v>Neutral</v>
      </c>
    </row>
    <row r="1161" spans="1:12">
      <c r="A1161" t="s">
        <v>1681</v>
      </c>
      <c r="B1161" t="s">
        <v>3337</v>
      </c>
      <c r="C1161" t="str" cm="1">
        <f t="array" ref="C1161" xml:space="preserve"> CleanText(B1161)</f>
        <v>can someone simple answer is this gonna be a film or a series ive stayed away from behind the scenes leaks plz and thnks praying its a series</v>
      </c>
      <c r="D1161">
        <v>0</v>
      </c>
      <c r="E1161">
        <v>2</v>
      </c>
      <c r="F1161" t="s">
        <v>19</v>
      </c>
      <c r="G1161" t="str" cm="1">
        <f t="array" ref="G1161" xml:space="preserve"> FindCountryName(F1161)</f>
        <v>United States of America (the)</v>
      </c>
      <c r="H1161" s="1">
        <v>45303.796423611115</v>
      </c>
      <c r="I1161" s="1">
        <v>45303.796423611115</v>
      </c>
      <c r="J1161" s="1">
        <v>41857.924826388888</v>
      </c>
      <c r="K1161" cm="1">
        <f t="array" ref="K1161" xml:space="preserve"> sentimentCalc(C1161)</f>
        <v>1</v>
      </c>
      <c r="L1161" t="str" cm="1">
        <f t="array" ref="L1161" xml:space="preserve"> sentimentCategory(K1161)</f>
        <v>Positive</v>
      </c>
    </row>
    <row r="1162" spans="1:12">
      <c r="A1162" t="s">
        <v>3336</v>
      </c>
      <c r="B1162" t="s">
        <v>3335</v>
      </c>
      <c r="C1162" t="str" cm="1">
        <f t="array" ref="C1162" xml:space="preserve"> CleanText(B1162)</f>
        <v>make ang a girl and make it gay</v>
      </c>
      <c r="D1162">
        <v>0</v>
      </c>
      <c r="E1162">
        <v>1</v>
      </c>
      <c r="F1162" t="s">
        <v>0</v>
      </c>
      <c r="G1162" t="str" cm="1">
        <f t="array" ref="G1162" xml:space="preserve"> FindCountryName(F1162)</f>
        <v>None</v>
      </c>
      <c r="H1162" s="1">
        <v>45303.742106481484</v>
      </c>
      <c r="I1162" s="1">
        <v>45303.742106481484</v>
      </c>
      <c r="J1162" s="1">
        <v>40882.300856481481</v>
      </c>
      <c r="K1162" cm="1">
        <f t="array" ref="K1162" xml:space="preserve"> sentimentCalc(C1162)</f>
        <v>0</v>
      </c>
      <c r="L1162" t="str" cm="1">
        <f t="array" ref="L1162" xml:space="preserve"> sentimentCategory(K1162)</f>
        <v>Neutral</v>
      </c>
    </row>
    <row r="1163" spans="1:12">
      <c r="A1163" t="s">
        <v>47</v>
      </c>
      <c r="B1163" t="s">
        <v>3334</v>
      </c>
      <c r="C1163" t="str" cm="1">
        <f t="array" ref="C1163" xml:space="preserve"> CleanText(B1163)</f>
        <v>i am not hopeful</v>
      </c>
      <c r="D1163">
        <v>0</v>
      </c>
      <c r="E1163">
        <v>0</v>
      </c>
      <c r="F1163" t="s">
        <v>0</v>
      </c>
      <c r="G1163" t="str" cm="1">
        <f t="array" ref="G1163" xml:space="preserve"> FindCountryName(F1163)</f>
        <v>None</v>
      </c>
      <c r="H1163" s="1">
        <v>45303.67050925926</v>
      </c>
      <c r="I1163" s="1">
        <v>45303.67050925926</v>
      </c>
      <c r="J1163" s="1">
        <v>41344.410543981481</v>
      </c>
      <c r="K1163" cm="1">
        <f t="array" ref="K1163" xml:space="preserve"> sentimentCalc(C1163)</f>
        <v>2</v>
      </c>
      <c r="L1163" t="str" cm="1">
        <f t="array" ref="L1163" xml:space="preserve"> sentimentCategory(K1163)</f>
        <v>Positive</v>
      </c>
    </row>
    <row r="1164" spans="1:12">
      <c r="A1164" t="s">
        <v>1782</v>
      </c>
      <c r="B1164" t="s">
        <v>3333</v>
      </c>
      <c r="C1164" t="str" cm="1">
        <f t="array" ref="C1164" xml:space="preserve"> CleanText(B1164)</f>
        <v>this cant be as bad as the movie that was a nightmare</v>
      </c>
      <c r="D1164">
        <v>1</v>
      </c>
      <c r="E1164">
        <v>0</v>
      </c>
      <c r="F1164" t="s">
        <v>0</v>
      </c>
      <c r="G1164" t="str" cm="1">
        <f t="array" ref="G1164" xml:space="preserve"> FindCountryName(F1164)</f>
        <v>None</v>
      </c>
      <c r="H1164" s="1">
        <v>45303.656828703701</v>
      </c>
      <c r="I1164" s="1">
        <v>45303.656828703701</v>
      </c>
      <c r="J1164" s="1">
        <v>41351.691134259258</v>
      </c>
      <c r="K1164" cm="1">
        <f t="array" ref="K1164" xml:space="preserve"> sentimentCalc(C1164)</f>
        <v>-3</v>
      </c>
      <c r="L1164" t="str" cm="1">
        <f t="array" ref="L1164" xml:space="preserve"> sentimentCategory(K1164)</f>
        <v>Negative</v>
      </c>
    </row>
    <row r="1165" spans="1:12">
      <c r="A1165" t="s">
        <v>3275</v>
      </c>
      <c r="B1165" t="s">
        <v>3332</v>
      </c>
      <c r="C1165" t="str" cm="1">
        <f t="array" ref="C1165" xml:space="preserve"> CleanText(B1165)</f>
        <v>the fact im in  love with avatar again so this is going to be great my guys</v>
      </c>
      <c r="D1165">
        <v>2</v>
      </c>
      <c r="E1165">
        <v>1</v>
      </c>
      <c r="F1165" t="s">
        <v>0</v>
      </c>
      <c r="G1165" t="str" cm="1">
        <f t="array" ref="G1165" xml:space="preserve"> FindCountryName(F1165)</f>
        <v>None</v>
      </c>
      <c r="H1165" s="1">
        <v>45303.647256944445</v>
      </c>
      <c r="I1165" s="1">
        <v>45303.647256944445</v>
      </c>
      <c r="J1165" s="1">
        <v>43507.77983796296</v>
      </c>
      <c r="K1165" cm="1">
        <f t="array" ref="K1165" xml:space="preserve"> sentimentCalc(C1165)</f>
        <v>6</v>
      </c>
      <c r="L1165" t="str" cm="1">
        <f t="array" ref="L1165" xml:space="preserve"> sentimentCategory(K1165)</f>
        <v>Positive</v>
      </c>
    </row>
    <row r="1166" spans="1:12">
      <c r="A1166" t="s">
        <v>1059</v>
      </c>
      <c r="B1166" t="s">
        <v>3331</v>
      </c>
      <c r="C1166" t="str" cm="1">
        <f t="array" ref="C1166" xml:space="preserve"> CleanText(B1166)</f>
        <v>for this to be a huge hit it has to be a series and it has to have  seasons like how the og animation was the stories from the chapters are too long for them to be squeezed into a movie they should adapt everything from the animation and it will be a success</v>
      </c>
      <c r="D1166">
        <v>1</v>
      </c>
      <c r="E1166">
        <v>2</v>
      </c>
      <c r="F1166" t="s">
        <v>0</v>
      </c>
      <c r="G1166" t="str" cm="1">
        <f t="array" ref="G1166" xml:space="preserve"> FindCountryName(F1166)</f>
        <v>None</v>
      </c>
      <c r="H1166" s="1">
        <v>45303.620150462964</v>
      </c>
      <c r="I1166" s="1">
        <v>45303.620150462964</v>
      </c>
      <c r="J1166" s="1">
        <v>43844.879108796296</v>
      </c>
      <c r="K1166" cm="1">
        <f t="array" ref="K1166" xml:space="preserve"> sentimentCalc(C1166)</f>
        <v>5</v>
      </c>
      <c r="L1166" t="str" cm="1">
        <f t="array" ref="L1166" xml:space="preserve"> sentimentCategory(K1166)</f>
        <v>Positive</v>
      </c>
    </row>
    <row r="1167" spans="1:12">
      <c r="A1167" t="s">
        <v>1636</v>
      </c>
      <c r="B1167" t="s">
        <v>3330</v>
      </c>
      <c r="C1167" t="str" cm="1">
        <f t="array" ref="C1167" xml:space="preserve"> CleanText(B1167)</f>
        <v>always had to be a series of a trilogy</v>
      </c>
      <c r="D1167">
        <v>0</v>
      </c>
      <c r="E1167">
        <v>0</v>
      </c>
      <c r="F1167" t="s">
        <v>0</v>
      </c>
      <c r="G1167" t="str" cm="1">
        <f t="array" ref="G1167" xml:space="preserve"> FindCountryName(F1167)</f>
        <v>None</v>
      </c>
      <c r="H1167" s="1">
        <v>45303.606030092589</v>
      </c>
      <c r="I1167" s="1">
        <v>45303.606030092589</v>
      </c>
      <c r="J1167" s="1">
        <v>43844.778564814813</v>
      </c>
      <c r="K1167" cm="1">
        <f t="array" ref="K1167" xml:space="preserve"> sentimentCalc(C1167)</f>
        <v>0</v>
      </c>
      <c r="L1167" t="str" cm="1">
        <f t="array" ref="L1167" xml:space="preserve"> sentimentCategory(K1167)</f>
        <v>Neutral</v>
      </c>
    </row>
    <row r="1168" spans="1:12">
      <c r="A1168" t="s">
        <v>653</v>
      </c>
      <c r="B1168" t="s">
        <v>111</v>
      </c>
      <c r="C1168" t="str" cm="1">
        <f t="array" ref="C1168" xml:space="preserve"> CleanText(B1168)</f>
        <v>yip yip</v>
      </c>
      <c r="D1168">
        <v>1</v>
      </c>
      <c r="E1168">
        <v>0</v>
      </c>
      <c r="F1168" t="s">
        <v>0</v>
      </c>
      <c r="G1168" t="str" cm="1">
        <f t="array" ref="G1168" xml:space="preserve"> FindCountryName(F1168)</f>
        <v>None</v>
      </c>
      <c r="H1168" s="1">
        <v>45303.598217592589</v>
      </c>
      <c r="I1168" s="1">
        <v>45303.598217592589</v>
      </c>
      <c r="J1168" s="1">
        <v>40756.02144675926</v>
      </c>
      <c r="K1168" cm="1">
        <f t="array" ref="K1168" xml:space="preserve"> sentimentCalc(C1168)</f>
        <v>0</v>
      </c>
      <c r="L1168" t="str" cm="1">
        <f t="array" ref="L1168" xml:space="preserve"> sentimentCategory(K1168)</f>
        <v>Neutral</v>
      </c>
    </row>
    <row r="1169" spans="1:12">
      <c r="A1169" t="s">
        <v>640</v>
      </c>
      <c r="B1169" t="s">
        <v>3329</v>
      </c>
      <c r="C1169" t="str" cm="1">
        <f t="array" ref="C1169" xml:space="preserve"> CleanText(B1169)</f>
        <v>aang is so brutally ugly</v>
      </c>
      <c r="D1169">
        <v>0</v>
      </c>
      <c r="E1169">
        <v>1</v>
      </c>
      <c r="F1169" t="s">
        <v>0</v>
      </c>
      <c r="G1169" t="str" cm="1">
        <f t="array" ref="G1169" xml:space="preserve"> FindCountryName(F1169)</f>
        <v>None</v>
      </c>
      <c r="H1169" s="1">
        <v>45303.488668981481</v>
      </c>
      <c r="I1169" s="1">
        <v>45303.488668981481</v>
      </c>
      <c r="J1169" s="1">
        <v>41072.635381944441</v>
      </c>
      <c r="K1169" cm="1">
        <f t="array" ref="K1169" xml:space="preserve"> sentimentCalc(C1169)</f>
        <v>-3</v>
      </c>
      <c r="L1169" t="str" cm="1">
        <f t="array" ref="L1169" xml:space="preserve"> sentimentCategory(K1169)</f>
        <v>Negative</v>
      </c>
    </row>
    <row r="1170" spans="1:12">
      <c r="A1170" t="s">
        <v>1934</v>
      </c>
      <c r="B1170" t="s">
        <v>3328</v>
      </c>
      <c r="C1170" t="str" cm="1">
        <f t="array" ref="C1170" xml:space="preserve"> CleanText(B1170)</f>
        <v>the creators of atla left the team with netflix a few years ago due to not having creative control in other words they were not happy how netflix was running things so they left its gonna suck guys im sorry to say</v>
      </c>
      <c r="D1170">
        <v>0</v>
      </c>
      <c r="E1170">
        <v>1</v>
      </c>
      <c r="F1170" t="s">
        <v>19</v>
      </c>
      <c r="G1170" t="str" cm="1">
        <f t="array" ref="G1170" xml:space="preserve"> FindCountryName(F1170)</f>
        <v>United States of America (the)</v>
      </c>
      <c r="H1170" s="1">
        <v>45303.473425925928</v>
      </c>
      <c r="I1170" s="1">
        <v>45303.473425925928</v>
      </c>
      <c r="J1170" s="1">
        <v>39318.760462962964</v>
      </c>
      <c r="K1170" cm="1">
        <f t="array" ref="K1170" xml:space="preserve"> sentimentCalc(C1170)</f>
        <v>1</v>
      </c>
      <c r="L1170" t="str" cm="1">
        <f t="array" ref="L1170" xml:space="preserve"> sentimentCategory(K1170)</f>
        <v>Positive</v>
      </c>
    </row>
    <row r="1171" spans="1:12">
      <c r="A1171" t="s">
        <v>1096</v>
      </c>
      <c r="B1171" t="s">
        <v>3327</v>
      </c>
      <c r="C1171" t="str" cm="1">
        <f t="array" ref="C1171" xml:space="preserve"> CleanText(B1171)</f>
        <v>nice work netflix the cgi and overall look is simply incredible</v>
      </c>
      <c r="D1171">
        <v>1</v>
      </c>
      <c r="E1171">
        <v>0</v>
      </c>
      <c r="F1171" t="s">
        <v>0</v>
      </c>
      <c r="G1171" t="str" cm="1">
        <f t="array" ref="G1171" xml:space="preserve"> FindCountryName(F1171)</f>
        <v>None</v>
      </c>
      <c r="H1171" s="1">
        <v>45303.471828703703</v>
      </c>
      <c r="I1171" s="1">
        <v>45303.471828703703</v>
      </c>
      <c r="J1171" s="1">
        <v>40788.973067129627</v>
      </c>
      <c r="K1171" cm="1">
        <f t="array" ref="K1171" xml:space="preserve"> sentimentCalc(C1171)</f>
        <v>3</v>
      </c>
      <c r="L1171" t="str" cm="1">
        <f t="array" ref="L1171" xml:space="preserve"> sentimentCategory(K1171)</f>
        <v>Positive</v>
      </c>
    </row>
    <row r="1172" spans="1:12">
      <c r="A1172" t="s">
        <v>355</v>
      </c>
      <c r="B1172" t="s">
        <v>3326</v>
      </c>
      <c r="C1172" t="str" cm="1">
        <f t="array" ref="C1172" xml:space="preserve"> CleanText(B1172)</f>
        <v>it seems that netflix is learning from its mistakes</v>
      </c>
      <c r="D1172">
        <v>2</v>
      </c>
      <c r="E1172">
        <v>0</v>
      </c>
      <c r="F1172" t="s">
        <v>0</v>
      </c>
      <c r="G1172" t="str" cm="1">
        <f t="array" ref="G1172" xml:space="preserve"> FindCountryName(F1172)</f>
        <v>None</v>
      </c>
      <c r="H1172" s="1">
        <v>45303.466643518521</v>
      </c>
      <c r="I1172" s="1">
        <v>45303.466643518521</v>
      </c>
      <c r="J1172" s="1">
        <v>45303.466631944444</v>
      </c>
      <c r="K1172" cm="1">
        <f t="array" ref="K1172" xml:space="preserve"> sentimentCalc(C1172)</f>
        <v>-2</v>
      </c>
      <c r="L1172" t="str" cm="1">
        <f t="array" ref="L1172" xml:space="preserve"> sentimentCategory(K1172)</f>
        <v>Negative</v>
      </c>
    </row>
    <row r="1173" spans="1:12">
      <c r="A1173" t="s">
        <v>582</v>
      </c>
      <c r="B1173" t="s">
        <v>3325</v>
      </c>
      <c r="C1173" t="str" cm="1">
        <f t="array" ref="C1173" xml:space="preserve"> CleanText(B1173)</f>
        <v>thankyou so much for the gift ️</v>
      </c>
      <c r="D1173">
        <v>0</v>
      </c>
      <c r="E1173">
        <v>0</v>
      </c>
      <c r="F1173" t="s">
        <v>0</v>
      </c>
      <c r="G1173" t="str" cm="1">
        <f t="array" ref="G1173" xml:space="preserve"> FindCountryName(F1173)</f>
        <v>None</v>
      </c>
      <c r="H1173" s="1">
        <v>45303.465486111112</v>
      </c>
      <c r="I1173" s="1">
        <v>45303.465486111112</v>
      </c>
      <c r="J1173" s="1">
        <v>41429.201724537037</v>
      </c>
      <c r="K1173" cm="1">
        <f t="array" ref="K1173" xml:space="preserve"> sentimentCalc(C1173)</f>
        <v>2</v>
      </c>
      <c r="L1173" t="str" cm="1">
        <f t="array" ref="L1173" xml:space="preserve"> sentimentCategory(K1173)</f>
        <v>Positive</v>
      </c>
    </row>
    <row r="1174" spans="1:12">
      <c r="A1174" t="s">
        <v>3324</v>
      </c>
      <c r="B1174" t="s">
        <v>3323</v>
      </c>
      <c r="C1174" t="str" cm="1">
        <f t="array" ref="C1174" xml:space="preserve"> CleanText(B1174)</f>
        <v>top show</v>
      </c>
      <c r="D1174">
        <v>1</v>
      </c>
      <c r="E1174">
        <v>0</v>
      </c>
      <c r="F1174" t="s">
        <v>124</v>
      </c>
      <c r="G1174" t="str" cm="1">
        <f t="array" ref="G1174" xml:space="preserve"> FindCountryName(F1174)</f>
        <v>Brazil</v>
      </c>
      <c r="H1174" s="1">
        <v>45303.446111111109</v>
      </c>
      <c r="I1174" s="1">
        <v>45303.446111111109</v>
      </c>
      <c r="J1174" s="1">
        <v>41862.647719907407</v>
      </c>
      <c r="K1174" cm="1">
        <f t="array" ref="K1174" xml:space="preserve"> sentimentCalc(C1174)</f>
        <v>2</v>
      </c>
      <c r="L1174" t="str" cm="1">
        <f t="array" ref="L1174" xml:space="preserve"> sentimentCategory(K1174)</f>
        <v>Positive</v>
      </c>
    </row>
    <row r="1175" spans="1:12">
      <c r="A1175" t="s">
        <v>282</v>
      </c>
      <c r="B1175" t="s">
        <v>3322</v>
      </c>
      <c r="C1175" t="str" cm="1">
        <f t="array" ref="C1175" xml:space="preserve"> CleanText(B1175)</f>
        <v>cant wait for that scene where all the eyes of the statues in the southern air temple glow</v>
      </c>
      <c r="D1175">
        <v>10</v>
      </c>
      <c r="E1175">
        <v>0</v>
      </c>
      <c r="F1175" t="s">
        <v>0</v>
      </c>
      <c r="G1175" t="str" cm="1">
        <f t="array" ref="G1175" xml:space="preserve"> FindCountryName(F1175)</f>
        <v>None</v>
      </c>
      <c r="H1175" s="1">
        <v>45303.333622685182</v>
      </c>
      <c r="I1175" s="1">
        <v>45303.333622685182</v>
      </c>
      <c r="J1175" s="1">
        <v>41744.248506944445</v>
      </c>
      <c r="K1175" cm="1">
        <f t="array" ref="K1175" xml:space="preserve"> sentimentCalc(C1175)</f>
        <v>0</v>
      </c>
      <c r="L1175" t="str" cm="1">
        <f t="array" ref="L1175" xml:space="preserve"> sentimentCategory(K1175)</f>
        <v>Neutral</v>
      </c>
    </row>
    <row r="1176" spans="1:12">
      <c r="A1176" t="s">
        <v>86</v>
      </c>
      <c r="B1176" t="s">
        <v>3321</v>
      </c>
      <c r="C1176" t="str" cm="1">
        <f t="array" ref="C1176" xml:space="preserve"> CleanText(B1176)</f>
        <v>looks amazing</v>
      </c>
      <c r="D1176">
        <v>0</v>
      </c>
      <c r="E1176">
        <v>0</v>
      </c>
      <c r="F1176" t="s">
        <v>0</v>
      </c>
      <c r="G1176" t="str" cm="1">
        <f t="array" ref="G1176" xml:space="preserve"> FindCountryName(F1176)</f>
        <v>None</v>
      </c>
      <c r="H1176" s="1">
        <v>45303.267395833333</v>
      </c>
      <c r="I1176" s="1">
        <v>45303.267395833333</v>
      </c>
      <c r="J1176" s="1">
        <v>42883.451458333337</v>
      </c>
      <c r="K1176" cm="1">
        <f t="array" ref="K1176" xml:space="preserve"> sentimentCalc(C1176)</f>
        <v>4</v>
      </c>
      <c r="L1176" t="str" cm="1">
        <f t="array" ref="L1176" xml:space="preserve"> sentimentCategory(K1176)</f>
        <v>Positive</v>
      </c>
    </row>
    <row r="1177" spans="1:12">
      <c r="A1177" t="s">
        <v>730</v>
      </c>
      <c r="B1177" t="s">
        <v>3320</v>
      </c>
      <c r="C1177" t="str" cm="1">
        <f t="array" ref="C1177" xml:space="preserve"> CleanText(B1177)</f>
        <v>if monk gyasto dont suck the life out the of the room and show what happened during the genocide im going to riot</v>
      </c>
      <c r="D1177">
        <v>0</v>
      </c>
      <c r="E1177">
        <v>0</v>
      </c>
      <c r="F1177" t="s">
        <v>0</v>
      </c>
      <c r="G1177" t="str" cm="1">
        <f t="array" ref="G1177" xml:space="preserve"> FindCountryName(F1177)</f>
        <v>None</v>
      </c>
      <c r="H1177" s="1">
        <v>45303.235532407409</v>
      </c>
      <c r="I1177" s="1">
        <v>45303.235532407409</v>
      </c>
      <c r="J1177" s="1">
        <v>41991.705937500003</v>
      </c>
      <c r="K1177" cm="1">
        <f t="array" ref="K1177" xml:space="preserve"> sentimentCalc(C1177)</f>
        <v>-5</v>
      </c>
      <c r="L1177" t="str" cm="1">
        <f t="array" ref="L1177" xml:space="preserve"> sentimentCategory(K1177)</f>
        <v>Negative</v>
      </c>
    </row>
    <row r="1178" spans="1:12">
      <c r="A1178" t="s">
        <v>251</v>
      </c>
      <c r="B1178" t="s">
        <v>3319</v>
      </c>
      <c r="C1178" t="str" cm="1">
        <f t="array" ref="C1178" xml:space="preserve"> CleanText(B1178)</f>
        <v>i am extremely scared for this</v>
      </c>
      <c r="D1178">
        <v>0</v>
      </c>
      <c r="E1178">
        <v>0</v>
      </c>
      <c r="F1178" t="s">
        <v>0</v>
      </c>
      <c r="G1178" t="str" cm="1">
        <f t="array" ref="G1178" xml:space="preserve"> FindCountryName(F1178)</f>
        <v>None</v>
      </c>
      <c r="H1178" s="1">
        <v>45303.17083333333</v>
      </c>
      <c r="I1178" s="1">
        <v>45303.17083333333</v>
      </c>
      <c r="J1178" s="1">
        <v>44565.735590277778</v>
      </c>
      <c r="K1178" cm="1">
        <f t="array" ref="K1178" xml:space="preserve"> sentimentCalc(C1178)</f>
        <v>-2</v>
      </c>
      <c r="L1178" t="str" cm="1">
        <f t="array" ref="L1178" xml:space="preserve"> sentimentCategory(K1178)</f>
        <v>Negative</v>
      </c>
    </row>
    <row r="1179" spans="1:12">
      <c r="A1179" t="s">
        <v>291</v>
      </c>
      <c r="B1179" t="s">
        <v>3318</v>
      </c>
      <c r="C1179" t="str" cm="1">
        <f t="array" ref="C1179" xml:space="preserve"> CleanText(B1179)</f>
        <v>the only problem that i dont know if theyre gonna be able to handle is that these kids are gonna grow up really fast unless they film everything at once by the last season theyll be all grown up which could be a problem</v>
      </c>
      <c r="D1179">
        <v>0</v>
      </c>
      <c r="E1179">
        <v>2</v>
      </c>
      <c r="F1179" t="s">
        <v>0</v>
      </c>
      <c r="G1179" t="str" cm="1">
        <f t="array" ref="G1179" xml:space="preserve"> FindCountryName(F1179)</f>
        <v>None</v>
      </c>
      <c r="H1179" s="1">
        <v>45303.148217592592</v>
      </c>
      <c r="I1179" s="1">
        <v>45303.277905092589</v>
      </c>
      <c r="J1179" s="1">
        <v>41325.834409722222</v>
      </c>
      <c r="K1179" cm="1">
        <f t="array" ref="K1179" xml:space="preserve"> sentimentCalc(C1179)</f>
        <v>-4</v>
      </c>
      <c r="L1179" t="str" cm="1">
        <f t="array" ref="L1179" xml:space="preserve"> sentimentCategory(K1179)</f>
        <v>Negative</v>
      </c>
    </row>
    <row r="1180" spans="1:12">
      <c r="A1180" t="s">
        <v>3317</v>
      </c>
      <c r="B1180" t="s">
        <v>3316</v>
      </c>
      <c r="C1180" t="str" cm="1">
        <f t="array" ref="C1180" xml:space="preserve"> CleanText(B1180)</f>
        <v>one piece serisinden sonra avatar serisi ok doru iler yapmaya balad netflix</v>
      </c>
      <c r="D1180">
        <v>0</v>
      </c>
      <c r="E1180">
        <v>0</v>
      </c>
      <c r="F1180" t="s">
        <v>0</v>
      </c>
      <c r="G1180" t="str" cm="1">
        <f t="array" ref="G1180" xml:space="preserve"> FindCountryName(F1180)</f>
        <v>None</v>
      </c>
      <c r="H1180" s="1">
        <v>45303.115636574075</v>
      </c>
      <c r="I1180" s="1">
        <v>45303.115636574075</v>
      </c>
      <c r="J1180" s="1">
        <v>38899.411990740744</v>
      </c>
      <c r="K1180" cm="1">
        <f t="array" ref="K1180" xml:space="preserve"> sentimentCalc(C1180)</f>
        <v>0</v>
      </c>
      <c r="L1180" t="str" cm="1">
        <f t="array" ref="L1180" xml:space="preserve"> sentimentCategory(K1180)</f>
        <v>Neutral</v>
      </c>
    </row>
    <row r="1181" spans="1:12">
      <c r="A1181" t="s">
        <v>582</v>
      </c>
      <c r="B1181" t="s">
        <v>3315</v>
      </c>
      <c r="C1181" t="str" cm="1">
        <f t="array" ref="C1181" xml:space="preserve"> CleanText(B1181)</f>
        <v>ale szit</v>
      </c>
      <c r="D1181">
        <v>0</v>
      </c>
      <c r="E1181">
        <v>0</v>
      </c>
      <c r="F1181" t="s">
        <v>0</v>
      </c>
      <c r="G1181" t="str" cm="1">
        <f t="array" ref="G1181" xml:space="preserve"> FindCountryName(F1181)</f>
        <v>None</v>
      </c>
      <c r="H1181" s="1">
        <v>45303.102453703701</v>
      </c>
      <c r="I1181" s="1">
        <v>45303.102453703701</v>
      </c>
      <c r="J1181" s="1">
        <v>42152.123738425929</v>
      </c>
      <c r="K1181" cm="1">
        <f t="array" ref="K1181" xml:space="preserve"> sentimentCalc(C1181)</f>
        <v>0</v>
      </c>
      <c r="L1181" t="str" cm="1">
        <f t="array" ref="L1181" xml:space="preserve"> sentimentCategory(K1181)</f>
        <v>Neutral</v>
      </c>
    </row>
    <row r="1182" spans="1:12">
      <c r="A1182" t="s">
        <v>16</v>
      </c>
      <c r="B1182" t="s">
        <v>3314</v>
      </c>
      <c r="C1182" t="str" cm="1">
        <f t="array" ref="C1182" xml:space="preserve"> CleanText(B1182)</f>
        <v>dude it looks soooooooooooooo good</v>
      </c>
      <c r="D1182">
        <v>1</v>
      </c>
      <c r="E1182">
        <v>0</v>
      </c>
      <c r="F1182" t="s">
        <v>0</v>
      </c>
      <c r="G1182" t="str" cm="1">
        <f t="array" ref="G1182" xml:space="preserve"> FindCountryName(F1182)</f>
        <v>None</v>
      </c>
      <c r="H1182" s="1">
        <v>45303.078680555554</v>
      </c>
      <c r="I1182" s="1">
        <v>45303.078680555554</v>
      </c>
      <c r="J1182" s="1">
        <v>41426.567118055558</v>
      </c>
      <c r="K1182" cm="1">
        <f t="array" ref="K1182" xml:space="preserve"> sentimentCalc(C1182)</f>
        <v>3</v>
      </c>
      <c r="L1182" t="str" cm="1">
        <f t="array" ref="L1182" xml:space="preserve"> sentimentCategory(K1182)</f>
        <v>Positive</v>
      </c>
    </row>
    <row r="1183" spans="1:12">
      <c r="A1183" t="s">
        <v>1520</v>
      </c>
      <c r="B1183" t="s">
        <v>3313</v>
      </c>
      <c r="C1183" t="str" cm="1">
        <f t="array" ref="C1183" xml:space="preserve"> CleanText(B1183)</f>
        <v>umay nmn nito paulit ulit nlng sa unan tas walng dugtong</v>
      </c>
      <c r="D1183">
        <v>0</v>
      </c>
      <c r="E1183">
        <v>0</v>
      </c>
      <c r="F1183" t="s">
        <v>64</v>
      </c>
      <c r="G1183" t="str" cm="1">
        <f t="array" ref="G1183" xml:space="preserve"> FindCountryName(F1183)</f>
        <v>Philippines (the)</v>
      </c>
      <c r="H1183" s="1">
        <v>45303.051874999997</v>
      </c>
      <c r="I1183" s="1">
        <v>45303.051874999997</v>
      </c>
      <c r="J1183" s="1">
        <v>41979.463472222225</v>
      </c>
      <c r="K1183" cm="1">
        <f t="array" ref="K1183" xml:space="preserve"> sentimentCalc(C1183)</f>
        <v>0</v>
      </c>
      <c r="L1183" t="str" cm="1">
        <f t="array" ref="L1183" xml:space="preserve"> sentimentCategory(K1183)</f>
        <v>Neutral</v>
      </c>
    </row>
    <row r="1184" spans="1:12">
      <c r="A1184" t="s">
        <v>251</v>
      </c>
      <c r="B1184" t="s">
        <v>3312</v>
      </c>
      <c r="C1184" t="str" cm="1">
        <f t="array" ref="C1184" xml:space="preserve"> CleanText(B1184)</f>
        <v>skinwashing broh</v>
      </c>
      <c r="D1184">
        <v>0</v>
      </c>
      <c r="E1184">
        <v>0</v>
      </c>
      <c r="F1184" t="s">
        <v>0</v>
      </c>
      <c r="G1184" t="str" cm="1">
        <f t="array" ref="G1184" xml:space="preserve"> FindCountryName(F1184)</f>
        <v>None</v>
      </c>
      <c r="H1184" s="1">
        <v>45303.014479166668</v>
      </c>
      <c r="I1184" s="1">
        <v>45303.014479166668</v>
      </c>
      <c r="J1184" s="1">
        <v>43531.783217592594</v>
      </c>
      <c r="K1184" cm="1">
        <f t="array" ref="K1184" xml:space="preserve"> sentimentCalc(C1184)</f>
        <v>0</v>
      </c>
      <c r="L1184" t="str" cm="1">
        <f t="array" ref="L1184" xml:space="preserve"> sentimentCategory(K1184)</f>
        <v>Neutral</v>
      </c>
    </row>
    <row r="1185" spans="1:12">
      <c r="A1185" t="s">
        <v>68</v>
      </c>
      <c r="B1185" t="s">
        <v>3311</v>
      </c>
      <c r="C1185" t="str" cm="1">
        <f t="array" ref="C1185" xml:space="preserve"> CleanText(B1185)</f>
        <v>cringe af</v>
      </c>
      <c r="D1185">
        <v>0</v>
      </c>
      <c r="E1185">
        <v>0</v>
      </c>
      <c r="F1185" t="s">
        <v>0</v>
      </c>
      <c r="G1185" t="str" cm="1">
        <f t="array" ref="G1185" xml:space="preserve"> FindCountryName(F1185)</f>
        <v>None</v>
      </c>
      <c r="H1185" s="1">
        <v>45302.8518287037</v>
      </c>
      <c r="I1185" s="1">
        <v>45302.8518287037</v>
      </c>
      <c r="J1185" s="1">
        <v>40384.317187499997</v>
      </c>
      <c r="K1185" cm="1">
        <f t="array" ref="K1185" xml:space="preserve"> sentimentCalc(C1185)</f>
        <v>0</v>
      </c>
      <c r="L1185" t="str" cm="1">
        <f t="array" ref="L1185" xml:space="preserve"> sentimentCategory(K1185)</f>
        <v>Neutral</v>
      </c>
    </row>
    <row r="1186" spans="1:12">
      <c r="A1186" t="s">
        <v>3310</v>
      </c>
      <c r="B1186" t="s">
        <v>3309</v>
      </c>
      <c r="C1186" t="str" cm="1">
        <f t="array" ref="C1186" xml:space="preserve"> CleanText(B1186)</f>
        <v>i just hope that they will include iconic lines like water tribe _xDEF3_</v>
      </c>
      <c r="D1186">
        <v>138</v>
      </c>
      <c r="E1186">
        <v>8</v>
      </c>
      <c r="F1186" t="s">
        <v>0</v>
      </c>
      <c r="G1186" t="str" cm="1">
        <f t="array" ref="G1186" xml:space="preserve"> FindCountryName(F1186)</f>
        <v>None</v>
      </c>
      <c r="H1186" s="1">
        <v>45302.804930555554</v>
      </c>
      <c r="I1186" s="1">
        <v>45302.804930555554</v>
      </c>
      <c r="J1186" s="1">
        <v>43598.54959490741</v>
      </c>
      <c r="K1186" cm="1">
        <f t="array" ref="K1186" xml:space="preserve"> sentimentCalc(C1186)</f>
        <v>4</v>
      </c>
      <c r="L1186" t="str" cm="1">
        <f t="array" ref="L1186" xml:space="preserve"> sentimentCategory(K1186)</f>
        <v>Positive</v>
      </c>
    </row>
    <row r="1187" spans="1:12">
      <c r="A1187" t="s">
        <v>741</v>
      </c>
      <c r="B1187" t="s">
        <v>3308</v>
      </c>
      <c r="C1187" t="str" cm="1">
        <f t="array" ref="C1187" xml:space="preserve"> CleanText(B1187)</f>
        <v>as long as its better than the film ill be happy</v>
      </c>
      <c r="D1187">
        <v>0</v>
      </c>
      <c r="E1187">
        <v>0</v>
      </c>
      <c r="F1187" t="s">
        <v>0</v>
      </c>
      <c r="G1187" t="str" cm="1">
        <f t="array" ref="G1187" xml:space="preserve"> FindCountryName(F1187)</f>
        <v>None</v>
      </c>
      <c r="H1187" s="1">
        <v>45302.794386574074</v>
      </c>
      <c r="I1187" s="1">
        <v>45302.794386574074</v>
      </c>
      <c r="J1187" s="1">
        <v>42678.65625</v>
      </c>
      <c r="K1187" cm="1">
        <f t="array" ref="K1187" xml:space="preserve"> sentimentCalc(C1187)</f>
        <v>3</v>
      </c>
      <c r="L1187" t="str" cm="1">
        <f t="array" ref="L1187" xml:space="preserve"> sentimentCategory(K1187)</f>
        <v>Positive</v>
      </c>
    </row>
    <row r="1188" spans="1:12">
      <c r="A1188" t="s">
        <v>3307</v>
      </c>
      <c r="B1188" t="s">
        <v>3306</v>
      </c>
      <c r="C1188" t="str" cm="1">
        <f t="array" ref="C1188" xml:space="preserve"> CleanText(B1188)</f>
        <v>not again _xDE2D_</v>
      </c>
      <c r="D1188">
        <v>1</v>
      </c>
      <c r="E1188">
        <v>0</v>
      </c>
      <c r="F1188" t="s">
        <v>0</v>
      </c>
      <c r="G1188" t="str" cm="1">
        <f t="array" ref="G1188" xml:space="preserve"> FindCountryName(F1188)</f>
        <v>None</v>
      </c>
      <c r="H1188" s="1">
        <v>45302.77753472222</v>
      </c>
      <c r="I1188" s="1">
        <v>45302.77753472222</v>
      </c>
      <c r="J1188" s="1">
        <v>44470.557268518518</v>
      </c>
      <c r="K1188" cm="1">
        <f t="array" ref="K1188" xml:space="preserve"> sentimentCalc(C1188)</f>
        <v>0</v>
      </c>
      <c r="L1188" t="str" cm="1">
        <f t="array" ref="L1188" xml:space="preserve"> sentimentCategory(K1188)</f>
        <v>Neutral</v>
      </c>
    </row>
    <row r="1189" spans="1:12">
      <c r="A1189" t="s">
        <v>745</v>
      </c>
      <c r="B1189" t="s">
        <v>3305</v>
      </c>
      <c r="C1189" t="str" cm="1">
        <f t="array" ref="C1189" xml:space="preserve"> CleanText(B1189)</f>
        <v>that music though</v>
      </c>
      <c r="D1189">
        <v>1</v>
      </c>
      <c r="E1189">
        <v>1</v>
      </c>
      <c r="F1189" t="s">
        <v>0</v>
      </c>
      <c r="G1189" t="str" cm="1">
        <f t="array" ref="G1189" xml:space="preserve"> FindCountryName(F1189)</f>
        <v>None</v>
      </c>
      <c r="H1189" s="1">
        <v>45302.749479166669</v>
      </c>
      <c r="I1189" s="1">
        <v>45302.749479166669</v>
      </c>
      <c r="J1189" s="1">
        <v>41378.908888888887</v>
      </c>
      <c r="K1189" cm="1">
        <f t="array" ref="K1189" xml:space="preserve"> sentimentCalc(C1189)</f>
        <v>0</v>
      </c>
      <c r="L1189" t="str" cm="1">
        <f t="array" ref="L1189" xml:space="preserve"> sentimentCategory(K1189)</f>
        <v>Neutral</v>
      </c>
    </row>
    <row r="1190" spans="1:12">
      <c r="A1190" t="s">
        <v>267</v>
      </c>
      <c r="B1190" t="s">
        <v>3304</v>
      </c>
      <c r="C1190" t="str" cm="1">
        <f t="array" ref="C1190" xml:space="preserve"> CleanText(B1190)</f>
        <v>just seems unnecessary</v>
      </c>
      <c r="D1190">
        <v>0</v>
      </c>
      <c r="E1190">
        <v>2</v>
      </c>
      <c r="F1190" t="s">
        <v>0</v>
      </c>
      <c r="G1190" t="str" cm="1">
        <f t="array" ref="G1190" xml:space="preserve"> FindCountryName(F1190)</f>
        <v>None</v>
      </c>
      <c r="H1190" s="1">
        <v>45302.721284722225</v>
      </c>
      <c r="I1190" s="1">
        <v>45302.721284722225</v>
      </c>
      <c r="J1190" s="1">
        <v>44108.936354166668</v>
      </c>
      <c r="K1190" cm="1">
        <f t="array" ref="K1190" xml:space="preserve"> sentimentCalc(C1190)</f>
        <v>0</v>
      </c>
      <c r="L1190" t="str" cm="1">
        <f t="array" ref="L1190" xml:space="preserve"> sentimentCategory(K1190)</f>
        <v>Neutral</v>
      </c>
    </row>
    <row r="1191" spans="1:12">
      <c r="A1191" t="s">
        <v>3303</v>
      </c>
      <c r="B1191" t="s">
        <v>3302</v>
      </c>
      <c r="C1191" t="str" cm="1">
        <f t="array" ref="C1191" xml:space="preserve"> CleanText(B1191)</f>
        <v>lets go _xDD25_ hopefully this isnt a let down movie or show</v>
      </c>
      <c r="D1191">
        <v>0</v>
      </c>
      <c r="E1191">
        <v>1</v>
      </c>
      <c r="F1191" t="s">
        <v>0</v>
      </c>
      <c r="G1191" t="str" cm="1">
        <f t="array" ref="G1191" xml:space="preserve"> FindCountryName(F1191)</f>
        <v>None</v>
      </c>
      <c r="H1191" s="1">
        <v>45302.700752314813</v>
      </c>
      <c r="I1191" s="1">
        <v>45302.700752314813</v>
      </c>
      <c r="J1191" s="1">
        <v>42042.673634259256</v>
      </c>
      <c r="K1191" cm="1">
        <f t="array" ref="K1191" xml:space="preserve"> sentimentCalc(C1191)</f>
        <v>2</v>
      </c>
      <c r="L1191" t="str" cm="1">
        <f t="array" ref="L1191" xml:space="preserve"> sentimentCategory(K1191)</f>
        <v>Positive</v>
      </c>
    </row>
    <row r="1192" spans="1:12">
      <c r="A1192" t="s">
        <v>3301</v>
      </c>
      <c r="B1192" t="s">
        <v>3300</v>
      </c>
      <c r="C1192" t="str" cm="1">
        <f t="array" ref="C1192" xml:space="preserve"> CleanText(B1192)</f>
        <v>if netflix somehow doesnt mess this up i promise ill finally get my own subscriptionfew more views lateri can not stress enough how much netflix can not screw this one up if they just straight up copied the source material i honestly hope they do it justice</v>
      </c>
      <c r="D1192">
        <v>1</v>
      </c>
      <c r="E1192">
        <v>1</v>
      </c>
      <c r="F1192" t="s">
        <v>0</v>
      </c>
      <c r="G1192" t="str" cm="1">
        <f t="array" ref="G1192" xml:space="preserve"> FindCountryName(F1192)</f>
        <v>None</v>
      </c>
      <c r="H1192" s="1">
        <v>45302.683263888888</v>
      </c>
      <c r="I1192" s="1">
        <v>45302.692256944443</v>
      </c>
      <c r="J1192" s="1">
        <v>40061.409351851849</v>
      </c>
      <c r="K1192" cm="1">
        <f t="array" ref="K1192" xml:space="preserve"> sentimentCalc(C1192)</f>
        <v>2</v>
      </c>
      <c r="L1192" t="str" cm="1">
        <f t="array" ref="L1192" xml:space="preserve"> sentimentCategory(K1192)</f>
        <v>Positive</v>
      </c>
    </row>
    <row r="1193" spans="1:12">
      <c r="A1193" t="s">
        <v>3299</v>
      </c>
      <c r="B1193" t="s">
        <v>3298</v>
      </c>
      <c r="C1193" t="str" cm="1">
        <f t="array" ref="C1193" xml:space="preserve"> CleanText(B1193)</f>
        <v>oh shit here we go again</v>
      </c>
      <c r="D1193">
        <v>0</v>
      </c>
      <c r="E1193">
        <v>0</v>
      </c>
      <c r="F1193" t="s">
        <v>0</v>
      </c>
      <c r="G1193" t="str" cm="1">
        <f t="array" ref="G1193" xml:space="preserve"> FindCountryName(F1193)</f>
        <v>None</v>
      </c>
      <c r="H1193" s="1">
        <v>45302.67423611111</v>
      </c>
      <c r="I1193" s="1">
        <v>45302.67423611111</v>
      </c>
      <c r="J1193" s="1">
        <v>43064.819456018522</v>
      </c>
      <c r="K1193" cm="1">
        <f t="array" ref="K1193" xml:space="preserve"> sentimentCalc(C1193)</f>
        <v>0</v>
      </c>
      <c r="L1193" t="str" cm="1">
        <f t="array" ref="L1193" xml:space="preserve"> sentimentCategory(K1193)</f>
        <v>Neutral</v>
      </c>
    </row>
    <row r="1194" spans="1:12">
      <c r="A1194" t="s">
        <v>2044</v>
      </c>
      <c r="B1194" t="s">
        <v>3297</v>
      </c>
      <c r="C1194" t="str" cm="1">
        <f t="array" ref="C1194" xml:space="preserve"> CleanText(B1194)</f>
        <v>imagine if there was  movies made and each one was  hours long and on the standard of lord of the rings</v>
      </c>
      <c r="D1194">
        <v>0</v>
      </c>
      <c r="E1194">
        <v>6</v>
      </c>
      <c r="F1194" t="s">
        <v>0</v>
      </c>
      <c r="G1194" t="str" cm="1">
        <f t="array" ref="G1194" xml:space="preserve"> FindCountryName(F1194)</f>
        <v>None</v>
      </c>
      <c r="H1194" s="1">
        <v>45302.640740740739</v>
      </c>
      <c r="I1194" s="1">
        <v>45302.640740740739</v>
      </c>
      <c r="J1194" s="1">
        <v>40823.051423611112</v>
      </c>
      <c r="K1194" cm="1">
        <f t="array" ref="K1194" xml:space="preserve"> sentimentCalc(C1194)</f>
        <v>0</v>
      </c>
      <c r="L1194" t="str" cm="1">
        <f t="array" ref="L1194" xml:space="preserve"> sentimentCategory(K1194)</f>
        <v>Neutral</v>
      </c>
    </row>
    <row r="1195" spans="1:12">
      <c r="A1195" t="s">
        <v>231</v>
      </c>
      <c r="B1195" t="s">
        <v>3296</v>
      </c>
      <c r="C1195" t="str" cm="1">
        <f t="array" ref="C1195" xml:space="preserve"> CleanText(B1195)</f>
        <v>i just want them to get dwayne johnson to play the boulder in season</v>
      </c>
      <c r="D1195">
        <v>1</v>
      </c>
      <c r="E1195">
        <v>0</v>
      </c>
      <c r="F1195" t="s">
        <v>0</v>
      </c>
      <c r="G1195" t="str" cm="1">
        <f t="array" ref="G1195" xml:space="preserve"> FindCountryName(F1195)</f>
        <v>None</v>
      </c>
      <c r="H1195" s="1">
        <v>45302.640601851854</v>
      </c>
      <c r="I1195" s="1">
        <v>45302.640601851854</v>
      </c>
      <c r="J1195" s="1">
        <v>41671.61042824074</v>
      </c>
      <c r="K1195" cm="1">
        <f t="array" ref="K1195" xml:space="preserve"> sentimentCalc(C1195)</f>
        <v>1</v>
      </c>
      <c r="L1195" t="str" cm="1">
        <f t="array" ref="L1195" xml:space="preserve"> sentimentCategory(K1195)</f>
        <v>Positive</v>
      </c>
    </row>
    <row r="1196" spans="1:12">
      <c r="A1196" t="s">
        <v>3295</v>
      </c>
      <c r="B1196" t="s">
        <v>3294</v>
      </c>
      <c r="C1196" t="str" cm="1">
        <f t="array" ref="C1196" xml:space="preserve"> CleanText(B1196)</f>
        <v>looks like fire bending might actually make sense this time</v>
      </c>
      <c r="D1196">
        <v>1</v>
      </c>
      <c r="E1196">
        <v>0</v>
      </c>
      <c r="F1196" t="s">
        <v>19</v>
      </c>
      <c r="G1196" t="str" cm="1">
        <f t="array" ref="G1196" xml:space="preserve"> FindCountryName(F1196)</f>
        <v>United States of America (the)</v>
      </c>
      <c r="H1196" s="1">
        <v>45302.617245370369</v>
      </c>
      <c r="I1196" s="1">
        <v>45302.617245370369</v>
      </c>
      <c r="J1196" s="1">
        <v>42419.127002314817</v>
      </c>
      <c r="K1196" cm="1">
        <f t="array" ref="K1196" xml:space="preserve"> sentimentCalc(C1196)</f>
        <v>0</v>
      </c>
      <c r="L1196" t="str" cm="1">
        <f t="array" ref="L1196" xml:space="preserve"> sentimentCategory(K1196)</f>
        <v>Neutral</v>
      </c>
    </row>
    <row r="1197" spans="1:12">
      <c r="A1197" t="s">
        <v>926</v>
      </c>
      <c r="B1197" t="s">
        <v>3293</v>
      </c>
      <c r="C1197" t="str" cm="1">
        <f t="array" ref="C1197" xml:space="preserve"> CleanText(B1197)</f>
        <v>please just get the names right this time_xD83D__xD83D_</v>
      </c>
      <c r="D1197">
        <v>0</v>
      </c>
      <c r="E1197">
        <v>0</v>
      </c>
      <c r="F1197" t="s">
        <v>0</v>
      </c>
      <c r="G1197" t="str" cm="1">
        <f t="array" ref="G1197" xml:space="preserve"> FindCountryName(F1197)</f>
        <v>None</v>
      </c>
      <c r="H1197" s="1">
        <v>45302.589942129627</v>
      </c>
      <c r="I1197" s="1">
        <v>45302.589942129627</v>
      </c>
      <c r="J1197" s="1">
        <v>44223.83898148148</v>
      </c>
      <c r="K1197" cm="1">
        <f t="array" ref="K1197" xml:space="preserve"> sentimentCalc(C1197)</f>
        <v>1</v>
      </c>
      <c r="L1197" t="str" cm="1">
        <f t="array" ref="L1197" xml:space="preserve"> sentimentCategory(K1197)</f>
        <v>Positive</v>
      </c>
    </row>
    <row r="1198" spans="1:12">
      <c r="A1198" t="s">
        <v>1454</v>
      </c>
      <c r="B1198" t="s">
        <v>3292</v>
      </c>
      <c r="C1198" t="str" cm="1">
        <f t="array" ref="C1198" xml:space="preserve"> CleanText(B1198)</f>
        <v>the most epic thing about the trailer was the music xd</v>
      </c>
      <c r="D1198">
        <v>0</v>
      </c>
      <c r="E1198">
        <v>0</v>
      </c>
      <c r="F1198" t="s">
        <v>19</v>
      </c>
      <c r="G1198" t="str" cm="1">
        <f t="array" ref="G1198" xml:space="preserve"> FindCountryName(F1198)</f>
        <v>United States of America (the)</v>
      </c>
      <c r="H1198" s="1">
        <v>45302.576180555552</v>
      </c>
      <c r="I1198" s="1">
        <v>45302.576180555552</v>
      </c>
      <c r="J1198" s="1">
        <v>40577.985717592594</v>
      </c>
      <c r="K1198" cm="1">
        <f t="array" ref="K1198" xml:space="preserve"> sentimentCalc(C1198)</f>
        <v>0</v>
      </c>
      <c r="L1198" t="str" cm="1">
        <f t="array" ref="L1198" xml:space="preserve"> sentimentCategory(K1198)</f>
        <v>Neutral</v>
      </c>
    </row>
    <row r="1199" spans="1:12">
      <c r="A1199" t="s">
        <v>361</v>
      </c>
      <c r="B1199" t="s">
        <v>3291</v>
      </c>
      <c r="C1199" t="str" cm="1">
        <f t="array" ref="C1199" xml:space="preserve"> CleanText(B1199)</f>
        <v>probably was approved after one piece</v>
      </c>
      <c r="D1199">
        <v>2</v>
      </c>
      <c r="E1199">
        <v>2</v>
      </c>
      <c r="F1199" t="s">
        <v>0</v>
      </c>
      <c r="G1199" t="str" cm="1">
        <f t="array" ref="G1199" xml:space="preserve"> FindCountryName(F1199)</f>
        <v>None</v>
      </c>
      <c r="H1199" s="1">
        <v>45302.532233796293</v>
      </c>
      <c r="I1199" s="1">
        <v>45302.532233796293</v>
      </c>
      <c r="J1199" s="1">
        <v>41568.223136574074</v>
      </c>
      <c r="K1199" cm="1">
        <f t="array" ref="K1199" xml:space="preserve"> sentimentCalc(C1199)</f>
        <v>2</v>
      </c>
      <c r="L1199" t="str" cm="1">
        <f t="array" ref="L1199" xml:space="preserve"> sentimentCategory(K1199)</f>
        <v>Positive</v>
      </c>
    </row>
    <row r="1200" spans="1:12">
      <c r="A1200" t="s">
        <v>1471</v>
      </c>
      <c r="B1200" t="s">
        <v>3290</v>
      </c>
      <c r="C1200" t="str" cm="1">
        <f t="array" ref="C1200" xml:space="preserve"> CleanText(B1200)</f>
        <v>zuko looks legit</v>
      </c>
      <c r="D1200">
        <v>13</v>
      </c>
      <c r="E1200">
        <v>0</v>
      </c>
      <c r="F1200" t="s">
        <v>0</v>
      </c>
      <c r="G1200" t="str" cm="1">
        <f t="array" ref="G1200" xml:space="preserve"> FindCountryName(F1200)</f>
        <v>None</v>
      </c>
      <c r="H1200" s="1">
        <v>45302.531273148146</v>
      </c>
      <c r="I1200" s="1">
        <v>45302.531273148146</v>
      </c>
      <c r="J1200" s="1">
        <v>42480.740381944444</v>
      </c>
      <c r="K1200" cm="1">
        <f t="array" ref="K1200" xml:space="preserve"> sentimentCalc(C1200)</f>
        <v>0</v>
      </c>
      <c r="L1200" t="str" cm="1">
        <f t="array" ref="L1200" xml:space="preserve"> sentimentCategory(K1200)</f>
        <v>Neutral</v>
      </c>
    </row>
    <row r="1201" spans="1:12">
      <c r="A1201" t="s">
        <v>439</v>
      </c>
      <c r="B1201" t="s">
        <v>3289</v>
      </c>
      <c r="C1201" t="str" cm="1">
        <f t="array" ref="C1201" xml:space="preserve"> CleanText(B1201)</f>
        <v>pleaaaase be good please</v>
      </c>
      <c r="D1201">
        <v>1</v>
      </c>
      <c r="E1201">
        <v>0</v>
      </c>
      <c r="F1201" t="s">
        <v>0</v>
      </c>
      <c r="G1201" t="str" cm="1">
        <f t="array" ref="G1201" xml:space="preserve"> FindCountryName(F1201)</f>
        <v>None</v>
      </c>
      <c r="H1201" s="1">
        <v>45302.455937500003</v>
      </c>
      <c r="I1201" s="1">
        <v>45302.455937500003</v>
      </c>
      <c r="J1201" s="1">
        <v>44239.472118055557</v>
      </c>
      <c r="K1201" cm="1">
        <f t="array" ref="K1201" xml:space="preserve"> sentimentCalc(C1201)</f>
        <v>4</v>
      </c>
      <c r="L1201" t="str" cm="1">
        <f t="array" ref="L1201" xml:space="preserve"> sentimentCategory(K1201)</f>
        <v>Positive</v>
      </c>
    </row>
    <row r="1202" spans="1:12">
      <c r="A1202" t="s">
        <v>361</v>
      </c>
      <c r="B1202" t="s">
        <v>3288</v>
      </c>
      <c r="C1202" t="str" cm="1">
        <f t="array" ref="C1202" xml:space="preserve"> CleanText(B1202)</f>
        <v>why do they always cast ember island sokkas</v>
      </c>
      <c r="D1202">
        <v>0</v>
      </c>
      <c r="E1202">
        <v>0</v>
      </c>
      <c r="F1202" t="s">
        <v>0</v>
      </c>
      <c r="G1202" t="str" cm="1">
        <f t="array" ref="G1202" xml:space="preserve"> FindCountryName(F1202)</f>
        <v>None</v>
      </c>
      <c r="H1202" s="1">
        <v>45302.378333333334</v>
      </c>
      <c r="I1202" s="1">
        <v>45302.378333333334</v>
      </c>
      <c r="J1202" s="1">
        <v>41820.664212962962</v>
      </c>
      <c r="K1202" cm="1">
        <f t="array" ref="K1202" xml:space="preserve"> sentimentCalc(C1202)</f>
        <v>0</v>
      </c>
      <c r="L1202" t="str" cm="1">
        <f t="array" ref="L1202" xml:space="preserve"> sentimentCategory(K1202)</f>
        <v>Neutral</v>
      </c>
    </row>
    <row r="1203" spans="1:12">
      <c r="A1203" t="s">
        <v>3287</v>
      </c>
      <c r="B1203" t="s">
        <v>3286</v>
      </c>
      <c r="C1203" t="str" cm="1">
        <f t="array" ref="C1203" xml:space="preserve"> CleanText(B1203)</f>
        <v>the irony of sokka looking like his stage actor from the cartoon will never not make me laugh</v>
      </c>
      <c r="D1203">
        <v>4</v>
      </c>
      <c r="E1203">
        <v>0</v>
      </c>
      <c r="F1203" t="s">
        <v>0</v>
      </c>
      <c r="G1203" t="str" cm="1">
        <f t="array" ref="G1203" xml:space="preserve"> FindCountryName(F1203)</f>
        <v>None</v>
      </c>
      <c r="H1203" s="1">
        <v>45302.369039351855</v>
      </c>
      <c r="I1203" s="1">
        <v>45302.369039351855</v>
      </c>
      <c r="J1203" s="1">
        <v>42068.103425925925</v>
      </c>
      <c r="K1203" cm="1">
        <f t="array" ref="K1203" xml:space="preserve"> sentimentCalc(C1203)</f>
        <v>2</v>
      </c>
      <c r="L1203" t="str" cm="1">
        <f t="array" ref="L1203" xml:space="preserve"> sentimentCategory(K1203)</f>
        <v>Positive</v>
      </c>
    </row>
    <row r="1204" spans="1:12">
      <c r="A1204" t="s">
        <v>43</v>
      </c>
      <c r="B1204" t="s">
        <v>3285</v>
      </c>
      <c r="C1204" t="str" cm="1">
        <f t="array" ref="C1204" xml:space="preserve"> CleanText(B1204)</f>
        <v>please someone tell theres also a trailer after  months of the teaser still there is no update on the trailer but i like the way theyre updating the characters looks on instagram</v>
      </c>
      <c r="D1204">
        <v>0</v>
      </c>
      <c r="E1204">
        <v>1</v>
      </c>
      <c r="F1204" t="s">
        <v>0</v>
      </c>
      <c r="G1204" t="str" cm="1">
        <f t="array" ref="G1204" xml:space="preserve"> FindCountryName(F1204)</f>
        <v>None</v>
      </c>
      <c r="H1204" s="1">
        <v>45302.347037037034</v>
      </c>
      <c r="I1204" s="1">
        <v>45302.347037037034</v>
      </c>
      <c r="J1204" s="1">
        <v>43218.503946759258</v>
      </c>
      <c r="K1204" cm="1">
        <f t="array" ref="K1204" xml:space="preserve"> sentimentCalc(C1204)</f>
        <v>2</v>
      </c>
      <c r="L1204" t="str" cm="1">
        <f t="array" ref="L1204" xml:space="preserve"> sentimentCategory(K1204)</f>
        <v>Positive</v>
      </c>
    </row>
    <row r="1205" spans="1:12">
      <c r="A1205" t="s">
        <v>210</v>
      </c>
      <c r="B1205" t="s">
        <v>3284</v>
      </c>
      <c r="C1205" t="str" cm="1">
        <f t="array" ref="C1205" xml:space="preserve"> CleanText(B1205)</f>
        <v>meh</v>
      </c>
      <c r="D1205">
        <v>0</v>
      </c>
      <c r="E1205">
        <v>0</v>
      </c>
      <c r="F1205" t="s">
        <v>0</v>
      </c>
      <c r="G1205" t="str" cm="1">
        <f t="array" ref="G1205" xml:space="preserve"> FindCountryName(F1205)</f>
        <v>None</v>
      </c>
      <c r="H1205" s="1">
        <v>45302.336712962962</v>
      </c>
      <c r="I1205" s="1">
        <v>45302.336712962962</v>
      </c>
      <c r="J1205" s="1">
        <v>40885.483437499999</v>
      </c>
      <c r="K1205" cm="1">
        <f t="array" ref="K1205" xml:space="preserve"> sentimentCalc(C1205)</f>
        <v>0</v>
      </c>
      <c r="L1205" t="str" cm="1">
        <f t="array" ref="L1205" xml:space="preserve"> sentimentCategory(K1205)</f>
        <v>Neutral</v>
      </c>
    </row>
    <row r="1206" spans="1:12">
      <c r="A1206" t="s">
        <v>2649</v>
      </c>
      <c r="B1206" t="s">
        <v>3283</v>
      </c>
      <c r="C1206" t="str" cm="1">
        <f t="array" ref="C1206" xml:space="preserve"> CleanText(B1206)</f>
        <v>anyone know when the next official trailer is going to released</v>
      </c>
      <c r="D1206">
        <v>0</v>
      </c>
      <c r="E1206">
        <v>6</v>
      </c>
      <c r="F1206" t="s">
        <v>0</v>
      </c>
      <c r="G1206" t="str" cm="1">
        <f t="array" ref="G1206" xml:space="preserve"> FindCountryName(F1206)</f>
        <v>None</v>
      </c>
      <c r="H1206" s="1">
        <v>45302.268113425926</v>
      </c>
      <c r="I1206" s="1">
        <v>45302.268113425926</v>
      </c>
      <c r="J1206" s="1">
        <v>44443.278726851851</v>
      </c>
      <c r="K1206" cm="1">
        <f t="array" ref="K1206" xml:space="preserve"> sentimentCalc(C1206)</f>
        <v>0</v>
      </c>
      <c r="L1206" t="str" cm="1">
        <f t="array" ref="L1206" xml:space="preserve"> sentimentCategory(K1206)</f>
        <v>Neutral</v>
      </c>
    </row>
    <row r="1207" spans="1:12">
      <c r="A1207" t="s">
        <v>280</v>
      </c>
      <c r="B1207" t="s">
        <v>3282</v>
      </c>
      <c r="C1207" t="str" cm="1">
        <f t="array" ref="C1207" xml:space="preserve"> CleanText(B1207)</f>
        <v>hopefully this aint as bad as the last one that one guy made</v>
      </c>
      <c r="D1207">
        <v>0</v>
      </c>
      <c r="E1207">
        <v>0</v>
      </c>
      <c r="F1207" t="s">
        <v>0</v>
      </c>
      <c r="G1207" t="str" cm="1">
        <f t="array" ref="G1207" xml:space="preserve"> FindCountryName(F1207)</f>
        <v>None</v>
      </c>
      <c r="H1207" s="1">
        <v>45302.223749999997</v>
      </c>
      <c r="I1207" s="1">
        <v>45302.223749999997</v>
      </c>
      <c r="J1207" s="1">
        <v>44734.703622685185</v>
      </c>
      <c r="K1207" cm="1">
        <f t="array" ref="K1207" xml:space="preserve"> sentimentCalc(C1207)</f>
        <v>-1</v>
      </c>
      <c r="L1207" t="str" cm="1">
        <f t="array" ref="L1207" xml:space="preserve"> sentimentCategory(K1207)</f>
        <v>Negative</v>
      </c>
    </row>
    <row r="1208" spans="1:12">
      <c r="A1208" t="s">
        <v>282</v>
      </c>
      <c r="B1208" t="s">
        <v>3281</v>
      </c>
      <c r="C1208" t="str" cm="1">
        <f t="array" ref="C1208" xml:space="preserve"> CleanText(B1208)</f>
        <v>n</v>
      </c>
      <c r="D1208">
        <v>0</v>
      </c>
      <c r="E1208">
        <v>0</v>
      </c>
      <c r="F1208" t="s">
        <v>0</v>
      </c>
      <c r="G1208" t="str" cm="1">
        <f t="array" ref="G1208" xml:space="preserve"> FindCountryName(F1208)</f>
        <v>None</v>
      </c>
      <c r="H1208" s="1">
        <v>45302.218831018516</v>
      </c>
      <c r="I1208" s="1">
        <v>45302.218831018516</v>
      </c>
      <c r="J1208" s="1">
        <v>44624.69736111111</v>
      </c>
      <c r="K1208" cm="1">
        <f t="array" ref="K1208" xml:space="preserve"> sentimentCalc(C1208)</f>
        <v>0</v>
      </c>
      <c r="L1208" t="str" cm="1">
        <f t="array" ref="L1208" xml:space="preserve"> sentimentCategory(K1208)</f>
        <v>Neutral</v>
      </c>
    </row>
    <row r="1209" spans="1:12">
      <c r="A1209" t="s">
        <v>3280</v>
      </c>
      <c r="B1209" t="s">
        <v>3279</v>
      </c>
      <c r="C1209" t="str" cm="1">
        <f t="array" ref="C1209" xml:space="preserve"> CleanText(B1209)</f>
        <v>i cant wait to see live action toph</v>
      </c>
      <c r="D1209">
        <v>1</v>
      </c>
      <c r="E1209">
        <v>0</v>
      </c>
      <c r="F1209" t="s">
        <v>0</v>
      </c>
      <c r="G1209" t="str" cm="1">
        <f t="array" ref="G1209" xml:space="preserve"> FindCountryName(F1209)</f>
        <v>None</v>
      </c>
      <c r="H1209" s="1">
        <v>45302.175671296296</v>
      </c>
      <c r="I1209" s="1">
        <v>45302.175671296296</v>
      </c>
      <c r="J1209" s="1">
        <v>44515.760821759257</v>
      </c>
      <c r="K1209" cm="1">
        <f t="array" ref="K1209" xml:space="preserve"> sentimentCalc(C1209)</f>
        <v>0</v>
      </c>
      <c r="L1209" t="str" cm="1">
        <f t="array" ref="L1209" xml:space="preserve"> sentimentCategory(K1209)</f>
        <v>Neutral</v>
      </c>
    </row>
    <row r="1210" spans="1:12">
      <c r="A1210" t="s">
        <v>938</v>
      </c>
      <c r="B1210" t="s">
        <v>3278</v>
      </c>
      <c r="C1210" t="str" cm="1">
        <f t="array" ref="C1210" xml:space="preserve"> CleanText(B1210)</f>
        <v>the amazing series</v>
      </c>
      <c r="D1210">
        <v>0</v>
      </c>
      <c r="E1210">
        <v>0</v>
      </c>
      <c r="F1210" t="s">
        <v>0</v>
      </c>
      <c r="G1210" t="str" cm="1">
        <f t="array" ref="G1210" xml:space="preserve"> FindCountryName(F1210)</f>
        <v>None</v>
      </c>
      <c r="H1210" s="1">
        <v>45302.129120370373</v>
      </c>
      <c r="I1210" s="1">
        <v>45302.129120370373</v>
      </c>
      <c r="J1210" s="1">
        <v>43178.064027777778</v>
      </c>
      <c r="K1210" cm="1">
        <f t="array" ref="K1210" xml:space="preserve"> sentimentCalc(C1210)</f>
        <v>4</v>
      </c>
      <c r="L1210" t="str" cm="1">
        <f t="array" ref="L1210" xml:space="preserve"> sentimentCategory(K1210)</f>
        <v>Positive</v>
      </c>
    </row>
    <row r="1211" spans="1:12">
      <c r="A1211" t="s">
        <v>3277</v>
      </c>
      <c r="B1211" t="s">
        <v>3276</v>
      </c>
      <c r="C1211" t="str" cm="1">
        <f t="array" ref="C1211" xml:space="preserve"> CleanText(B1211)</f>
        <v>wish they casted a better looking zuko hopefully the actor grows on me</v>
      </c>
      <c r="D1211">
        <v>0</v>
      </c>
      <c r="E1211">
        <v>0</v>
      </c>
      <c r="F1211" t="s">
        <v>0</v>
      </c>
      <c r="G1211" t="str" cm="1">
        <f t="array" ref="G1211" xml:space="preserve"> FindCountryName(F1211)</f>
        <v>None</v>
      </c>
      <c r="H1211" s="1">
        <v>45302.074444444443</v>
      </c>
      <c r="I1211" s="1">
        <v>45302.074444444443</v>
      </c>
      <c r="J1211" s="1">
        <v>41531.794525462959</v>
      </c>
      <c r="K1211" cm="1">
        <f t="array" ref="K1211" xml:space="preserve"> sentimentCalc(C1211)</f>
        <v>5</v>
      </c>
      <c r="L1211" t="str" cm="1">
        <f t="array" ref="L1211" xml:space="preserve"> sentimentCategory(K1211)</f>
        <v>Positive</v>
      </c>
    </row>
    <row r="1212" spans="1:12">
      <c r="A1212" t="s">
        <v>3275</v>
      </c>
      <c r="B1212" t="s">
        <v>3274</v>
      </c>
      <c r="C1212" t="str" cm="1">
        <f t="array" ref="C1212" xml:space="preserve"> CleanText(B1212)</f>
        <v>i just got ptsd from the last time it was live action but i still have hope</v>
      </c>
      <c r="D1212">
        <v>0</v>
      </c>
      <c r="E1212">
        <v>0</v>
      </c>
      <c r="F1212" t="s">
        <v>0</v>
      </c>
      <c r="G1212" t="str" cm="1">
        <f t="array" ref="G1212" xml:space="preserve"> FindCountryName(F1212)</f>
        <v>None</v>
      </c>
      <c r="H1212" s="1">
        <v>45302.068912037037</v>
      </c>
      <c r="I1212" s="1">
        <v>45302.068912037037</v>
      </c>
      <c r="J1212" s="1">
        <v>43908.668888888889</v>
      </c>
      <c r="K1212" cm="1">
        <f t="array" ref="K1212" xml:space="preserve"> sentimentCalc(C1212)</f>
        <v>2</v>
      </c>
      <c r="L1212" t="str" cm="1">
        <f t="array" ref="L1212" xml:space="preserve"> sentimentCategory(K1212)</f>
        <v>Positive</v>
      </c>
    </row>
    <row r="1213" spans="1:12">
      <c r="A1213" t="s">
        <v>357</v>
      </c>
      <c r="B1213" t="s">
        <v>3273</v>
      </c>
      <c r="C1213" t="str" cm="1">
        <f t="array" ref="C1213" xml:space="preserve"> CleanText(B1213)</f>
        <v>as usual trailer 0 are missleading no hype for me but if it turn out to be even remotely decent im happy</v>
      </c>
      <c r="D1213">
        <v>0</v>
      </c>
      <c r="E1213">
        <v>0</v>
      </c>
      <c r="F1213" t="s">
        <v>0</v>
      </c>
      <c r="G1213" t="str" cm="1">
        <f t="array" ref="G1213" xml:space="preserve"> FindCountryName(F1213)</f>
        <v>None</v>
      </c>
      <c r="H1213" s="1">
        <v>45302.055914351855</v>
      </c>
      <c r="I1213" s="1">
        <v>45302.055914351855</v>
      </c>
      <c r="J1213" s="1">
        <v>41539.125208333331</v>
      </c>
      <c r="K1213" cm="1">
        <f t="array" ref="K1213" xml:space="preserve"> sentimentCalc(C1213)</f>
        <v>2</v>
      </c>
      <c r="L1213" t="str" cm="1">
        <f t="array" ref="L1213" xml:space="preserve"> sentimentCategory(K1213)</f>
        <v>Positive</v>
      </c>
    </row>
    <row r="1214" spans="1:12">
      <c r="A1214" t="s">
        <v>1525</v>
      </c>
      <c r="B1214" t="s">
        <v>3272</v>
      </c>
      <c r="C1214" t="str" cm="1">
        <f t="array" ref="C1214" xml:space="preserve"> CleanText(B1214)</f>
        <v>finally its happening</v>
      </c>
      <c r="D1214">
        <v>0</v>
      </c>
      <c r="E1214">
        <v>1</v>
      </c>
      <c r="F1214" t="s">
        <v>0</v>
      </c>
      <c r="G1214" t="str" cm="1">
        <f t="array" ref="G1214" xml:space="preserve"> FindCountryName(F1214)</f>
        <v>None</v>
      </c>
      <c r="H1214" s="1">
        <v>45302.054212962961</v>
      </c>
      <c r="I1214" s="1">
        <v>45302.054212962961</v>
      </c>
      <c r="J1214" s="1">
        <v>42238.250833333332</v>
      </c>
      <c r="K1214" cm="1">
        <f t="array" ref="K1214" xml:space="preserve"> sentimentCalc(C1214)</f>
        <v>0</v>
      </c>
      <c r="L1214" t="str" cm="1">
        <f t="array" ref="L1214" xml:space="preserve"> sentimentCategory(K1214)</f>
        <v>Neutral</v>
      </c>
    </row>
    <row r="1215" spans="1:12">
      <c r="A1215" t="s">
        <v>3271</v>
      </c>
      <c r="B1215" t="s">
        <v>3270</v>
      </c>
      <c r="C1215" t="str" cm="1">
        <f t="array" ref="C1215" xml:space="preserve"> CleanText(B1215)</f>
        <v>ptsd</v>
      </c>
      <c r="D1215">
        <v>0</v>
      </c>
      <c r="E1215">
        <v>0</v>
      </c>
      <c r="F1215" t="s">
        <v>0</v>
      </c>
      <c r="G1215" t="str" cm="1">
        <f t="array" ref="G1215" xml:space="preserve"> FindCountryName(F1215)</f>
        <v>None</v>
      </c>
      <c r="H1215" s="1">
        <v>45301.99628472222</v>
      </c>
      <c r="I1215" s="1">
        <v>45301.99628472222</v>
      </c>
      <c r="J1215" s="1">
        <v>40002.503668981481</v>
      </c>
      <c r="K1215" cm="1">
        <f t="array" ref="K1215" xml:space="preserve"> sentimentCalc(C1215)</f>
        <v>0</v>
      </c>
      <c r="L1215" t="str" cm="1">
        <f t="array" ref="L1215" xml:space="preserve"> sentimentCategory(K1215)</f>
        <v>Neutral</v>
      </c>
    </row>
    <row r="1216" spans="1:12">
      <c r="A1216" t="s">
        <v>830</v>
      </c>
      <c r="B1216" t="s">
        <v>3269</v>
      </c>
      <c r="C1216" t="str" cm="1">
        <f t="array" ref="C1216" xml:space="preserve"> CleanText(B1216)</f>
        <v>i just dont see katara and azula hopefully when they act they will look more like them</v>
      </c>
      <c r="D1216">
        <v>0</v>
      </c>
      <c r="E1216">
        <v>0</v>
      </c>
      <c r="F1216" t="s">
        <v>0</v>
      </c>
      <c r="G1216" t="str" cm="1">
        <f t="array" ref="G1216" xml:space="preserve"> FindCountryName(F1216)</f>
        <v>None</v>
      </c>
      <c r="H1216" s="1">
        <v>45301.980740740742</v>
      </c>
      <c r="I1216" s="1">
        <v>45301.980740740742</v>
      </c>
      <c r="J1216" s="1">
        <v>43968.846875000003</v>
      </c>
      <c r="K1216" cm="1">
        <f t="array" ref="K1216" xml:space="preserve"> sentimentCalc(C1216)</f>
        <v>4</v>
      </c>
      <c r="L1216" t="str" cm="1">
        <f t="array" ref="L1216" xml:space="preserve"> sentimentCategory(K1216)</f>
        <v>Positive</v>
      </c>
    </row>
    <row r="1217" spans="1:12">
      <c r="A1217" t="s">
        <v>640</v>
      </c>
      <c r="B1217" t="s">
        <v>111</v>
      </c>
      <c r="C1217" t="str" cm="1">
        <f t="array" ref="C1217" xml:space="preserve"> CleanText(B1217)</f>
        <v>yip yip</v>
      </c>
      <c r="D1217">
        <v>1</v>
      </c>
      <c r="E1217">
        <v>0</v>
      </c>
      <c r="F1217" t="s">
        <v>0</v>
      </c>
      <c r="G1217" t="str" cm="1">
        <f t="array" ref="G1217" xml:space="preserve"> FindCountryName(F1217)</f>
        <v>None</v>
      </c>
      <c r="H1217" s="1">
        <v>45301.932500000003</v>
      </c>
      <c r="I1217" s="1">
        <v>45301.932500000003</v>
      </c>
      <c r="J1217" s="1">
        <v>42809.329108796293</v>
      </c>
      <c r="K1217" cm="1">
        <f t="array" ref="K1217" xml:space="preserve"> sentimentCalc(C1217)</f>
        <v>0</v>
      </c>
      <c r="L1217" t="str" cm="1">
        <f t="array" ref="L1217" xml:space="preserve"> sentimentCategory(K1217)</f>
        <v>Neutral</v>
      </c>
    </row>
    <row r="1218" spans="1:12">
      <c r="A1218" t="s">
        <v>3267</v>
      </c>
      <c r="B1218" t="s">
        <v>3268</v>
      </c>
      <c r="C1218" t="str" cm="1">
        <f t="array" ref="C1218" xml:space="preserve"> CleanText(B1218)</f>
        <v>do not compare this to the film the film was made as a gift to shams daughter please hold the film accountable as its own and most of all i hope its a different story completely otherwise wtf</v>
      </c>
      <c r="D1218">
        <v>0</v>
      </c>
      <c r="E1218">
        <v>0</v>
      </c>
      <c r="F1218" t="s">
        <v>0</v>
      </c>
      <c r="G1218" t="str" cm="1">
        <f t="array" ref="G1218" xml:space="preserve"> FindCountryName(F1218)</f>
        <v>None</v>
      </c>
      <c r="H1218" s="1">
        <v>45301.875150462962</v>
      </c>
      <c r="I1218" s="1">
        <v>45301.875150462962</v>
      </c>
      <c r="J1218" s="1">
        <v>40824.946319444447</v>
      </c>
      <c r="K1218" cm="1">
        <f t="array" ref="K1218" xml:space="preserve"> sentimentCalc(C1218)</f>
        <v>5</v>
      </c>
      <c r="L1218" t="str" cm="1">
        <f t="array" ref="L1218" xml:space="preserve"> sentimentCategory(K1218)</f>
        <v>Positive</v>
      </c>
    </row>
    <row r="1219" spans="1:12">
      <c r="A1219" t="s">
        <v>3267</v>
      </c>
      <c r="B1219" t="s">
        <v>3266</v>
      </c>
      <c r="C1219" t="str" cm="1">
        <f t="array" ref="C1219" xml:space="preserve"> CleanText(B1219)</f>
        <v>i thought this was supposed to be after the fire nation no one gives a f for a live action adaptation about season  we already know what happened and youre not making it better or at least do a pre show from roku or something idk</v>
      </c>
      <c r="D1219">
        <v>0</v>
      </c>
      <c r="E1219">
        <v>0</v>
      </c>
      <c r="F1219" t="s">
        <v>0</v>
      </c>
      <c r="G1219" t="str" cm="1">
        <f t="array" ref="G1219" xml:space="preserve"> FindCountryName(F1219)</f>
        <v>None</v>
      </c>
      <c r="H1219" s="1">
        <v>45301.874409722222</v>
      </c>
      <c r="I1219" s="1">
        <v>45301.874409722222</v>
      </c>
      <c r="J1219" s="1">
        <v>40824.946319444447</v>
      </c>
      <c r="K1219" cm="1">
        <f t="array" ref="K1219" xml:space="preserve"> sentimentCalc(C1219)</f>
        <v>-1</v>
      </c>
      <c r="L1219" t="str" cm="1">
        <f t="array" ref="L1219" xml:space="preserve"> sentimentCategory(K1219)</f>
        <v>Negative</v>
      </c>
    </row>
    <row r="1220" spans="1:12">
      <c r="A1220" t="s">
        <v>1696</v>
      </c>
      <c r="B1220" t="s">
        <v>3265</v>
      </c>
      <c r="C1220" t="str" cm="1">
        <f t="array" ref="C1220" xml:space="preserve"> CleanText(B1220)</f>
        <v>sokka and toph love story hopefully _xDE4F_</v>
      </c>
      <c r="D1220">
        <v>0</v>
      </c>
      <c r="E1220">
        <v>0</v>
      </c>
      <c r="F1220" t="s">
        <v>0</v>
      </c>
      <c r="G1220" t="str" cm="1">
        <f t="array" ref="G1220" xml:space="preserve"> FindCountryName(F1220)</f>
        <v>None</v>
      </c>
      <c r="H1220" s="1">
        <v>45301.823692129627</v>
      </c>
      <c r="I1220" s="1">
        <v>45301.825983796298</v>
      </c>
      <c r="J1220" s="1">
        <v>41615.554039351853</v>
      </c>
      <c r="K1220" cm="1">
        <f t="array" ref="K1220" xml:space="preserve"> sentimentCalc(C1220)</f>
        <v>5</v>
      </c>
      <c r="L1220" t="str" cm="1">
        <f t="array" ref="L1220" xml:space="preserve"> sentimentCategory(K1220)</f>
        <v>Positive</v>
      </c>
    </row>
    <row r="1221" spans="1:12">
      <c r="A1221" t="s">
        <v>1059</v>
      </c>
      <c r="B1221" t="s">
        <v>3264</v>
      </c>
      <c r="C1221" t="str" cm="1">
        <f t="array" ref="C1221" xml:space="preserve"> CleanText(B1221)</f>
        <v>مل ا n</v>
      </c>
      <c r="D1221">
        <v>0</v>
      </c>
      <c r="E1221">
        <v>0</v>
      </c>
      <c r="F1221" t="s">
        <v>3263</v>
      </c>
      <c r="G1221" t="str" cm="1">
        <f t="array" ref="G1221" xml:space="preserve"> FindCountryName(F1221)</f>
        <v>Morocco</v>
      </c>
      <c r="H1221" s="1">
        <v>45301.798229166663</v>
      </c>
      <c r="I1221" s="1">
        <v>45301.798229166663</v>
      </c>
      <c r="J1221" s="1">
        <v>44776.524409722224</v>
      </c>
      <c r="K1221" cm="1">
        <f t="array" ref="K1221" xml:space="preserve"> sentimentCalc(C1221)</f>
        <v>0</v>
      </c>
      <c r="L1221" t="str" cm="1">
        <f t="array" ref="L1221" xml:space="preserve"> sentimentCategory(K1221)</f>
        <v>Neutral</v>
      </c>
    </row>
    <row r="1222" spans="1:12">
      <c r="A1222" t="s">
        <v>1782</v>
      </c>
      <c r="B1222" t="s">
        <v>3262</v>
      </c>
      <c r="C1222" t="str" cm="1">
        <f t="array" ref="C1222" xml:space="preserve"> CleanText(B1222)</f>
        <v>why are they all mongoloid</v>
      </c>
      <c r="D1222">
        <v>0</v>
      </c>
      <c r="E1222">
        <v>2</v>
      </c>
      <c r="F1222" t="s">
        <v>0</v>
      </c>
      <c r="G1222" t="str" cm="1">
        <f t="array" ref="G1222" xml:space="preserve"> FindCountryName(F1222)</f>
        <v>None</v>
      </c>
      <c r="H1222" s="1">
        <v>45301.794305555559</v>
      </c>
      <c r="I1222" s="1">
        <v>45301.794305555559</v>
      </c>
      <c r="J1222" s="1">
        <v>44795.37537037037</v>
      </c>
      <c r="K1222" cm="1">
        <f t="array" ref="K1222" xml:space="preserve"> sentimentCalc(C1222)</f>
        <v>0</v>
      </c>
      <c r="L1222" t="str" cm="1">
        <f t="array" ref="L1222" xml:space="preserve"> sentimentCategory(K1222)</f>
        <v>Neutral</v>
      </c>
    </row>
    <row r="1223" spans="1:12">
      <c r="A1223" t="s">
        <v>504</v>
      </c>
      <c r="B1223" t="s">
        <v>3261</v>
      </c>
      <c r="C1223" t="str" cm="1">
        <f t="array" ref="C1223" xml:space="preserve"> CleanText(B1223)</f>
        <v>i seriously hope azulas actor nails it shes got some big shoes to fill excited to see this</v>
      </c>
      <c r="D1223">
        <v>0</v>
      </c>
      <c r="E1223">
        <v>0</v>
      </c>
      <c r="F1223" t="s">
        <v>0</v>
      </c>
      <c r="G1223" t="str" cm="1">
        <f t="array" ref="G1223" xml:space="preserve"> FindCountryName(F1223)</f>
        <v>None</v>
      </c>
      <c r="H1223" s="1">
        <v>45301.77616898148</v>
      </c>
      <c r="I1223" s="1">
        <v>45301.77616898148</v>
      </c>
      <c r="J1223" s="1">
        <v>40829.30945601852</v>
      </c>
      <c r="K1223" cm="1">
        <f t="array" ref="K1223" xml:space="preserve"> sentimentCalc(C1223)</f>
        <v>6</v>
      </c>
      <c r="L1223" t="str" cm="1">
        <f t="array" ref="L1223" xml:space="preserve"> sentimentCategory(K1223)</f>
        <v>Positive</v>
      </c>
    </row>
    <row r="1224" spans="1:12">
      <c r="A1224" t="s">
        <v>306</v>
      </c>
      <c r="B1224" t="s">
        <v>3260</v>
      </c>
      <c r="C1224" t="str" cm="1">
        <f t="array" ref="C1224" xml:space="preserve"> CleanText(B1224)</f>
        <v>i hope so much its not a complete dissapointment not again _xDE43_</v>
      </c>
      <c r="D1224">
        <v>0</v>
      </c>
      <c r="E1224">
        <v>0</v>
      </c>
      <c r="F1224" t="s">
        <v>0</v>
      </c>
      <c r="G1224" t="str" cm="1">
        <f t="array" ref="G1224" xml:space="preserve"> FindCountryName(F1224)</f>
        <v>None</v>
      </c>
      <c r="H1224" s="1">
        <v>45301.763784722221</v>
      </c>
      <c r="I1224" s="1">
        <v>45301.763784722221</v>
      </c>
      <c r="J1224" s="1">
        <v>42062.598356481481</v>
      </c>
      <c r="K1224" cm="1">
        <f t="array" ref="K1224" xml:space="preserve"> sentimentCalc(C1224)</f>
        <v>2</v>
      </c>
      <c r="L1224" t="str" cm="1">
        <f t="array" ref="L1224" xml:space="preserve"> sentimentCategory(K1224)</f>
        <v>Positive</v>
      </c>
    </row>
    <row r="1225" spans="1:12">
      <c r="A1225" t="s">
        <v>3259</v>
      </c>
      <c r="B1225" t="s">
        <v>3258</v>
      </c>
      <c r="C1225" t="str" cm="1">
        <f t="array" ref="C1225" xml:space="preserve"> CleanText(B1225)</f>
        <v>lets hope they stick the landing i love the anime but its notoriously hard to convert so much story even if its just eg book  into a movie the movie would need to be like  minutes long  maybe even two minute movies thats almost  hours because each seasonbook is like  minutes long so  movies each being  hours each might do it justice might</v>
      </c>
      <c r="D1225">
        <v>0</v>
      </c>
      <c r="E1225">
        <v>5</v>
      </c>
      <c r="F1225" t="s">
        <v>0</v>
      </c>
      <c r="G1225" t="str" cm="1">
        <f t="array" ref="G1225" xml:space="preserve"> FindCountryName(F1225)</f>
        <v>None</v>
      </c>
      <c r="H1225" s="1">
        <v>45301.683923611112</v>
      </c>
      <c r="I1225" s="1">
        <v>45301.683923611112</v>
      </c>
      <c r="J1225" s="1">
        <v>40503.960127314815</v>
      </c>
      <c r="K1225" cm="1">
        <f t="array" ref="K1225" xml:space="preserve"> sentimentCalc(C1225)</f>
        <v>10</v>
      </c>
      <c r="L1225" t="str" cm="1">
        <f t="array" ref="L1225" xml:space="preserve"> sentimentCategory(K1225)</f>
        <v>Positive</v>
      </c>
    </row>
    <row r="1226" spans="1:12">
      <c r="A1226" t="s">
        <v>612</v>
      </c>
      <c r="B1226" t="s">
        <v>3257</v>
      </c>
      <c r="C1226" t="str" cm="1">
        <f t="array" ref="C1226" xml:space="preserve"> CleanText(B1226)</f>
        <v>bro please you guys cant tell me aang doesnt look goofy here</v>
      </c>
      <c r="D1226">
        <v>1</v>
      </c>
      <c r="E1226">
        <v>0</v>
      </c>
      <c r="F1226" t="s">
        <v>0</v>
      </c>
      <c r="G1226" t="str" cm="1">
        <f t="array" ref="G1226" xml:space="preserve"> FindCountryName(F1226)</f>
        <v>None</v>
      </c>
      <c r="H1226" s="1">
        <v>45301.666516203702</v>
      </c>
      <c r="I1226" s="1">
        <v>45301.666516203702</v>
      </c>
      <c r="J1226" s="1">
        <v>42548.640636574077</v>
      </c>
      <c r="K1226" cm="1">
        <f t="array" ref="K1226" xml:space="preserve"> sentimentCalc(C1226)</f>
        <v>1</v>
      </c>
      <c r="L1226" t="str" cm="1">
        <f t="array" ref="L1226" xml:space="preserve"> sentimentCategory(K1226)</f>
        <v>Positive</v>
      </c>
    </row>
    <row r="1227" spans="1:12">
      <c r="A1227" t="s">
        <v>3256</v>
      </c>
      <c r="B1227" t="s">
        <v>3255</v>
      </c>
      <c r="C1227" t="str" cm="1">
        <f t="array" ref="C1227" xml:space="preserve"> CleanText(B1227)</f>
        <v>those cgi scenes look like some crap took a crap and stepped in its own crap</v>
      </c>
      <c r="D1227">
        <v>0</v>
      </c>
      <c r="E1227">
        <v>2</v>
      </c>
      <c r="F1227" t="s">
        <v>0</v>
      </c>
      <c r="G1227" t="str" cm="1">
        <f t="array" ref="G1227" xml:space="preserve"> FindCountryName(F1227)</f>
        <v>None</v>
      </c>
      <c r="H1227" s="1">
        <v>45301.609560185185</v>
      </c>
      <c r="I1227" s="1">
        <v>45301.609560185185</v>
      </c>
      <c r="J1227" s="1">
        <v>39268.788437499999</v>
      </c>
      <c r="K1227" cm="1">
        <f t="array" ref="K1227" xml:space="preserve"> sentimentCalc(C1227)</f>
        <v>-7</v>
      </c>
      <c r="L1227" t="str" cm="1">
        <f t="array" ref="L1227" xml:space="preserve"> sentimentCategory(K1227)</f>
        <v>Negative</v>
      </c>
    </row>
    <row r="1228" spans="1:12">
      <c r="A1228" t="s">
        <v>2021</v>
      </c>
      <c r="B1228" t="s">
        <v>3254</v>
      </c>
      <c r="C1228" t="str" cm="1">
        <f t="array" ref="C1228" xml:space="preserve"> CleanText(B1228)</f>
        <v>as atrocious as m night shyamalans version was netflix had plenty of time and footage to see all of what not to do so i hope they come correct with this one _xDE0F_</v>
      </c>
      <c r="D1228">
        <v>1</v>
      </c>
      <c r="E1228">
        <v>0</v>
      </c>
      <c r="F1228" t="s">
        <v>19</v>
      </c>
      <c r="G1228" t="str" cm="1">
        <f t="array" ref="G1228" xml:space="preserve"> FindCountryName(F1228)</f>
        <v>United States of America (the)</v>
      </c>
      <c r="H1228" s="1">
        <v>45301.549039351848</v>
      </c>
      <c r="I1228" s="1">
        <v>45301.549039351848</v>
      </c>
      <c r="J1228" s="1">
        <v>39276.449664351851</v>
      </c>
      <c r="K1228" cm="1">
        <f t="array" ref="K1228" xml:space="preserve"> sentimentCalc(C1228)</f>
        <v>2</v>
      </c>
      <c r="L1228" t="str" cm="1">
        <f t="array" ref="L1228" xml:space="preserve"> sentimentCategory(K1228)</f>
        <v>Positive</v>
      </c>
    </row>
    <row r="1229" spans="1:12">
      <c r="A1229" t="s">
        <v>710</v>
      </c>
      <c r="B1229" t="s">
        <v>3253</v>
      </c>
      <c r="C1229" t="str" cm="1">
        <f t="array" ref="C1229" xml:space="preserve"> CleanText(B1229)</f>
        <v>finally an upgrade</v>
      </c>
      <c r="D1229">
        <v>0</v>
      </c>
      <c r="E1229">
        <v>0</v>
      </c>
      <c r="F1229" t="s">
        <v>0</v>
      </c>
      <c r="G1229" t="str" cm="1">
        <f t="array" ref="G1229" xml:space="preserve"> FindCountryName(F1229)</f>
        <v>None</v>
      </c>
      <c r="H1229" s="1">
        <v>45301.46365740741</v>
      </c>
      <c r="I1229" s="1">
        <v>45301.46365740741</v>
      </c>
      <c r="J1229" s="1">
        <v>44728.112800925926</v>
      </c>
      <c r="K1229" cm="1">
        <f t="array" ref="K1229" xml:space="preserve"> sentimentCalc(C1229)</f>
        <v>0</v>
      </c>
      <c r="L1229" t="str" cm="1">
        <f t="array" ref="L1229" xml:space="preserve"> sentimentCategory(K1229)</f>
        <v>Neutral</v>
      </c>
    </row>
    <row r="1230" spans="1:12">
      <c r="A1230" t="s">
        <v>3252</v>
      </c>
      <c r="B1230" t="s">
        <v>3251</v>
      </c>
      <c r="C1230" t="str" cm="1">
        <f t="array" ref="C1230" xml:space="preserve"> CleanText(B1230)</f>
        <v>cant wait for the movie to release</v>
      </c>
      <c r="D1230">
        <v>0</v>
      </c>
      <c r="E1230">
        <v>1</v>
      </c>
      <c r="F1230" t="s">
        <v>0</v>
      </c>
      <c r="G1230" t="str" cm="1">
        <f t="array" ref="G1230" xml:space="preserve"> FindCountryName(F1230)</f>
        <v>None</v>
      </c>
      <c r="H1230" s="1">
        <v>45301.458310185182</v>
      </c>
      <c r="I1230" s="1">
        <v>45301.458310185182</v>
      </c>
      <c r="J1230" s="1">
        <v>45293.033645833333</v>
      </c>
      <c r="K1230" cm="1">
        <f t="array" ref="K1230" xml:space="preserve"> sentimentCalc(C1230)</f>
        <v>0</v>
      </c>
      <c r="L1230" t="str" cm="1">
        <f t="array" ref="L1230" xml:space="preserve"> sentimentCategory(K1230)</f>
        <v>Neutral</v>
      </c>
    </row>
    <row r="1231" spans="1:12">
      <c r="A1231" t="s">
        <v>3250</v>
      </c>
      <c r="B1231" t="s">
        <v>3249</v>
      </c>
      <c r="C1231" t="str" cm="1">
        <f t="array" ref="C1231" xml:space="preserve"> CleanText(B1231)</f>
        <v>wait a minute no wokeshit is this real</v>
      </c>
      <c r="D1231">
        <v>1</v>
      </c>
      <c r="E1231">
        <v>2</v>
      </c>
      <c r="F1231" t="s">
        <v>0</v>
      </c>
      <c r="G1231" t="str" cm="1">
        <f t="array" ref="G1231" xml:space="preserve"> FindCountryName(F1231)</f>
        <v>None</v>
      </c>
      <c r="H1231" s="1">
        <v>45301.416851851849</v>
      </c>
      <c r="I1231" s="1">
        <v>45301.416851851849</v>
      </c>
      <c r="J1231" s="1">
        <v>41517.758263888885</v>
      </c>
      <c r="K1231" cm="1">
        <f t="array" ref="K1231" xml:space="preserve"> sentimentCalc(C1231)</f>
        <v>-1</v>
      </c>
      <c r="L1231" t="str" cm="1">
        <f t="array" ref="L1231" xml:space="preserve"> sentimentCategory(K1231)</f>
        <v>Negative</v>
      </c>
    </row>
    <row r="1232" spans="1:12">
      <c r="A1232" t="s">
        <v>369</v>
      </c>
      <c r="B1232" t="s">
        <v>3248</v>
      </c>
      <c r="C1232" t="str" cm="1">
        <f t="array" ref="C1232" xml:space="preserve"> CleanText(B1232)</f>
        <v>better than first movie</v>
      </c>
      <c r="D1232">
        <v>1</v>
      </c>
      <c r="E1232">
        <v>2</v>
      </c>
      <c r="F1232" t="s">
        <v>0</v>
      </c>
      <c r="G1232" t="str" cm="1">
        <f t="array" ref="G1232" xml:space="preserve"> FindCountryName(F1232)</f>
        <v>None</v>
      </c>
      <c r="H1232" s="1">
        <v>45301.375439814816</v>
      </c>
      <c r="I1232" s="1">
        <v>45301.375439814816</v>
      </c>
      <c r="J1232" s="1">
        <v>41504.429571759261</v>
      </c>
      <c r="K1232" cm="1">
        <f t="array" ref="K1232" xml:space="preserve"> sentimentCalc(C1232)</f>
        <v>2</v>
      </c>
      <c r="L1232" t="str" cm="1">
        <f t="array" ref="L1232" xml:space="preserve"> sentimentCategory(K1232)</f>
        <v>Positive</v>
      </c>
    </row>
    <row r="1233" spans="1:12">
      <c r="A1233" t="s">
        <v>1981</v>
      </c>
      <c r="B1233" t="s">
        <v>3247</v>
      </c>
      <c r="C1233" t="str" cm="1">
        <f t="array" ref="C1233" xml:space="preserve"> CleanText(B1233)</f>
        <v>thats what i needed</v>
      </c>
      <c r="D1233">
        <v>1</v>
      </c>
      <c r="E1233">
        <v>0</v>
      </c>
      <c r="F1233" t="s">
        <v>638</v>
      </c>
      <c r="G1233" t="str" cm="1">
        <f t="array" ref="G1233" xml:space="preserve"> FindCountryName(F1233)</f>
        <v>Germany</v>
      </c>
      <c r="H1233" s="1">
        <v>45301.31994212963</v>
      </c>
      <c r="I1233" s="1">
        <v>45301.31994212963</v>
      </c>
      <c r="J1233" s="1">
        <v>42522.66778935185</v>
      </c>
      <c r="K1233" cm="1">
        <f t="array" ref="K1233" xml:space="preserve"> sentimentCalc(C1233)</f>
        <v>0</v>
      </c>
      <c r="L1233" t="str" cm="1">
        <f t="array" ref="L1233" xml:space="preserve"> sentimentCategory(K1233)</f>
        <v>Neutral</v>
      </c>
    </row>
    <row r="1234" spans="1:12">
      <c r="A1234" t="s">
        <v>2015</v>
      </c>
      <c r="B1234" t="s">
        <v>3246</v>
      </c>
      <c r="C1234" t="str" cm="1">
        <f t="array" ref="C1234" xml:space="preserve"> CleanText(B1234)</f>
        <v>just please make sokka funny and say aangs name right</v>
      </c>
      <c r="D1234">
        <v>3</v>
      </c>
      <c r="E1234">
        <v>0</v>
      </c>
      <c r="F1234" t="s">
        <v>0</v>
      </c>
      <c r="G1234" t="str" cm="1">
        <f t="array" ref="G1234" xml:space="preserve"> FindCountryName(F1234)</f>
        <v>None</v>
      </c>
      <c r="H1234" s="1">
        <v>45301.318796296298</v>
      </c>
      <c r="I1234" s="1">
        <v>45301.318796296298</v>
      </c>
      <c r="J1234" s="1">
        <v>40088.604432870372</v>
      </c>
      <c r="K1234" cm="1">
        <f t="array" ref="K1234" xml:space="preserve"> sentimentCalc(C1234)</f>
        <v>5</v>
      </c>
      <c r="L1234" t="str" cm="1">
        <f t="array" ref="L1234" xml:space="preserve"> sentimentCategory(K1234)</f>
        <v>Positive</v>
      </c>
    </row>
    <row r="1235" spans="1:12">
      <c r="A1235" t="s">
        <v>223</v>
      </c>
      <c r="B1235" t="s">
        <v>3245</v>
      </c>
      <c r="C1235" t="str" cm="1">
        <f t="array" ref="C1235" xml:space="preserve"> CleanText(B1235)</f>
        <v>since its netflix one or more of the characters will be gay</v>
      </c>
      <c r="D1235">
        <v>3</v>
      </c>
      <c r="E1235">
        <v>6</v>
      </c>
      <c r="F1235" t="s">
        <v>0</v>
      </c>
      <c r="G1235" t="str" cm="1">
        <f t="array" ref="G1235" xml:space="preserve"> FindCountryName(F1235)</f>
        <v>None</v>
      </c>
      <c r="H1235" s="1">
        <v>45301.314525462964</v>
      </c>
      <c r="I1235" s="1">
        <v>45301.314525462964</v>
      </c>
      <c r="J1235" s="1">
        <v>43984.406608796293</v>
      </c>
      <c r="K1235" cm="1">
        <f t="array" ref="K1235" xml:space="preserve"> sentimentCalc(C1235)</f>
        <v>0</v>
      </c>
      <c r="L1235" t="str" cm="1">
        <f t="array" ref="L1235" xml:space="preserve"> sentimentCategory(K1235)</f>
        <v>Neutral</v>
      </c>
    </row>
    <row r="1236" spans="1:12">
      <c r="A1236" t="s">
        <v>23</v>
      </c>
      <c r="B1236" t="s">
        <v>3244</v>
      </c>
      <c r="C1236" t="str" cm="1">
        <f t="array" ref="C1236" xml:space="preserve"> CleanText(B1236)</f>
        <v>mais putain  arrtez de caster des blancs pour les rles de katara et sokka  cest des inuits bordel _xDD26_♂</v>
      </c>
      <c r="D1236">
        <v>1</v>
      </c>
      <c r="E1236">
        <v>2</v>
      </c>
      <c r="F1236" t="s">
        <v>0</v>
      </c>
      <c r="G1236" t="str" cm="1">
        <f t="array" ref="G1236" xml:space="preserve"> FindCountryName(F1236)</f>
        <v>None</v>
      </c>
      <c r="H1236" s="1">
        <v>45301.283773148149</v>
      </c>
      <c r="I1236" s="1">
        <v>45301.283773148149</v>
      </c>
      <c r="J1236" s="1">
        <v>45231.173877314817</v>
      </c>
      <c r="K1236" cm="1">
        <f t="array" ref="K1236" xml:space="preserve"> sentimentCalc(C1236)</f>
        <v>0</v>
      </c>
      <c r="L1236" t="str" cm="1">
        <f t="array" ref="L1236" xml:space="preserve"> sentimentCategory(K1236)</f>
        <v>Neutral</v>
      </c>
    </row>
    <row r="1237" spans="1:12">
      <c r="A1237" t="s">
        <v>180</v>
      </c>
      <c r="B1237" t="s">
        <v>3243</v>
      </c>
      <c r="C1237" t="str" cm="1">
        <f t="array" ref="C1237" xml:space="preserve"> CleanText(B1237)</f>
        <v>omg this is the real one</v>
      </c>
      <c r="D1237">
        <v>1</v>
      </c>
      <c r="E1237">
        <v>0</v>
      </c>
      <c r="F1237" t="s">
        <v>771</v>
      </c>
      <c r="G1237" t="str" cm="1">
        <f t="array" ref="G1237" xml:space="preserve"> FindCountryName(F1237)</f>
        <v>Malaysia</v>
      </c>
      <c r="H1237" s="1">
        <v>45301.215891203705</v>
      </c>
      <c r="I1237" s="1">
        <v>45301.215891203705</v>
      </c>
      <c r="J1237" s="1">
        <v>41580.512002314812</v>
      </c>
      <c r="K1237" cm="1">
        <f t="array" ref="K1237" xml:space="preserve"> sentimentCalc(C1237)</f>
        <v>0</v>
      </c>
      <c r="L1237" t="str" cm="1">
        <f t="array" ref="L1237" xml:space="preserve"> sentimentCategory(K1237)</f>
        <v>Neutral</v>
      </c>
    </row>
    <row r="1238" spans="1:12">
      <c r="A1238" t="s">
        <v>830</v>
      </c>
      <c r="B1238" t="s">
        <v>3242</v>
      </c>
      <c r="C1238" t="str" cm="1">
        <f t="array" ref="C1238" xml:space="preserve"> CleanText(B1238)</f>
        <v>shyamalan screwed this up last time so hopefully its better this round</v>
      </c>
      <c r="D1238">
        <v>3</v>
      </c>
      <c r="E1238">
        <v>0</v>
      </c>
      <c r="F1238" t="s">
        <v>0</v>
      </c>
      <c r="G1238" t="str" cm="1">
        <f t="array" ref="G1238" xml:space="preserve"> FindCountryName(F1238)</f>
        <v>None</v>
      </c>
      <c r="H1238" s="1">
        <v>45301.16715277778</v>
      </c>
      <c r="I1238" s="1">
        <v>45301.16715277778</v>
      </c>
      <c r="J1238" s="1">
        <v>44188.305150462962</v>
      </c>
      <c r="K1238" cm="1">
        <f t="array" ref="K1238" xml:space="preserve"> sentimentCalc(C1238)</f>
        <v>2</v>
      </c>
      <c r="L1238" t="str" cm="1">
        <f t="array" ref="L1238" xml:space="preserve"> sentimentCategory(K1238)</f>
        <v>Positive</v>
      </c>
    </row>
    <row r="1239" spans="1:12">
      <c r="A1239" t="s">
        <v>2712</v>
      </c>
      <c r="B1239" t="s">
        <v>3241</v>
      </c>
      <c r="C1239" t="str" cm="1">
        <f t="array" ref="C1239" xml:space="preserve"> CleanText(B1239)</f>
        <v>characters look amazing i hope you wont destroy another great show for some social bllsht</v>
      </c>
      <c r="D1239">
        <v>3</v>
      </c>
      <c r="E1239">
        <v>0</v>
      </c>
      <c r="F1239" t="s">
        <v>0</v>
      </c>
      <c r="G1239" t="str" cm="1">
        <f t="array" ref="G1239" xml:space="preserve"> FindCountryName(F1239)</f>
        <v>None</v>
      </c>
      <c r="H1239" s="1">
        <v>45301.153981481482</v>
      </c>
      <c r="I1239" s="1">
        <v>45301.153981481482</v>
      </c>
      <c r="J1239" s="1">
        <v>42764.646469907406</v>
      </c>
      <c r="K1239" cm="1">
        <f t="array" ref="K1239" xml:space="preserve"> sentimentCalc(C1239)</f>
        <v>6</v>
      </c>
      <c r="L1239" t="str" cm="1">
        <f t="array" ref="L1239" xml:space="preserve"> sentimentCategory(K1239)</f>
        <v>Positive</v>
      </c>
    </row>
    <row r="1240" spans="1:12">
      <c r="A1240" t="s">
        <v>3240</v>
      </c>
      <c r="B1240" t="s">
        <v>3239</v>
      </c>
      <c r="C1240" t="str" cm="1">
        <f t="array" ref="C1240" xml:space="preserve"> CleanText(B1240)</f>
        <v>i had goosebumps like whaaat _xDE31_the trailer alone is super siickkk i cant wait</v>
      </c>
      <c r="D1240">
        <v>1</v>
      </c>
      <c r="E1240">
        <v>0</v>
      </c>
      <c r="F1240" t="s">
        <v>409</v>
      </c>
      <c r="G1240" t="str" cm="1">
        <f t="array" ref="G1240" xml:space="preserve"> FindCountryName(F1240)</f>
        <v>New Zealand</v>
      </c>
      <c r="H1240" s="1">
        <v>45301.141400462962</v>
      </c>
      <c r="I1240" s="1">
        <v>45301.141400462962</v>
      </c>
      <c r="J1240" s="1">
        <v>41930.26221064815</v>
      </c>
      <c r="K1240" cm="1">
        <f t="array" ref="K1240" xml:space="preserve"> sentimentCalc(C1240)</f>
        <v>3</v>
      </c>
      <c r="L1240" t="str" cm="1">
        <f t="array" ref="L1240" xml:space="preserve"> sentimentCategory(K1240)</f>
        <v>Positive</v>
      </c>
    </row>
    <row r="1241" spans="1:12">
      <c r="A1241" t="s">
        <v>779</v>
      </c>
      <c r="B1241" t="s">
        <v>3238</v>
      </c>
      <c r="C1241" t="str" cm="1">
        <f t="array" ref="C1241" xml:space="preserve"> CleanText(B1241)</f>
        <v>the fire nation attacks again</v>
      </c>
      <c r="D1241">
        <v>1</v>
      </c>
      <c r="E1241">
        <v>0</v>
      </c>
      <c r="F1241" t="s">
        <v>0</v>
      </c>
      <c r="G1241" t="str" cm="1">
        <f t="array" ref="G1241" xml:space="preserve"> FindCountryName(F1241)</f>
        <v>None</v>
      </c>
      <c r="H1241" s="1">
        <v>45301.087395833332</v>
      </c>
      <c r="I1241" s="1">
        <v>45301.087395833332</v>
      </c>
      <c r="J1241" s="1">
        <v>43339.835543981484</v>
      </c>
      <c r="K1241" cm="1">
        <f t="array" ref="K1241" xml:space="preserve"> sentimentCalc(C1241)</f>
        <v>-3</v>
      </c>
      <c r="L1241" t="str" cm="1">
        <f t="array" ref="L1241" xml:space="preserve"> sentimentCategory(K1241)</f>
        <v>Negative</v>
      </c>
    </row>
    <row r="1242" spans="1:12">
      <c r="A1242" t="s">
        <v>51</v>
      </c>
      <c r="B1242" t="s">
        <v>3237</v>
      </c>
      <c r="C1242" t="str" cm="1">
        <f t="array" ref="C1242" xml:space="preserve"> CleanText(B1242)</f>
        <v>overal looks looked great lets hope this adaptation did the original justice</v>
      </c>
      <c r="D1242">
        <v>1</v>
      </c>
      <c r="E1242">
        <v>0</v>
      </c>
      <c r="F1242" t="s">
        <v>0</v>
      </c>
      <c r="G1242" t="str" cm="1">
        <f t="array" ref="G1242" xml:space="preserve"> FindCountryName(F1242)</f>
        <v>None</v>
      </c>
      <c r="H1242" s="1">
        <v>45301.070370370369</v>
      </c>
      <c r="I1242" s="1">
        <v>45301.070370370369</v>
      </c>
      <c r="J1242" s="1">
        <v>40647.309791666667</v>
      </c>
      <c r="K1242" cm="1">
        <f t="array" ref="K1242" xml:space="preserve"> sentimentCalc(C1242)</f>
        <v>7</v>
      </c>
      <c r="L1242" t="str" cm="1">
        <f t="array" ref="L1242" xml:space="preserve"> sentimentCategory(K1242)</f>
        <v>Positive</v>
      </c>
    </row>
    <row r="1243" spans="1:12">
      <c r="A1243" t="s">
        <v>462</v>
      </c>
      <c r="B1243" t="s">
        <v>3236</v>
      </c>
      <c r="C1243" t="str" cm="1">
        <f t="array" ref="C1243" xml:space="preserve"> CleanText(B1243)</f>
        <v>sends shivers down my spine but still highly skeptical that it will be any good and again it is still a just another soulless live action remake cash grab i can tell  as again they are try ing tot improve on perfection seriously instead of remaking classic media cartoons anime and movies make something original or at least from a good book that lacks an adaptation for example eragon still needs a good movie or better yet a tv series as the first attempt to adapt it was total crap in part because it was made too soon and cut key plot elements from the story that was still being written also it was like they did not even read the book before writing the script and casting the characters relying on second or third hand accounts from people they knew for their knowledge of the story and characters</v>
      </c>
      <c r="D1243">
        <v>1</v>
      </c>
      <c r="E1243">
        <v>1</v>
      </c>
      <c r="F1243" t="s">
        <v>0</v>
      </c>
      <c r="G1243" t="str" cm="1">
        <f t="array" ref="G1243" xml:space="preserve"> FindCountryName(F1243)</f>
        <v>None</v>
      </c>
      <c r="H1243" s="1">
        <v>45300.99894675926</v>
      </c>
      <c r="I1243" s="1">
        <v>45300.99894675926</v>
      </c>
      <c r="J1243" s="1">
        <v>44307.934537037036</v>
      </c>
      <c r="K1243" cm="1">
        <f t="array" ref="K1243" xml:space="preserve"> sentimentCalc(C1243)</f>
        <v>9</v>
      </c>
      <c r="L1243" t="str" cm="1">
        <f t="array" ref="L1243" xml:space="preserve"> sentimentCategory(K1243)</f>
        <v>Positive</v>
      </c>
    </row>
    <row r="1244" spans="1:12">
      <c r="A1244" t="s">
        <v>3235</v>
      </c>
      <c r="B1244" t="s">
        <v>3234</v>
      </c>
      <c r="C1244" t="str" cm="1">
        <f t="array" ref="C1244" xml:space="preserve"> CleanText(B1244)</f>
        <v>2*your costume is pretty good but your scare is on the wrong side*</v>
      </c>
      <c r="D1244">
        <v>0</v>
      </c>
      <c r="E1244">
        <v>0</v>
      </c>
      <c r="F1244" t="s">
        <v>0</v>
      </c>
      <c r="G1244" t="str" cm="1">
        <f t="array" ref="G1244" xml:space="preserve"> FindCountryName(F1244)</f>
        <v>None</v>
      </c>
      <c r="H1244" s="1">
        <v>45300.987951388888</v>
      </c>
      <c r="I1244" s="1">
        <v>45300.987951388888</v>
      </c>
      <c r="J1244" s="1">
        <v>40459.113391203704</v>
      </c>
      <c r="K1244" cm="1">
        <f t="array" ref="K1244" xml:space="preserve"> sentimentCalc(C1244)</f>
        <v>0</v>
      </c>
      <c r="L1244" t="str" cm="1">
        <f t="array" ref="L1244" xml:space="preserve"> sentimentCategory(K1244)</f>
        <v>Neutral</v>
      </c>
    </row>
    <row r="1245" spans="1:12">
      <c r="A1245" t="s">
        <v>2587</v>
      </c>
      <c r="B1245" t="s">
        <v>3233</v>
      </c>
      <c r="C1245" t="str" cm="1">
        <f t="array" ref="C1245" xml:space="preserve"> CleanText(B1245)</f>
        <v>if netflix botches this ill never forgive them</v>
      </c>
      <c r="D1245">
        <v>0</v>
      </c>
      <c r="E1245">
        <v>0</v>
      </c>
      <c r="F1245" t="s">
        <v>0</v>
      </c>
      <c r="G1245" t="str" cm="1">
        <f t="array" ref="G1245" xml:space="preserve"> FindCountryName(F1245)</f>
        <v>None</v>
      </c>
      <c r="H1245" s="1">
        <v>45300.970451388886</v>
      </c>
      <c r="I1245" s="1">
        <v>45300.970451388886</v>
      </c>
      <c r="J1245" s="1">
        <v>42035.669803240744</v>
      </c>
      <c r="K1245" cm="1">
        <f t="array" ref="K1245" xml:space="preserve"> sentimentCalc(C1245)</f>
        <v>-1</v>
      </c>
      <c r="L1245" t="str" cm="1">
        <f t="array" ref="L1245" xml:space="preserve"> sentimentCategory(K1245)</f>
        <v>Negative</v>
      </c>
    </row>
    <row r="1246" spans="1:12">
      <c r="A1246" t="s">
        <v>1386</v>
      </c>
      <c r="B1246" t="s">
        <v>3232</v>
      </c>
      <c r="C1246" t="str" cm="1">
        <f t="array" ref="C1246" xml:space="preserve"> CleanText(B1246)</f>
        <v>i hope this will be good and not bad as the 00 film</v>
      </c>
      <c r="D1246">
        <v>0</v>
      </c>
      <c r="E1246">
        <v>0</v>
      </c>
      <c r="F1246" t="s">
        <v>0</v>
      </c>
      <c r="G1246" t="str" cm="1">
        <f t="array" ref="G1246" xml:space="preserve"> FindCountryName(F1246)</f>
        <v>None</v>
      </c>
      <c r="H1246" s="1">
        <v>45300.963229166664</v>
      </c>
      <c r="I1246" s="1">
        <v>45300.965127314812</v>
      </c>
      <c r="J1246" s="1">
        <v>44385.964618055557</v>
      </c>
      <c r="K1246" cm="1">
        <f t="array" ref="K1246" xml:space="preserve"> sentimentCalc(C1246)</f>
        <v>2</v>
      </c>
      <c r="L1246" t="str" cm="1">
        <f t="array" ref="L1246" xml:space="preserve"> sentimentCategory(K1246)</f>
        <v>Positive</v>
      </c>
    </row>
    <row r="1247" spans="1:12">
      <c r="A1247" t="s">
        <v>395</v>
      </c>
      <c r="B1247" t="s">
        <v>3231</v>
      </c>
      <c r="C1247" t="str" cm="1">
        <f t="array" ref="C1247" xml:space="preserve"> CleanText(B1247)</f>
        <v>ây chnh l b ng  xem</v>
      </c>
      <c r="D1247">
        <v>0</v>
      </c>
      <c r="E1247">
        <v>0</v>
      </c>
      <c r="F1247" t="s">
        <v>0</v>
      </c>
      <c r="G1247" t="str" cm="1">
        <f t="array" ref="G1247" xml:space="preserve"> FindCountryName(F1247)</f>
        <v>None</v>
      </c>
      <c r="H1247" s="1">
        <v>45300.936006944445</v>
      </c>
      <c r="I1247" s="1">
        <v>45300.936006944445</v>
      </c>
      <c r="J1247" s="1">
        <v>45277.897372685184</v>
      </c>
      <c r="K1247" cm="1">
        <f t="array" ref="K1247" xml:space="preserve"> sentimentCalc(C1247)</f>
        <v>0</v>
      </c>
      <c r="L1247" t="str" cm="1">
        <f t="array" ref="L1247" xml:space="preserve"> sentimentCategory(K1247)</f>
        <v>Neutral</v>
      </c>
    </row>
    <row r="1248" spans="1:12">
      <c r="A1248" t="s">
        <v>192</v>
      </c>
      <c r="B1248" t="s">
        <v>3230</v>
      </c>
      <c r="C1248" t="str" cm="1">
        <f t="array" ref="C1248" xml:space="preserve"> CleanText(B1248)</f>
        <v>you know how much i miss that song better make good as heck netflix</v>
      </c>
      <c r="D1248">
        <v>0</v>
      </c>
      <c r="E1248">
        <v>0</v>
      </c>
      <c r="F1248" t="s">
        <v>0</v>
      </c>
      <c r="G1248" t="str" cm="1">
        <f t="array" ref="G1248" xml:space="preserve"> FindCountryName(F1248)</f>
        <v>None</v>
      </c>
      <c r="H1248" s="1">
        <v>45300.934374999997</v>
      </c>
      <c r="I1248" s="1">
        <v>45300.934374999997</v>
      </c>
      <c r="J1248" s="1">
        <v>41207.989398148151</v>
      </c>
      <c r="K1248" cm="1">
        <f t="array" ref="K1248" xml:space="preserve"> sentimentCalc(C1248)</f>
        <v>3</v>
      </c>
      <c r="L1248" t="str" cm="1">
        <f t="array" ref="L1248" xml:space="preserve"> sentimentCategory(K1248)</f>
        <v>Positive</v>
      </c>
    </row>
    <row r="1249" spans="1:12">
      <c r="A1249" t="s">
        <v>139</v>
      </c>
      <c r="B1249" t="s">
        <v>3229</v>
      </c>
      <c r="C1249" t="str" cm="1">
        <f t="array" ref="C1249" xml:space="preserve"> CleanText(B1249)</f>
        <v>when the trailers already better then the movie</v>
      </c>
      <c r="D1249">
        <v>0</v>
      </c>
      <c r="E1249">
        <v>0</v>
      </c>
      <c r="F1249" t="s">
        <v>0</v>
      </c>
      <c r="G1249" t="str" cm="1">
        <f t="array" ref="G1249" xml:space="preserve"> FindCountryName(F1249)</f>
        <v>None</v>
      </c>
      <c r="H1249" s="1">
        <v>45300.891342592593</v>
      </c>
      <c r="I1249" s="1">
        <v>45300.891342592593</v>
      </c>
      <c r="J1249" s="1">
        <v>41739.422939814816</v>
      </c>
      <c r="K1249" cm="1">
        <f t="array" ref="K1249" xml:space="preserve"> sentimentCalc(C1249)</f>
        <v>2</v>
      </c>
      <c r="L1249" t="str" cm="1">
        <f t="array" ref="L1249" xml:space="preserve"> sentimentCategory(K1249)</f>
        <v>Positive</v>
      </c>
    </row>
    <row r="1250" spans="1:12">
      <c r="A1250" t="s">
        <v>76</v>
      </c>
      <c r="B1250" t="s">
        <v>3228</v>
      </c>
      <c r="C1250" t="str" cm="1">
        <f t="array" ref="C1250" xml:space="preserve"> CleanText(B1250)</f>
        <v>ok  im willing to give this the benefit of doubt  well see when it comes out</v>
      </c>
      <c r="D1250">
        <v>0</v>
      </c>
      <c r="E1250">
        <v>0</v>
      </c>
      <c r="F1250" t="s">
        <v>0</v>
      </c>
      <c r="G1250" t="str" cm="1">
        <f t="array" ref="G1250" xml:space="preserve"> FindCountryName(F1250)</f>
        <v>None</v>
      </c>
      <c r="H1250" s="1">
        <v>45300.862638888888</v>
      </c>
      <c r="I1250" s="1">
        <v>45300.862638888888</v>
      </c>
      <c r="J1250" s="1">
        <v>42559.545578703706</v>
      </c>
      <c r="K1250" cm="1">
        <f t="array" ref="K1250" xml:space="preserve"> sentimentCalc(C1250)</f>
        <v>1</v>
      </c>
      <c r="L1250" t="str" cm="1">
        <f t="array" ref="L1250" xml:space="preserve"> sentimentCategory(K1250)</f>
        <v>Positive</v>
      </c>
    </row>
    <row r="1251" spans="1:12">
      <c r="A1251" t="s">
        <v>357</v>
      </c>
      <c r="B1251" t="s">
        <v>3227</v>
      </c>
      <c r="C1251" t="str" cm="1">
        <f t="array" ref="C1251" xml:space="preserve"> CleanText(B1251)</f>
        <v>i have a bad feeling</v>
      </c>
      <c r="D1251">
        <v>0</v>
      </c>
      <c r="E1251">
        <v>0</v>
      </c>
      <c r="F1251" t="s">
        <v>0</v>
      </c>
      <c r="G1251" t="str" cm="1">
        <f t="array" ref="G1251" xml:space="preserve"> FindCountryName(F1251)</f>
        <v>None</v>
      </c>
      <c r="H1251" s="1">
        <v>45300.857465277775</v>
      </c>
      <c r="I1251" s="1">
        <v>45300.857465277775</v>
      </c>
      <c r="J1251" s="1">
        <v>42127.802025462966</v>
      </c>
      <c r="K1251" cm="1">
        <f t="array" ref="K1251" xml:space="preserve"> sentimentCalc(C1251)</f>
        <v>-2</v>
      </c>
      <c r="L1251" t="str" cm="1">
        <f t="array" ref="L1251" xml:space="preserve"> sentimentCategory(K1251)</f>
        <v>Negative</v>
      </c>
    </row>
    <row r="1252" spans="1:12">
      <c r="A1252" t="s">
        <v>2187</v>
      </c>
      <c r="B1252" t="s">
        <v>3226</v>
      </c>
      <c r="C1252" t="str" cm="1">
        <f t="array" ref="C1252" xml:space="preserve"> CleanText(B1252)</f>
        <v>good animation bad cast</v>
      </c>
      <c r="D1252">
        <v>0</v>
      </c>
      <c r="E1252">
        <v>0</v>
      </c>
      <c r="F1252" t="s">
        <v>0</v>
      </c>
      <c r="G1252" t="str" cm="1">
        <f t="array" ref="G1252" xml:space="preserve"> FindCountryName(F1252)</f>
        <v>None</v>
      </c>
      <c r="H1252" s="1">
        <v>45300.855578703704</v>
      </c>
      <c r="I1252" s="1">
        <v>45300.855578703704</v>
      </c>
      <c r="J1252" s="1">
        <v>41964.886134259257</v>
      </c>
      <c r="K1252" cm="1">
        <f t="array" ref="K1252" xml:space="preserve"> sentimentCalc(C1252)</f>
        <v>0</v>
      </c>
      <c r="L1252" t="str" cm="1">
        <f t="array" ref="L1252" xml:space="preserve"> sentimentCategory(K1252)</f>
        <v>Neutral</v>
      </c>
    </row>
    <row r="1253" spans="1:12">
      <c r="A1253" t="s">
        <v>3225</v>
      </c>
      <c r="B1253" t="s">
        <v>3224</v>
      </c>
      <c r="C1253" t="str" cm="1">
        <f t="array" ref="C1253" xml:space="preserve"> CleanText(B1253)</f>
        <v>i dont feel it but lets see</v>
      </c>
      <c r="D1253">
        <v>0</v>
      </c>
      <c r="E1253">
        <v>0</v>
      </c>
      <c r="F1253" t="s">
        <v>0</v>
      </c>
      <c r="G1253" t="str" cm="1">
        <f t="array" ref="G1253" xml:space="preserve"> FindCountryName(F1253)</f>
        <v>None</v>
      </c>
      <c r="H1253" s="1">
        <v>45300.785150462965</v>
      </c>
      <c r="I1253" s="1">
        <v>45300.785150462965</v>
      </c>
      <c r="J1253" s="1">
        <v>44577.818935185183</v>
      </c>
      <c r="K1253" cm="1">
        <f t="array" ref="K1253" xml:space="preserve"> sentimentCalc(C1253)</f>
        <v>0</v>
      </c>
      <c r="L1253" t="str" cm="1">
        <f t="array" ref="L1253" xml:space="preserve"> sentimentCategory(K1253)</f>
        <v>Neutral</v>
      </c>
    </row>
    <row r="1254" spans="1:12">
      <c r="A1254" t="s">
        <v>30</v>
      </c>
      <c r="B1254" t="s">
        <v>3223</v>
      </c>
      <c r="C1254" t="str" cm="1">
        <f t="array" ref="C1254" xml:space="preserve"> CleanText(B1254)</f>
        <v>bbbu ne aq</v>
      </c>
      <c r="D1254">
        <v>0</v>
      </c>
      <c r="E1254">
        <v>0</v>
      </c>
      <c r="F1254" t="s">
        <v>0</v>
      </c>
      <c r="G1254" t="str" cm="1">
        <f t="array" ref="G1254" xml:space="preserve"> FindCountryName(F1254)</f>
        <v>None</v>
      </c>
      <c r="H1254" s="1">
        <v>45300.769606481481</v>
      </c>
      <c r="I1254" s="1">
        <v>45300.769606481481</v>
      </c>
      <c r="J1254" s="1">
        <v>42622.185011574074</v>
      </c>
      <c r="K1254" cm="1">
        <f t="array" ref="K1254" xml:space="preserve"> sentimentCalc(C1254)</f>
        <v>0</v>
      </c>
      <c r="L1254" t="str" cm="1">
        <f t="array" ref="L1254" xml:space="preserve"> sentimentCategory(K1254)</f>
        <v>Neutral</v>
      </c>
    </row>
    <row r="1255" spans="1:12">
      <c r="A1255" t="s">
        <v>1827</v>
      </c>
      <c r="B1255" t="s">
        <v>3222</v>
      </c>
      <c r="C1255" t="str" cm="1">
        <f t="array" ref="C1255" xml:space="preserve"> CleanText(B1255)</f>
        <v>i am ready for this but i wonder if they will do tales of ba sing se</v>
      </c>
      <c r="D1255">
        <v>0</v>
      </c>
      <c r="E1255">
        <v>0</v>
      </c>
      <c r="F1255" t="s">
        <v>0</v>
      </c>
      <c r="G1255" t="str" cm="1">
        <f t="array" ref="G1255" xml:space="preserve"> FindCountryName(F1255)</f>
        <v>None</v>
      </c>
      <c r="H1255" s="1">
        <v>45300.690324074072</v>
      </c>
      <c r="I1255" s="1">
        <v>45300.690324074072</v>
      </c>
      <c r="J1255" s="1">
        <v>42205.922500000001</v>
      </c>
      <c r="K1255" cm="1">
        <f t="array" ref="K1255" xml:space="preserve"> sentimentCalc(C1255)</f>
        <v>0</v>
      </c>
      <c r="L1255" t="str" cm="1">
        <f t="array" ref="L1255" xml:space="preserve"> sentimentCategory(K1255)</f>
        <v>Neutral</v>
      </c>
    </row>
    <row r="1256" spans="1:12">
      <c r="A1256" t="s">
        <v>560</v>
      </c>
      <c r="B1256" t="s">
        <v>3221</v>
      </c>
      <c r="C1256" t="str" cm="1">
        <f t="array" ref="C1256" xml:space="preserve"> CleanText(B1256)</f>
        <v>netflix listen you better not make this show shitty i have high expectations and i dare you ruining zuko because he is by far the greatest character of the show i mean it youre walking on thin ice</v>
      </c>
      <c r="D1256">
        <v>0</v>
      </c>
      <c r="E1256">
        <v>1</v>
      </c>
      <c r="F1256" t="s">
        <v>0</v>
      </c>
      <c r="G1256" t="str" cm="1">
        <f t="array" ref="G1256" xml:space="preserve"> FindCountryName(F1256)</f>
        <v>None</v>
      </c>
      <c r="H1256" s="1">
        <v>45300.669074074074</v>
      </c>
      <c r="I1256" s="1">
        <v>45300.669074074074</v>
      </c>
      <c r="J1256" s="1">
        <v>44100.720983796295</v>
      </c>
      <c r="K1256" cm="1">
        <f t="array" ref="K1256" xml:space="preserve"> sentimentCalc(C1256)</f>
        <v>3</v>
      </c>
      <c r="L1256" t="str" cm="1">
        <f t="array" ref="L1256" xml:space="preserve"> sentimentCategory(K1256)</f>
        <v>Positive</v>
      </c>
    </row>
    <row r="1257" spans="1:12">
      <c r="A1257" t="s">
        <v>3220</v>
      </c>
      <c r="B1257" t="s">
        <v>3219</v>
      </c>
      <c r="C1257" t="str" cm="1">
        <f t="array" ref="C1257" xml:space="preserve"> CleanText(B1257)</f>
        <v>6 aangs smile is so adorable _xDD70_</v>
      </c>
      <c r="D1257">
        <v>237</v>
      </c>
      <c r="E1257">
        <v>1</v>
      </c>
      <c r="F1257" t="s">
        <v>19</v>
      </c>
      <c r="G1257" t="str" cm="1">
        <f t="array" ref="G1257" xml:space="preserve"> FindCountryName(F1257)</f>
        <v>United States of America (the)</v>
      </c>
      <c r="H1257" s="1">
        <v>45300.597048611111</v>
      </c>
      <c r="I1257" s="1">
        <v>45300.597048611111</v>
      </c>
      <c r="J1257" s="1">
        <v>40590.990659722222</v>
      </c>
      <c r="K1257" cm="1">
        <f t="array" ref="K1257" xml:space="preserve"> sentimentCalc(C1257)</f>
        <v>5</v>
      </c>
      <c r="L1257" t="str" cm="1">
        <f t="array" ref="L1257" xml:space="preserve"> sentimentCategory(K1257)</f>
        <v>Positive</v>
      </c>
    </row>
    <row r="1258" spans="1:12">
      <c r="A1258" t="s">
        <v>924</v>
      </c>
      <c r="B1258" t="s">
        <v>3218</v>
      </c>
      <c r="C1258" t="str" cm="1">
        <f t="array" ref="C1258" xml:space="preserve"> CleanText(B1258)</f>
        <v>typical netflix plot twist incoming  its all an internal battle to discover hes actually a gay non binary gender fluid sometimes woman</v>
      </c>
      <c r="D1258">
        <v>3</v>
      </c>
      <c r="E1258">
        <v>1</v>
      </c>
      <c r="F1258" t="s">
        <v>0</v>
      </c>
      <c r="G1258" t="str" cm="1">
        <f t="array" ref="G1258" xml:space="preserve"> FindCountryName(F1258)</f>
        <v>None</v>
      </c>
      <c r="H1258" s="1">
        <v>45300.559131944443</v>
      </c>
      <c r="I1258" s="1">
        <v>45300.559131944443</v>
      </c>
      <c r="J1258" s="1">
        <v>41310.382037037038</v>
      </c>
      <c r="K1258" cm="1">
        <f t="array" ref="K1258" xml:space="preserve"> sentimentCalc(C1258)</f>
        <v>-1</v>
      </c>
      <c r="L1258" t="str" cm="1">
        <f t="array" ref="L1258" xml:space="preserve"> sentimentCategory(K1258)</f>
        <v>Negative</v>
      </c>
    </row>
    <row r="1259" spans="1:12">
      <c r="A1259" t="s">
        <v>26</v>
      </c>
      <c r="B1259" t="s">
        <v>3217</v>
      </c>
      <c r="C1259" t="str" cm="1">
        <f t="array" ref="C1259" xml:space="preserve"> CleanText(B1259)</f>
        <v>i was hoping someone would just ignore the last live action and do this justicewell see</v>
      </c>
      <c r="D1259">
        <v>0</v>
      </c>
      <c r="E1259">
        <v>0</v>
      </c>
      <c r="F1259" t="s">
        <v>0</v>
      </c>
      <c r="G1259" t="str" cm="1">
        <f t="array" ref="G1259" xml:space="preserve"> FindCountryName(F1259)</f>
        <v>None</v>
      </c>
      <c r="H1259" s="1">
        <v>45300.531157407408</v>
      </c>
      <c r="I1259" s="1">
        <v>45300.531157407408</v>
      </c>
      <c r="J1259" s="1">
        <v>42011.86478009259</v>
      </c>
      <c r="K1259" cm="1">
        <f t="array" ref="K1259" xml:space="preserve"> sentimentCalc(C1259)</f>
        <v>1</v>
      </c>
      <c r="L1259" t="str" cm="1">
        <f t="array" ref="L1259" xml:space="preserve"> sentimentCategory(K1259)</f>
        <v>Positive</v>
      </c>
    </row>
    <row r="1260" spans="1:12">
      <c r="A1260" t="s">
        <v>325</v>
      </c>
      <c r="B1260" t="s">
        <v>3216</v>
      </c>
      <c r="C1260" t="str" cm="1">
        <f t="array" ref="C1260" xml:space="preserve"> CleanText(B1260)</f>
        <v>please dont suck resist the temptation to hate your audience with utter contempt</v>
      </c>
      <c r="D1260">
        <v>1</v>
      </c>
      <c r="E1260">
        <v>0</v>
      </c>
      <c r="F1260" t="s">
        <v>0</v>
      </c>
      <c r="G1260" t="str" cm="1">
        <f t="array" ref="G1260" xml:space="preserve"> FindCountryName(F1260)</f>
        <v>None</v>
      </c>
      <c r="H1260" s="1">
        <v>45300.523576388892</v>
      </c>
      <c r="I1260" s="1">
        <v>45300.523576388892</v>
      </c>
      <c r="J1260" s="1">
        <v>40090.650729166664</v>
      </c>
      <c r="K1260" cm="1">
        <f t="array" ref="K1260" xml:space="preserve"> sentimentCalc(C1260)</f>
        <v>-7</v>
      </c>
      <c r="L1260" t="str" cm="1">
        <f t="array" ref="L1260" xml:space="preserve"> sentimentCategory(K1260)</f>
        <v>Negative</v>
      </c>
    </row>
    <row r="1261" spans="1:12">
      <c r="A1261" t="s">
        <v>478</v>
      </c>
      <c r="B1261" t="s">
        <v>3215</v>
      </c>
      <c r="C1261" t="str" cm="1">
        <f t="array" ref="C1261" xml:space="preserve"> CleanText(B1261)</f>
        <v>this better blow my mind</v>
      </c>
      <c r="D1261">
        <v>0</v>
      </c>
      <c r="E1261">
        <v>0</v>
      </c>
      <c r="F1261" t="s">
        <v>0</v>
      </c>
      <c r="G1261" t="str" cm="1">
        <f t="array" ref="G1261" xml:space="preserve"> FindCountryName(F1261)</f>
        <v>None</v>
      </c>
      <c r="H1261" s="1">
        <v>45300.487604166665</v>
      </c>
      <c r="I1261" s="1">
        <v>45300.487604166665</v>
      </c>
      <c r="J1261" s="1">
        <v>44417.513101851851</v>
      </c>
      <c r="K1261" cm="1">
        <f t="array" ref="K1261" xml:space="preserve"> sentimentCalc(C1261)</f>
        <v>2</v>
      </c>
      <c r="L1261" t="str" cm="1">
        <f t="array" ref="L1261" xml:space="preserve"> sentimentCategory(K1261)</f>
        <v>Positive</v>
      </c>
    </row>
    <row r="1262" spans="1:12">
      <c r="A1262" t="s">
        <v>153</v>
      </c>
      <c r="B1262" t="s">
        <v>3214</v>
      </c>
      <c r="C1262" t="str" cm="1">
        <f t="array" ref="C1262" xml:space="preserve"> CleanText(B1262)</f>
        <v>dude nobody is asking for a remake we want an animated sequal or prequal add new content stop rehashing and spend triple implementing cgi into live action rather than animating the whole thing</v>
      </c>
      <c r="D1262">
        <v>0</v>
      </c>
      <c r="E1262">
        <v>1</v>
      </c>
      <c r="F1262" t="s">
        <v>0</v>
      </c>
      <c r="G1262" t="str" cm="1">
        <f t="array" ref="G1262" xml:space="preserve"> FindCountryName(F1262)</f>
        <v>None</v>
      </c>
      <c r="H1262" s="1">
        <v>45300.46130787037</v>
      </c>
      <c r="I1262" s="1">
        <v>45300.46130787037</v>
      </c>
      <c r="J1262" s="1">
        <v>41644.684178240743</v>
      </c>
      <c r="K1262" cm="1">
        <f t="array" ref="K1262" xml:space="preserve"> sentimentCalc(C1262)</f>
        <v>0</v>
      </c>
      <c r="L1262" t="str" cm="1">
        <f t="array" ref="L1262" xml:space="preserve"> sentimentCategory(K1262)</f>
        <v>Neutral</v>
      </c>
    </row>
    <row r="1263" spans="1:12">
      <c r="A1263" t="s">
        <v>3213</v>
      </c>
      <c r="B1263" t="s">
        <v>3212</v>
      </c>
      <c r="C1263" t="str" cm="1">
        <f t="array" ref="C1263" xml:space="preserve"> CleanText(B1263)</f>
        <v>this is amazing i just cant wait for the show to release</v>
      </c>
      <c r="D1263">
        <v>1</v>
      </c>
      <c r="E1263">
        <v>0</v>
      </c>
      <c r="F1263" t="s">
        <v>0</v>
      </c>
      <c r="G1263" t="str" cm="1">
        <f t="array" ref="G1263" xml:space="preserve"> FindCountryName(F1263)</f>
        <v>None</v>
      </c>
      <c r="H1263" s="1">
        <v>45300.448923611111</v>
      </c>
      <c r="I1263" s="1">
        <v>45300.448923611111</v>
      </c>
      <c r="J1263" s="1">
        <v>43879.63790509259</v>
      </c>
      <c r="K1263" cm="1">
        <f t="array" ref="K1263" xml:space="preserve"> sentimentCalc(C1263)</f>
        <v>4</v>
      </c>
      <c r="L1263" t="str" cm="1">
        <f t="array" ref="L1263" xml:space="preserve"> sentimentCategory(K1263)</f>
        <v>Positive</v>
      </c>
    </row>
    <row r="1264" spans="1:12">
      <c r="A1264" t="s">
        <v>745</v>
      </c>
      <c r="B1264" t="s">
        <v>3211</v>
      </c>
      <c r="C1264" t="str" cm="1">
        <f t="array" ref="C1264" xml:space="preserve"> CleanText(B1264)</f>
        <v>this cant be worst than the one m night shamalan made _xDE05_</v>
      </c>
      <c r="D1264">
        <v>0</v>
      </c>
      <c r="E1264">
        <v>0</v>
      </c>
      <c r="F1264" t="s">
        <v>0</v>
      </c>
      <c r="G1264" t="str" cm="1">
        <f t="array" ref="G1264" xml:space="preserve"> FindCountryName(F1264)</f>
        <v>None</v>
      </c>
      <c r="H1264" s="1">
        <v>45300.436736111114</v>
      </c>
      <c r="I1264" s="1">
        <v>45300.436736111114</v>
      </c>
      <c r="J1264" s="1">
        <v>41443.603217592594</v>
      </c>
      <c r="K1264" cm="1">
        <f t="array" ref="K1264" xml:space="preserve"> sentimentCalc(C1264)</f>
        <v>-3</v>
      </c>
      <c r="L1264" t="str" cm="1">
        <f t="array" ref="L1264" xml:space="preserve"> sentimentCategory(K1264)</f>
        <v>Negative</v>
      </c>
    </row>
    <row r="1265" spans="1:12">
      <c r="A1265" t="s">
        <v>3210</v>
      </c>
      <c r="B1265" t="s">
        <v>3209</v>
      </c>
      <c r="C1265" t="str" cm="1">
        <f t="array" ref="C1265" xml:space="preserve"> CleanText(B1265)</f>
        <v>this looks soooo goodbut ive been here beforeand i dont wanna be hurt again</v>
      </c>
      <c r="D1265">
        <v>2</v>
      </c>
      <c r="E1265">
        <v>1</v>
      </c>
      <c r="F1265" t="s">
        <v>0</v>
      </c>
      <c r="G1265" t="str" cm="1">
        <f t="array" ref="G1265" xml:space="preserve"> FindCountryName(F1265)</f>
        <v>None</v>
      </c>
      <c r="H1265" s="1">
        <v>45300.424375000002</v>
      </c>
      <c r="I1265" s="1">
        <v>45300.424375000002</v>
      </c>
      <c r="J1265" s="1">
        <v>40821.850289351853</v>
      </c>
      <c r="K1265" cm="1">
        <f t="array" ref="K1265" xml:space="preserve"> sentimentCalc(C1265)</f>
        <v>-2</v>
      </c>
      <c r="L1265" t="str" cm="1">
        <f t="array" ref="L1265" xml:space="preserve"> sentimentCategory(K1265)</f>
        <v>Negative</v>
      </c>
    </row>
    <row r="1266" spans="1:12">
      <c r="A1266" t="s">
        <v>72</v>
      </c>
      <c r="B1266" t="s">
        <v>3208</v>
      </c>
      <c r="C1266" t="str" cm="1">
        <f t="array" ref="C1266" xml:space="preserve"> CleanText(B1266)</f>
        <v>i really hope they didnt just remake this movie and leave everyone hanging at the end of the movie again waiting to see how they stop the fire nation i want to see what happens next i have been very disappointed with alot of new movies and im big fan of them</v>
      </c>
      <c r="D1266">
        <v>0</v>
      </c>
      <c r="E1266">
        <v>1</v>
      </c>
      <c r="F1266" t="s">
        <v>0</v>
      </c>
      <c r="G1266" t="str" cm="1">
        <f t="array" ref="G1266" xml:space="preserve"> FindCountryName(F1266)</f>
        <v>None</v>
      </c>
      <c r="H1266" s="1">
        <v>45300.405891203707</v>
      </c>
      <c r="I1266" s="1">
        <v>45300.405891203707</v>
      </c>
      <c r="J1266" s="1">
        <v>45300.40587962963</v>
      </c>
      <c r="K1266" cm="1">
        <f t="array" ref="K1266" xml:space="preserve"> sentimentCalc(C1266)</f>
        <v>1</v>
      </c>
      <c r="L1266" t="str" cm="1">
        <f t="array" ref="L1266" xml:space="preserve"> sentimentCategory(K1266)</f>
        <v>Positive</v>
      </c>
    </row>
    <row r="1267" spans="1:12">
      <c r="A1267" t="s">
        <v>1769</v>
      </c>
      <c r="B1267" t="s">
        <v>3207</v>
      </c>
      <c r="C1267" t="str" cm="1">
        <f t="array" ref="C1267" xml:space="preserve"> CleanText(B1267)</f>
        <v>netflix plz stop live acting movies that are garbage and maybe finance a good project like arcanelike we all watched by now with good new drawing animation technics and maybe  maybe  youll get a hit</v>
      </c>
      <c r="D1267">
        <v>0</v>
      </c>
      <c r="E1267">
        <v>0</v>
      </c>
      <c r="F1267" t="s">
        <v>0</v>
      </c>
      <c r="G1267" t="str" cm="1">
        <f t="array" ref="G1267" xml:space="preserve"> FindCountryName(F1267)</f>
        <v>None</v>
      </c>
      <c r="H1267" s="1">
        <v>45300.376886574071</v>
      </c>
      <c r="I1267" s="1">
        <v>45300.376886574071</v>
      </c>
      <c r="J1267" s="1">
        <v>40807.521006944444</v>
      </c>
      <c r="K1267" cm="1">
        <f t="array" ref="K1267" xml:space="preserve"> sentimentCalc(C1267)</f>
        <v>7</v>
      </c>
      <c r="L1267" t="str" cm="1">
        <f t="array" ref="L1267" xml:space="preserve"> sentimentCategory(K1267)</f>
        <v>Positive</v>
      </c>
    </row>
    <row r="1268" spans="1:12">
      <c r="A1268" t="s">
        <v>2326</v>
      </c>
      <c r="B1268" t="s">
        <v>3206</v>
      </c>
      <c r="C1268" t="str" cm="1">
        <f t="array" ref="C1268" xml:space="preserve"> CleanText(B1268)</f>
        <v>the original show was so goodi didnt ever bother to see the live action moviethis looks like they may have finally got a live action adaptation right</v>
      </c>
      <c r="D1268">
        <v>10</v>
      </c>
      <c r="E1268">
        <v>0</v>
      </c>
      <c r="F1268" t="s">
        <v>0</v>
      </c>
      <c r="G1268" t="str" cm="1">
        <f t="array" ref="G1268" xml:space="preserve"> FindCountryName(F1268)</f>
        <v>None</v>
      </c>
      <c r="H1268" s="1">
        <v>45300.366516203707</v>
      </c>
      <c r="I1268" s="1">
        <v>45300.366516203707</v>
      </c>
      <c r="J1268" s="1">
        <v>39254.07508101852</v>
      </c>
      <c r="K1268" cm="1">
        <f t="array" ref="K1268" xml:space="preserve"> sentimentCalc(C1268)</f>
        <v>0</v>
      </c>
      <c r="L1268" t="str" cm="1">
        <f t="array" ref="L1268" xml:space="preserve"> sentimentCategory(K1268)</f>
        <v>Neutral</v>
      </c>
    </row>
    <row r="1269" spans="1:12">
      <c r="A1269" t="s">
        <v>3205</v>
      </c>
      <c r="B1269" t="s">
        <v>3204</v>
      </c>
      <c r="C1269" t="str" cm="1">
        <f t="array" ref="C1269" xml:space="preserve"> CleanText(B1269)</f>
        <v>porque la tribu del agua tiene piel blanca si en el dibujo son de piel oscura</v>
      </c>
      <c r="D1269">
        <v>0</v>
      </c>
      <c r="E1269">
        <v>1</v>
      </c>
      <c r="F1269" t="s">
        <v>0</v>
      </c>
      <c r="G1269" t="str" cm="1">
        <f t="array" ref="G1269" xml:space="preserve"> FindCountryName(F1269)</f>
        <v>None</v>
      </c>
      <c r="H1269" s="1">
        <v>45300.354074074072</v>
      </c>
      <c r="I1269" s="1">
        <v>45300.354074074072</v>
      </c>
      <c r="J1269" s="1">
        <v>39935.616469907407</v>
      </c>
      <c r="K1269" cm="1">
        <f t="array" ref="K1269" xml:space="preserve"> sentimentCalc(C1269)</f>
        <v>0</v>
      </c>
      <c r="L1269" t="str" cm="1">
        <f t="array" ref="L1269" xml:space="preserve"> sentimentCategory(K1269)</f>
        <v>Neutral</v>
      </c>
    </row>
    <row r="1270" spans="1:12">
      <c r="A1270" t="s">
        <v>3203</v>
      </c>
      <c r="B1270" t="s">
        <v>3202</v>
      </c>
      <c r="C1270" t="str" cm="1">
        <f t="array" ref="C1270" xml:space="preserve"> CleanText(B1270)</f>
        <v>avatar new season nice</v>
      </c>
      <c r="D1270">
        <v>0</v>
      </c>
      <c r="E1270">
        <v>0</v>
      </c>
      <c r="F1270" t="s">
        <v>19</v>
      </c>
      <c r="G1270" t="str" cm="1">
        <f t="array" ref="G1270" xml:space="preserve"> FindCountryName(F1270)</f>
        <v>United States of America (the)</v>
      </c>
      <c r="H1270" s="1">
        <v>45300.338171296295</v>
      </c>
      <c r="I1270" s="1">
        <v>45300.338171296295</v>
      </c>
      <c r="J1270" s="1">
        <v>43871.131597222222</v>
      </c>
      <c r="K1270" cm="1">
        <f t="array" ref="K1270" xml:space="preserve"> sentimentCalc(C1270)</f>
        <v>3</v>
      </c>
      <c r="L1270" t="str" cm="1">
        <f t="array" ref="L1270" xml:space="preserve"> sentimentCategory(K1270)</f>
        <v>Positive</v>
      </c>
    </row>
    <row r="1271" spans="1:12">
      <c r="A1271" t="s">
        <v>14</v>
      </c>
      <c r="B1271" t="s">
        <v>3201</v>
      </c>
      <c r="C1271" t="str" cm="1">
        <f t="array" ref="C1271" xml:space="preserve"> CleanText(B1271)</f>
        <v>dont be a flop dont be a flop dont be a flop dont be a flop dont be a flop dont be a flop dont be a flop dont be a flop dont be a flop dont be a flop dont be a flop dont be a flop dont be a flop dont be a flop dont be a flop dont be a flop dont be a flop dont be a flop dont be a flop dont be a flop dont be a flop dont be a flop dont be a flop dont be a flop dont be a flop dont be a flop dont be a flop dont be a flop dont be a flop dont be a flop dont be a flop dont be a flop dont be a flop dont be a flop dont be a flop dont be a flop dont be a flop dont be a flop</v>
      </c>
      <c r="D1271">
        <v>0</v>
      </c>
      <c r="E1271">
        <v>0</v>
      </c>
      <c r="F1271" t="s">
        <v>0</v>
      </c>
      <c r="G1271" t="str" cm="1">
        <f t="array" ref="G1271" xml:space="preserve"> FindCountryName(F1271)</f>
        <v>None</v>
      </c>
      <c r="H1271" s="1">
        <v>45300.314745370371</v>
      </c>
      <c r="I1271" s="1">
        <v>45300.314745370371</v>
      </c>
      <c r="J1271" s="1">
        <v>44891.081365740742</v>
      </c>
      <c r="K1271" cm="1">
        <f t="array" ref="K1271" xml:space="preserve"> sentimentCalc(C1271)</f>
        <v>-76</v>
      </c>
      <c r="L1271" t="str" cm="1">
        <f t="array" ref="L1271" xml:space="preserve"> sentimentCategory(K1271)</f>
        <v>Negative</v>
      </c>
    </row>
    <row r="1272" spans="1:12">
      <c r="A1272" t="s">
        <v>308</v>
      </c>
      <c r="B1272" t="s">
        <v>3200</v>
      </c>
      <c r="C1272" t="str" cm="1">
        <f t="array" ref="C1272" xml:space="preserve"> CleanText(B1272)</f>
        <v>i just came</v>
      </c>
      <c r="D1272">
        <v>0</v>
      </c>
      <c r="E1272">
        <v>0</v>
      </c>
      <c r="F1272" t="s">
        <v>0</v>
      </c>
      <c r="G1272" t="str" cm="1">
        <f t="array" ref="G1272" xml:space="preserve"> FindCountryName(F1272)</f>
        <v>None</v>
      </c>
      <c r="H1272" s="1">
        <v>45300.296412037038</v>
      </c>
      <c r="I1272" s="1">
        <v>45300.296412037038</v>
      </c>
      <c r="J1272" s="1">
        <v>42277.788159722222</v>
      </c>
      <c r="K1272" cm="1">
        <f t="array" ref="K1272" xml:space="preserve"> sentimentCalc(C1272)</f>
        <v>0</v>
      </c>
      <c r="L1272" t="str" cm="1">
        <f t="array" ref="L1272" xml:space="preserve"> sentimentCategory(K1272)</f>
        <v>Neutral</v>
      </c>
    </row>
    <row r="1273" spans="1:12">
      <c r="A1273" t="s">
        <v>1977</v>
      </c>
      <c r="B1273" t="s">
        <v>3199</v>
      </c>
      <c r="C1273" t="str" cm="1">
        <f t="array" ref="C1273" xml:space="preserve"> CleanText(B1273)</f>
        <v>damn that was sick cant expect that _xD83D_</v>
      </c>
      <c r="D1273">
        <v>0</v>
      </c>
      <c r="E1273">
        <v>0</v>
      </c>
      <c r="F1273" t="s">
        <v>0</v>
      </c>
      <c r="G1273" t="str" cm="1">
        <f t="array" ref="G1273" xml:space="preserve"> FindCountryName(F1273)</f>
        <v>None</v>
      </c>
      <c r="H1273" s="1">
        <v>45300.286608796298</v>
      </c>
      <c r="I1273" s="1">
        <v>45300.286608796298</v>
      </c>
      <c r="J1273" s="1">
        <v>44844.498657407406</v>
      </c>
      <c r="K1273" cm="1">
        <f t="array" ref="K1273" xml:space="preserve"> sentimentCalc(C1273)</f>
        <v>-6</v>
      </c>
      <c r="L1273" t="str" cm="1">
        <f t="array" ref="L1273" xml:space="preserve"> sentimentCategory(K1273)</f>
        <v>Negative</v>
      </c>
    </row>
    <row r="1274" spans="1:12">
      <c r="A1274" t="s">
        <v>34</v>
      </c>
      <c r="B1274" t="s">
        <v>3198</v>
      </c>
      <c r="C1274" t="str" cm="1">
        <f t="array" ref="C1274" xml:space="preserve"> CleanText(B1274)</f>
        <v>i am hope full that this one is better then the last one</v>
      </c>
      <c r="D1274">
        <v>0</v>
      </c>
      <c r="E1274">
        <v>0</v>
      </c>
      <c r="F1274" t="s">
        <v>0</v>
      </c>
      <c r="G1274" t="str" cm="1">
        <f t="array" ref="G1274" xml:space="preserve"> FindCountryName(F1274)</f>
        <v>None</v>
      </c>
      <c r="H1274" s="1">
        <v>45300.259421296294</v>
      </c>
      <c r="I1274" s="1">
        <v>45300.259421296294</v>
      </c>
      <c r="J1274" s="1">
        <v>44167.574537037035</v>
      </c>
      <c r="K1274" cm="1">
        <f t="array" ref="K1274" xml:space="preserve"> sentimentCalc(C1274)</f>
        <v>4</v>
      </c>
      <c r="L1274" t="str" cm="1">
        <f t="array" ref="L1274" xml:space="preserve"> sentimentCategory(K1274)</f>
        <v>Positive</v>
      </c>
    </row>
    <row r="1275" spans="1:12">
      <c r="A1275" t="s">
        <v>786</v>
      </c>
      <c r="B1275" t="s">
        <v>3197</v>
      </c>
      <c r="C1275" t="str" cm="1">
        <f t="array" ref="C1275" xml:space="preserve"> CleanText(B1275)</f>
        <v>most existing fantasy _xDF89_ maybe dreams comes true _xDE2E_ most awaited one</v>
      </c>
      <c r="D1275">
        <v>0</v>
      </c>
      <c r="E1275">
        <v>0</v>
      </c>
      <c r="F1275" t="s">
        <v>0</v>
      </c>
      <c r="G1275" t="str" cm="1">
        <f t="array" ref="G1275" xml:space="preserve"> FindCountryName(F1275)</f>
        <v>None</v>
      </c>
      <c r="H1275" s="1">
        <v>45300.258402777778</v>
      </c>
      <c r="I1275" s="1">
        <v>45300.258402777778</v>
      </c>
      <c r="J1275" s="1">
        <v>42919.121203703704</v>
      </c>
      <c r="K1275" cm="1">
        <f t="array" ref="K1275" xml:space="preserve"> sentimentCalc(C1275)</f>
        <v>2</v>
      </c>
      <c r="L1275" t="str" cm="1">
        <f t="array" ref="L1275" xml:space="preserve"> sentimentCategory(K1275)</f>
        <v>Positive</v>
      </c>
    </row>
    <row r="1276" spans="1:12">
      <c r="A1276" t="s">
        <v>340</v>
      </c>
      <c r="B1276" t="s">
        <v>3196</v>
      </c>
      <c r="C1276" t="str" cm="1">
        <f t="array" ref="C1276" xml:space="preserve"> CleanText(B1276)</f>
        <v>the fact that  original creators left the show before official premiere telling me to anticipate this with caution i have mixed feelings about this please dont dissapoint me like one piece live adaptation_xD83D_</v>
      </c>
      <c r="D1276">
        <v>0</v>
      </c>
      <c r="E1276">
        <v>2</v>
      </c>
      <c r="F1276" t="s">
        <v>771</v>
      </c>
      <c r="G1276" t="str" cm="1">
        <f t="array" ref="G1276" xml:space="preserve"> FindCountryName(F1276)</f>
        <v>Malaysia</v>
      </c>
      <c r="H1276" s="1">
        <v>45300.256307870368</v>
      </c>
      <c r="I1276" s="1">
        <v>45300.256307870368</v>
      </c>
      <c r="J1276" s="1">
        <v>43447.112905092596</v>
      </c>
      <c r="K1276" cm="1">
        <f t="array" ref="K1276" xml:space="preserve"> sentimentCalc(C1276)</f>
        <v>3</v>
      </c>
      <c r="L1276" t="str" cm="1">
        <f t="array" ref="L1276" xml:space="preserve"> sentimentCategory(K1276)</f>
        <v>Positive</v>
      </c>
    </row>
    <row r="1277" spans="1:12">
      <c r="A1277" t="s">
        <v>150</v>
      </c>
      <c r="B1277" t="s">
        <v>3195</v>
      </c>
      <c r="C1277" t="str" cm="1">
        <f t="array" ref="C1277" xml:space="preserve"> CleanText(B1277)</f>
        <v>whos gonna be toph _xDE02_</v>
      </c>
      <c r="D1277">
        <v>0</v>
      </c>
      <c r="E1277">
        <v>1</v>
      </c>
      <c r="F1277" t="s">
        <v>0</v>
      </c>
      <c r="G1277" t="str" cm="1">
        <f t="array" ref="G1277" xml:space="preserve"> FindCountryName(F1277)</f>
        <v>None</v>
      </c>
      <c r="H1277" s="1">
        <v>45300.234409722223</v>
      </c>
      <c r="I1277" s="1">
        <v>45300.234409722223</v>
      </c>
      <c r="J1277" s="1">
        <v>42006.090567129628</v>
      </c>
      <c r="K1277" cm="1">
        <f t="array" ref="K1277" xml:space="preserve"> sentimentCalc(C1277)</f>
        <v>0</v>
      </c>
      <c r="L1277" t="str" cm="1">
        <f t="array" ref="L1277" xml:space="preserve"> sentimentCategory(K1277)</f>
        <v>Neutral</v>
      </c>
    </row>
    <row r="1278" spans="1:12">
      <c r="A1278" t="s">
        <v>2700</v>
      </c>
      <c r="B1278" t="s">
        <v>3194</v>
      </c>
      <c r="C1278" t="str" cm="1">
        <f t="array" ref="C1278" xml:space="preserve"> CleanText(B1278)</f>
        <v>seriously</v>
      </c>
      <c r="D1278">
        <v>0</v>
      </c>
      <c r="E1278">
        <v>0</v>
      </c>
      <c r="F1278" t="s">
        <v>0</v>
      </c>
      <c r="G1278" t="str" cm="1">
        <f t="array" ref="G1278" xml:space="preserve"> FindCountryName(F1278)</f>
        <v>None</v>
      </c>
      <c r="H1278" s="1">
        <v>45300.211597222224</v>
      </c>
      <c r="I1278" s="1">
        <v>45300.211597222224</v>
      </c>
      <c r="J1278" s="1">
        <v>44785.504525462966</v>
      </c>
      <c r="K1278" cm="1">
        <f t="array" ref="K1278" xml:space="preserve"> sentimentCalc(C1278)</f>
        <v>0</v>
      </c>
      <c r="L1278" t="str" cm="1">
        <f t="array" ref="L1278" xml:space="preserve"> sentimentCategory(K1278)</f>
        <v>Neutral</v>
      </c>
    </row>
    <row r="1279" spans="1:12">
      <c r="A1279" t="s">
        <v>2700</v>
      </c>
      <c r="B1279" t="s">
        <v>3193</v>
      </c>
      <c r="C1279" t="str" cm="1">
        <f t="array" ref="C1279" xml:space="preserve"> CleanText(B1279)</f>
        <v>the actor is full of themselves</v>
      </c>
      <c r="D1279">
        <v>0</v>
      </c>
      <c r="E1279">
        <v>0</v>
      </c>
      <c r="F1279" t="s">
        <v>0</v>
      </c>
      <c r="G1279" t="str" cm="1">
        <f t="array" ref="G1279" xml:space="preserve"> FindCountryName(F1279)</f>
        <v>None</v>
      </c>
      <c r="H1279" s="1">
        <v>45300.2112037037</v>
      </c>
      <c r="I1279" s="1">
        <v>45300.2112037037</v>
      </c>
      <c r="J1279" s="1">
        <v>44785.504525462966</v>
      </c>
      <c r="K1279" cm="1">
        <f t="array" ref="K1279" xml:space="preserve"> sentimentCalc(C1279)</f>
        <v>0</v>
      </c>
      <c r="L1279" t="str" cm="1">
        <f t="array" ref="L1279" xml:space="preserve"> sentimentCategory(K1279)</f>
        <v>Neutral</v>
      </c>
    </row>
    <row r="1280" spans="1:12">
      <c r="A1280" t="s">
        <v>774</v>
      </c>
      <c r="B1280" t="s">
        <v>3192</v>
      </c>
      <c r="C1280" t="str" cm="1">
        <f t="array" ref="C1280" xml:space="preserve"> CleanText(B1280)</f>
        <v>love you</v>
      </c>
      <c r="D1280">
        <v>0</v>
      </c>
      <c r="E1280">
        <v>0</v>
      </c>
      <c r="F1280" t="s">
        <v>0</v>
      </c>
      <c r="G1280" t="str" cm="1">
        <f t="array" ref="G1280" xml:space="preserve"> FindCountryName(F1280)</f>
        <v>None</v>
      </c>
      <c r="H1280" s="1">
        <v>45300.195868055554</v>
      </c>
      <c r="I1280" s="1">
        <v>45300.195868055554</v>
      </c>
      <c r="J1280" s="1">
        <v>44894.371157407404</v>
      </c>
      <c r="K1280" cm="1">
        <f t="array" ref="K1280" xml:space="preserve"> sentimentCalc(C1280)</f>
        <v>3</v>
      </c>
      <c r="L1280" t="str" cm="1">
        <f t="array" ref="L1280" xml:space="preserve"> sentimentCategory(K1280)</f>
        <v>Positive</v>
      </c>
    </row>
    <row r="1281" spans="1:12">
      <c r="A1281" t="s">
        <v>76</v>
      </c>
      <c r="B1281" t="s">
        <v>3191</v>
      </c>
      <c r="C1281" t="str" cm="1">
        <f t="array" ref="C1281" xml:space="preserve"> CleanText(B1281)</f>
        <v>шь     х   ь     ь     ь    ш 4  n</v>
      </c>
      <c r="D1281">
        <v>0</v>
      </c>
      <c r="E1281">
        <v>0</v>
      </c>
      <c r="F1281" t="s">
        <v>0</v>
      </c>
      <c r="G1281" t="str" cm="1">
        <f t="array" ref="G1281" xml:space="preserve"> FindCountryName(F1281)</f>
        <v>None</v>
      </c>
      <c r="H1281" s="1">
        <v>45300.188680555555</v>
      </c>
      <c r="I1281" s="1">
        <v>45300.188680555555</v>
      </c>
      <c r="J1281" s="1">
        <v>43398.018877314818</v>
      </c>
      <c r="K1281" cm="1">
        <f t="array" ref="K1281" xml:space="preserve"> sentimentCalc(C1281)</f>
        <v>0</v>
      </c>
      <c r="L1281" t="str" cm="1">
        <f t="array" ref="L1281" xml:space="preserve"> sentimentCategory(K1281)</f>
        <v>Neutral</v>
      </c>
    </row>
    <row r="1282" spans="1:12">
      <c r="A1282" t="s">
        <v>3190</v>
      </c>
      <c r="B1282" t="s">
        <v>3189</v>
      </c>
      <c r="C1282" t="str" cm="1">
        <f t="array" ref="C1282" xml:space="preserve"> CleanText(B1282)</f>
        <v>hype</v>
      </c>
      <c r="D1282">
        <v>0</v>
      </c>
      <c r="E1282">
        <v>0</v>
      </c>
      <c r="F1282" t="s">
        <v>112</v>
      </c>
      <c r="G1282" t="str" cm="1">
        <f t="array" ref="G1282" xml:space="preserve"> FindCountryName(F1282)</f>
        <v>Canada</v>
      </c>
      <c r="H1282" s="1">
        <v>45300.157638888886</v>
      </c>
      <c r="I1282" s="1">
        <v>45300.157638888886</v>
      </c>
      <c r="J1282" s="1">
        <v>45156.126736111109</v>
      </c>
      <c r="K1282" cm="1">
        <f t="array" ref="K1282" xml:space="preserve"> sentimentCalc(C1282)</f>
        <v>0</v>
      </c>
      <c r="L1282" t="str" cm="1">
        <f t="array" ref="L1282" xml:space="preserve"> sentimentCategory(K1282)</f>
        <v>Neutral</v>
      </c>
    </row>
    <row r="1283" spans="1:12">
      <c r="A1283" t="s">
        <v>3188</v>
      </c>
      <c r="B1283" t="s">
        <v>2943</v>
      </c>
      <c r="C1283" t="str" cm="1">
        <f t="array" ref="C1283" xml:space="preserve"> CleanText(B1283)</f>
        <v>my name is ong</v>
      </c>
      <c r="D1283">
        <v>1</v>
      </c>
      <c r="E1283">
        <v>0</v>
      </c>
      <c r="F1283" t="s">
        <v>0</v>
      </c>
      <c r="G1283" t="str" cm="1">
        <f t="array" ref="G1283" xml:space="preserve"> FindCountryName(F1283)</f>
        <v>None</v>
      </c>
      <c r="H1283" s="1">
        <v>45300.125879629632</v>
      </c>
      <c r="I1283" s="1">
        <v>45300.125879629632</v>
      </c>
      <c r="J1283" s="1">
        <v>41852.195092592592</v>
      </c>
      <c r="K1283" cm="1">
        <f t="array" ref="K1283" xml:space="preserve"> sentimentCalc(C1283)</f>
        <v>0</v>
      </c>
      <c r="L1283" t="str" cm="1">
        <f t="array" ref="L1283" xml:space="preserve"> sentimentCategory(K1283)</f>
        <v>Neutral</v>
      </c>
    </row>
    <row r="1284" spans="1:12">
      <c r="A1284" t="s">
        <v>3187</v>
      </c>
      <c r="B1284" t="s">
        <v>3186</v>
      </c>
      <c r="C1284" t="str" cm="1">
        <f t="array" ref="C1284" xml:space="preserve"> CleanText(B1284)</f>
        <v>i can say already if this is even remotely good i will be crying in nostalgia rather than raging at the screen watching the movie lol</v>
      </c>
      <c r="D1284">
        <v>0</v>
      </c>
      <c r="E1284">
        <v>0</v>
      </c>
      <c r="F1284" t="s">
        <v>0</v>
      </c>
      <c r="G1284" t="str" cm="1">
        <f t="array" ref="G1284" xml:space="preserve"> FindCountryName(F1284)</f>
        <v>None</v>
      </c>
      <c r="H1284" s="1">
        <v>45300.124618055554</v>
      </c>
      <c r="I1284" s="1">
        <v>45300.124618055554</v>
      </c>
      <c r="J1284" s="1">
        <v>41451.068657407406</v>
      </c>
      <c r="K1284" cm="1">
        <f t="array" ref="K1284" xml:space="preserve"> sentimentCalc(C1284)</f>
        <v>1</v>
      </c>
      <c r="L1284" t="str" cm="1">
        <f t="array" ref="L1284" xml:space="preserve"> sentimentCategory(K1284)</f>
        <v>Positive</v>
      </c>
    </row>
    <row r="1285" spans="1:12">
      <c r="A1285" t="s">
        <v>150</v>
      </c>
      <c r="B1285" t="s">
        <v>3185</v>
      </c>
      <c r="C1285" t="str" cm="1">
        <f t="array" ref="C1285" xml:space="preserve"> CleanText(B1285)</f>
        <v>all characters look tooo soft</v>
      </c>
      <c r="D1285">
        <v>0</v>
      </c>
      <c r="E1285">
        <v>0</v>
      </c>
      <c r="F1285" t="s">
        <v>0</v>
      </c>
      <c r="G1285" t="str" cm="1">
        <f t="array" ref="G1285" xml:space="preserve"> FindCountryName(F1285)</f>
        <v>None</v>
      </c>
      <c r="H1285" s="1">
        <v>45300.113136574073</v>
      </c>
      <c r="I1285" s="1">
        <v>45300.113136574073</v>
      </c>
      <c r="J1285" s="1">
        <v>42785.731134259258</v>
      </c>
      <c r="K1285" cm="1">
        <f t="array" ref="K1285" xml:space="preserve"> sentimentCalc(C1285)</f>
        <v>0</v>
      </c>
      <c r="L1285" t="str" cm="1">
        <f t="array" ref="L1285" xml:space="preserve"> sentimentCategory(K1285)</f>
        <v>Neutral</v>
      </c>
    </row>
    <row r="1286" spans="1:12">
      <c r="A1286" t="s">
        <v>483</v>
      </c>
      <c r="B1286" t="s">
        <v>3184</v>
      </c>
      <c r="C1286" t="str" cm="1">
        <f t="array" ref="C1286" xml:space="preserve"> CleanText(B1286)</f>
        <v>n</v>
      </c>
      <c r="D1286">
        <v>0</v>
      </c>
      <c r="E1286">
        <v>0</v>
      </c>
      <c r="F1286" t="s">
        <v>0</v>
      </c>
      <c r="G1286" t="str" cm="1">
        <f t="array" ref="G1286" xml:space="preserve"> FindCountryName(F1286)</f>
        <v>None</v>
      </c>
      <c r="H1286" s="1">
        <v>45300.063472222224</v>
      </c>
      <c r="I1286" s="1">
        <v>45300.063472222224</v>
      </c>
      <c r="J1286" s="1">
        <v>42136.913090277776</v>
      </c>
      <c r="K1286" cm="1">
        <f t="array" ref="K1286" xml:space="preserve"> sentimentCalc(C1286)</f>
        <v>0</v>
      </c>
      <c r="L1286" t="str" cm="1">
        <f t="array" ref="L1286" xml:space="preserve"> sentimentCategory(K1286)</f>
        <v>Neutral</v>
      </c>
    </row>
    <row r="1287" spans="1:12">
      <c r="A1287" t="s">
        <v>2187</v>
      </c>
      <c r="B1287" t="s">
        <v>3183</v>
      </c>
      <c r="C1287" t="str" cm="1">
        <f t="array" ref="C1287" xml:space="preserve"> CleanText(B1287)</f>
        <v>i cant watch actors in front of a green screen not even for a second it sucks</v>
      </c>
      <c r="D1287">
        <v>1</v>
      </c>
      <c r="E1287">
        <v>0</v>
      </c>
      <c r="F1287" t="s">
        <v>19</v>
      </c>
      <c r="G1287" t="str" cm="1">
        <f t="array" ref="G1287" xml:space="preserve"> FindCountryName(F1287)</f>
        <v>United States of America (the)</v>
      </c>
      <c r="H1287" s="1">
        <v>45300.037835648145</v>
      </c>
      <c r="I1287" s="1">
        <v>45300.037835648145</v>
      </c>
      <c r="J1287" s="1">
        <v>42722.520833333336</v>
      </c>
      <c r="K1287" cm="1">
        <f t="array" ref="K1287" xml:space="preserve"> sentimentCalc(C1287)</f>
        <v>-3</v>
      </c>
      <c r="L1287" t="str" cm="1">
        <f t="array" ref="L1287" xml:space="preserve"> sentimentCategory(K1287)</f>
        <v>Negative</v>
      </c>
    </row>
    <row r="1288" spans="1:12">
      <c r="A1288" t="s">
        <v>1771</v>
      </c>
      <c r="B1288" t="s">
        <v>3182</v>
      </c>
      <c r="C1288" t="str" cm="1">
        <f t="array" ref="C1288" xml:space="preserve"> CleanText(B1288)</f>
        <v>great another shitty thing thats gonna suck hard</v>
      </c>
      <c r="D1288">
        <v>0</v>
      </c>
      <c r="E1288">
        <v>2</v>
      </c>
      <c r="F1288" t="s">
        <v>0</v>
      </c>
      <c r="G1288" t="str" cm="1">
        <f t="array" ref="G1288" xml:space="preserve"> FindCountryName(F1288)</f>
        <v>None</v>
      </c>
      <c r="H1288" s="1">
        <v>45300.004618055558</v>
      </c>
      <c r="I1288" s="1">
        <v>45300.004618055558</v>
      </c>
      <c r="J1288" s="1">
        <v>42003.697905092595</v>
      </c>
      <c r="K1288" cm="1">
        <f t="array" ref="K1288" xml:space="preserve"> sentimentCalc(C1288)</f>
        <v>-1</v>
      </c>
      <c r="L1288" t="str" cm="1">
        <f t="array" ref="L1288" xml:space="preserve"> sentimentCategory(K1288)</f>
        <v>Negative</v>
      </c>
    </row>
    <row r="1289" spans="1:12">
      <c r="A1289" t="s">
        <v>887</v>
      </c>
      <c r="B1289" t="s">
        <v>3181</v>
      </c>
      <c r="C1289" t="str" cm="1">
        <f t="array" ref="C1289" xml:space="preserve"> CleanText(B1289)</f>
        <v>if we get a big wave again i swear</v>
      </c>
      <c r="D1289">
        <v>0</v>
      </c>
      <c r="E1289">
        <v>0</v>
      </c>
      <c r="F1289" t="s">
        <v>0</v>
      </c>
      <c r="G1289" t="str" cm="1">
        <f t="array" ref="G1289" xml:space="preserve"> FindCountryName(F1289)</f>
        <v>None</v>
      </c>
      <c r="H1289" s="1">
        <v>45299.971759259257</v>
      </c>
      <c r="I1289" s="1">
        <v>45299.971759259257</v>
      </c>
      <c r="J1289" s="1">
        <v>41890.494398148148</v>
      </c>
      <c r="K1289" cm="1">
        <f t="array" ref="K1289" xml:space="preserve"> sentimentCalc(C1289)</f>
        <v>-1</v>
      </c>
      <c r="L1289" t="str" cm="1">
        <f t="array" ref="L1289" xml:space="preserve"> sentimentCategory(K1289)</f>
        <v>Negative</v>
      </c>
    </row>
    <row r="1290" spans="1:12">
      <c r="A1290" t="s">
        <v>1154</v>
      </c>
      <c r="B1290" t="s">
        <v>3180</v>
      </c>
      <c r="C1290" t="str" cm="1">
        <f t="array" ref="C1290" xml:space="preserve"> CleanText(B1290)</f>
        <v>white wash</v>
      </c>
      <c r="D1290">
        <v>0</v>
      </c>
      <c r="E1290">
        <v>1</v>
      </c>
      <c r="F1290" t="s">
        <v>0</v>
      </c>
      <c r="G1290" t="str" cm="1">
        <f t="array" ref="G1290" xml:space="preserve"> FindCountryName(F1290)</f>
        <v>None</v>
      </c>
      <c r="H1290" s="1">
        <v>45299.943124999998</v>
      </c>
      <c r="I1290" s="1">
        <v>45299.943124999998</v>
      </c>
      <c r="J1290" s="1">
        <v>43187.350775462961</v>
      </c>
      <c r="K1290" cm="1">
        <f t="array" ref="K1290" xml:space="preserve"> sentimentCalc(C1290)</f>
        <v>0</v>
      </c>
      <c r="L1290" t="str" cm="1">
        <f t="array" ref="L1290" xml:space="preserve"> sentimentCategory(K1290)</f>
        <v>Neutral</v>
      </c>
    </row>
    <row r="1291" spans="1:12">
      <c r="A1291" t="s">
        <v>575</v>
      </c>
      <c r="B1291" t="s">
        <v>3179</v>
      </c>
      <c r="C1291" t="str" cm="1">
        <f t="array" ref="C1291" xml:space="preserve"> CleanText(B1291)</f>
        <v>hope this will be better then the last avatar live action movie</v>
      </c>
      <c r="D1291">
        <v>0</v>
      </c>
      <c r="E1291">
        <v>0</v>
      </c>
      <c r="F1291" t="s">
        <v>0</v>
      </c>
      <c r="G1291" t="str" cm="1">
        <f t="array" ref="G1291" xml:space="preserve"> FindCountryName(F1291)</f>
        <v>None</v>
      </c>
      <c r="H1291" s="1">
        <v>45299.905798611115</v>
      </c>
      <c r="I1291" s="1">
        <v>45299.905798611115</v>
      </c>
      <c r="J1291" s="1">
        <v>44614.760879629626</v>
      </c>
      <c r="K1291" cm="1">
        <f t="array" ref="K1291" xml:space="preserve"> sentimentCalc(C1291)</f>
        <v>4</v>
      </c>
      <c r="L1291" t="str" cm="1">
        <f t="array" ref="L1291" xml:space="preserve"> sentimentCategory(K1291)</f>
        <v>Positive</v>
      </c>
    </row>
    <row r="1292" spans="1:12">
      <c r="A1292" t="s">
        <v>1949</v>
      </c>
      <c r="B1292" t="s">
        <v>3178</v>
      </c>
      <c r="C1292" t="str" cm="1">
        <f t="array" ref="C1292" xml:space="preserve"> CleanText(B1292)</f>
        <v>guys why is this so promising</v>
      </c>
      <c r="D1292">
        <v>2</v>
      </c>
      <c r="E1292">
        <v>0</v>
      </c>
      <c r="F1292" t="s">
        <v>0</v>
      </c>
      <c r="G1292" t="str" cm="1">
        <f t="array" ref="G1292" xml:space="preserve"> FindCountryName(F1292)</f>
        <v>None</v>
      </c>
      <c r="H1292" s="1">
        <v>45299.898217592592</v>
      </c>
      <c r="I1292" s="1">
        <v>45299.898217592592</v>
      </c>
      <c r="J1292" s="1">
        <v>44269.915717592594</v>
      </c>
      <c r="K1292" cm="1">
        <f t="array" ref="K1292" xml:space="preserve"> sentimentCalc(C1292)</f>
        <v>0</v>
      </c>
      <c r="L1292" t="str" cm="1">
        <f t="array" ref="L1292" xml:space="preserve"> sentimentCategory(K1292)</f>
        <v>Neutral</v>
      </c>
    </row>
    <row r="1293" spans="1:12">
      <c r="A1293" t="s">
        <v>1530</v>
      </c>
      <c r="B1293" t="s">
        <v>3177</v>
      </c>
      <c r="C1293" t="str" cm="1">
        <f t="array" ref="C1293" xml:space="preserve"> CleanText(B1293)</f>
        <v>oh no</v>
      </c>
      <c r="D1293">
        <v>0</v>
      </c>
      <c r="E1293">
        <v>2</v>
      </c>
      <c r="F1293" t="s">
        <v>0</v>
      </c>
      <c r="G1293" t="str" cm="1">
        <f t="array" ref="G1293" xml:space="preserve"> FindCountryName(F1293)</f>
        <v>None</v>
      </c>
      <c r="H1293" s="1">
        <v>45299.88826388889</v>
      </c>
      <c r="I1293" s="1">
        <v>45299.88826388889</v>
      </c>
      <c r="J1293" s="1">
        <v>42697.460949074077</v>
      </c>
      <c r="K1293" cm="1">
        <f t="array" ref="K1293" xml:space="preserve"> sentimentCalc(C1293)</f>
        <v>-1</v>
      </c>
      <c r="L1293" t="str" cm="1">
        <f t="array" ref="L1293" xml:space="preserve"> sentimentCategory(K1293)</f>
        <v>Negative</v>
      </c>
    </row>
    <row r="1294" spans="1:12">
      <c r="A1294" t="s">
        <v>3176</v>
      </c>
      <c r="B1294" t="s">
        <v>3175</v>
      </c>
      <c r="C1294" t="str" cm="1">
        <f t="array" ref="C1294" xml:space="preserve"> CleanText(B1294)</f>
        <v>im honestly almost crying it looks so amazing</v>
      </c>
      <c r="D1294">
        <v>5</v>
      </c>
      <c r="E1294">
        <v>0</v>
      </c>
      <c r="F1294" t="s">
        <v>0</v>
      </c>
      <c r="G1294" t="str" cm="1">
        <f t="array" ref="G1294" xml:space="preserve"> FindCountryName(F1294)</f>
        <v>None</v>
      </c>
      <c r="H1294" s="1">
        <v>45299.839305555557</v>
      </c>
      <c r="I1294" s="1">
        <v>45299.839305555557</v>
      </c>
      <c r="J1294" s="1">
        <v>45233.760520833333</v>
      </c>
      <c r="K1294" cm="1">
        <f t="array" ref="K1294" xml:space="preserve"> sentimentCalc(C1294)</f>
        <v>2</v>
      </c>
      <c r="L1294" t="str" cm="1">
        <f t="array" ref="L1294" xml:space="preserve"> sentimentCategory(K1294)</f>
        <v>Positive</v>
      </c>
    </row>
    <row r="1295" spans="1:12">
      <c r="A1295" t="s">
        <v>1325</v>
      </c>
      <c r="B1295" t="s">
        <v>3174</v>
      </c>
      <c r="C1295" t="str" cm="1">
        <f t="array" ref="C1295" xml:space="preserve"> CleanText(B1295)</f>
        <v>looks fantastic hope the cuteness and the jokes are still in</v>
      </c>
      <c r="D1295">
        <v>1</v>
      </c>
      <c r="E1295">
        <v>0</v>
      </c>
      <c r="F1295" t="s">
        <v>0</v>
      </c>
      <c r="G1295" t="str" cm="1">
        <f t="array" ref="G1295" xml:space="preserve"> FindCountryName(F1295)</f>
        <v>None</v>
      </c>
      <c r="H1295" s="1">
        <v>45299.802939814814</v>
      </c>
      <c r="I1295" s="1">
        <v>45299.802939814814</v>
      </c>
      <c r="J1295" s="1">
        <v>39700.466365740744</v>
      </c>
      <c r="K1295" cm="1">
        <f t="array" ref="K1295" xml:space="preserve"> sentimentCalc(C1295)</f>
        <v>8</v>
      </c>
      <c r="L1295" t="str" cm="1">
        <f t="array" ref="L1295" xml:space="preserve"> sentimentCategory(K1295)</f>
        <v>Positive</v>
      </c>
    </row>
    <row r="1296" spans="1:12">
      <c r="A1296" t="s">
        <v>2150</v>
      </c>
      <c r="B1296" t="s">
        <v>3173</v>
      </c>
      <c r="C1296" t="str" cm="1">
        <f t="array" ref="C1296" xml:space="preserve"> CleanText(B1296)</f>
        <v>i hope they pronounce his name right this time</v>
      </c>
      <c r="D1296">
        <v>0</v>
      </c>
      <c r="E1296">
        <v>1</v>
      </c>
      <c r="F1296" t="s">
        <v>3172</v>
      </c>
      <c r="G1296" t="str" cm="1">
        <f t="array" ref="G1296" xml:space="preserve"> FindCountryName(F1296)</f>
        <v>Jamaica</v>
      </c>
      <c r="H1296" s="1">
        <v>45299.79959490741</v>
      </c>
      <c r="I1296" s="1">
        <v>45299.79959490741</v>
      </c>
      <c r="J1296" s="1">
        <v>41770.746365740742</v>
      </c>
      <c r="K1296" cm="1">
        <f t="array" ref="K1296" xml:space="preserve"> sentimentCalc(C1296)</f>
        <v>2</v>
      </c>
      <c r="L1296" t="str" cm="1">
        <f t="array" ref="L1296" xml:space="preserve"> sentimentCategory(K1296)</f>
        <v>Positive</v>
      </c>
    </row>
    <row r="1297" spans="1:12">
      <c r="A1297" t="s">
        <v>774</v>
      </c>
      <c r="B1297" t="s">
        <v>3171</v>
      </c>
      <c r="C1297" t="str" cm="1">
        <f t="array" ref="C1297" xml:space="preserve"> CleanText(B1297)</f>
        <v>is it the same story</v>
      </c>
      <c r="D1297">
        <v>0</v>
      </c>
      <c r="E1297">
        <v>0</v>
      </c>
      <c r="F1297" t="s">
        <v>0</v>
      </c>
      <c r="G1297" t="str" cm="1">
        <f t="array" ref="G1297" xml:space="preserve"> FindCountryName(F1297)</f>
        <v>None</v>
      </c>
      <c r="H1297" s="1">
        <v>45299.791412037041</v>
      </c>
      <c r="I1297" s="1">
        <v>45299.791412037041</v>
      </c>
      <c r="J1297" s="1">
        <v>40584.383958333332</v>
      </c>
      <c r="K1297" cm="1">
        <f t="array" ref="K1297" xml:space="preserve"> sentimentCalc(C1297)</f>
        <v>0</v>
      </c>
      <c r="L1297" t="str" cm="1">
        <f t="array" ref="L1297" xml:space="preserve"> sentimentCategory(K1297)</f>
        <v>Neutral</v>
      </c>
    </row>
    <row r="1298" spans="1:12">
      <c r="A1298" t="s">
        <v>483</v>
      </c>
      <c r="B1298" t="s">
        <v>3170</v>
      </c>
      <c r="C1298" t="str" cm="1">
        <f t="array" ref="C1298" xml:space="preserve"> CleanText(B1298)</f>
        <v>ngl i liked the old actors better and aangs tattoos were better in the old film</v>
      </c>
      <c r="D1298">
        <v>1</v>
      </c>
      <c r="E1298">
        <v>0</v>
      </c>
      <c r="F1298" t="s">
        <v>0</v>
      </c>
      <c r="G1298" t="str" cm="1">
        <f t="array" ref="G1298" xml:space="preserve"> FindCountryName(F1298)</f>
        <v>None</v>
      </c>
      <c r="H1298" s="1">
        <v>45299.774780092594</v>
      </c>
      <c r="I1298" s="1">
        <v>45299.774780092594</v>
      </c>
      <c r="J1298" s="1">
        <v>45231.305543981478</v>
      </c>
      <c r="K1298" cm="1">
        <f t="array" ref="K1298" xml:space="preserve"> sentimentCalc(C1298)</f>
        <v>6</v>
      </c>
      <c r="L1298" t="str" cm="1">
        <f t="array" ref="L1298" xml:space="preserve"> sentimentCategory(K1298)</f>
        <v>Positive</v>
      </c>
    </row>
    <row r="1299" spans="1:12">
      <c r="A1299" t="s">
        <v>2528</v>
      </c>
      <c r="B1299" t="s">
        <v>3169</v>
      </c>
      <c r="C1299" t="str" cm="1">
        <f t="array" ref="C1299" xml:space="preserve"> CleanText(B1299)</f>
        <v>i hope this is as good as the live action</v>
      </c>
      <c r="D1299">
        <v>0</v>
      </c>
      <c r="E1299">
        <v>1</v>
      </c>
      <c r="F1299" t="s">
        <v>0</v>
      </c>
      <c r="G1299" t="str" cm="1">
        <f t="array" ref="G1299" xml:space="preserve"> FindCountryName(F1299)</f>
        <v>None</v>
      </c>
      <c r="H1299" s="1">
        <v>45299.772777777776</v>
      </c>
      <c r="I1299" s="1">
        <v>45299.772777777776</v>
      </c>
      <c r="J1299" s="1">
        <v>43115.706516203703</v>
      </c>
      <c r="K1299" cm="1">
        <f t="array" ref="K1299" xml:space="preserve"> sentimentCalc(C1299)</f>
        <v>5</v>
      </c>
      <c r="L1299" t="str" cm="1">
        <f t="array" ref="L1299" xml:space="preserve"> sentimentCategory(K1299)</f>
        <v>Positive</v>
      </c>
    </row>
    <row r="1300" spans="1:12">
      <c r="A1300" t="s">
        <v>3143</v>
      </c>
      <c r="B1300" t="s">
        <v>3168</v>
      </c>
      <c r="C1300" t="str" cm="1">
        <f t="array" ref="C1300" xml:space="preserve"> CleanText(B1300)</f>
        <v>thanks netflix for the actors cast</v>
      </c>
      <c r="D1300">
        <v>0</v>
      </c>
      <c r="E1300">
        <v>0</v>
      </c>
      <c r="F1300" t="s">
        <v>1742</v>
      </c>
      <c r="G1300" t="str" cm="1">
        <f t="array" ref="G1300" xml:space="preserve"> FindCountryName(F1300)</f>
        <v>Ukraine</v>
      </c>
      <c r="H1300" s="1">
        <v>45299.750937500001</v>
      </c>
      <c r="I1300" s="1">
        <v>45299.750937500001</v>
      </c>
      <c r="J1300" s="1">
        <v>43443.259201388886</v>
      </c>
      <c r="K1300" cm="1">
        <f t="array" ref="K1300" xml:space="preserve"> sentimentCalc(C1300)</f>
        <v>2</v>
      </c>
      <c r="L1300" t="str" cm="1">
        <f t="array" ref="L1300" xml:space="preserve"> sentimentCategory(K1300)</f>
        <v>Positive</v>
      </c>
    </row>
    <row r="1301" spans="1:12">
      <c r="A1301" t="s">
        <v>225</v>
      </c>
      <c r="B1301" t="s">
        <v>3167</v>
      </c>
      <c r="C1301" t="str" cm="1">
        <f t="array" ref="C1301" xml:space="preserve"> CleanText(B1301)</f>
        <v>i only hope they wont ruin it like last movie was ruined _xDD7A_</v>
      </c>
      <c r="D1301">
        <v>0</v>
      </c>
      <c r="E1301">
        <v>0</v>
      </c>
      <c r="F1301" t="s">
        <v>0</v>
      </c>
      <c r="G1301" t="str" cm="1">
        <f t="array" ref="G1301" xml:space="preserve"> FindCountryName(F1301)</f>
        <v>None</v>
      </c>
      <c r="H1301" s="1">
        <v>45299.741215277776</v>
      </c>
      <c r="I1301" s="1">
        <v>45299.741215277776</v>
      </c>
      <c r="J1301" s="1">
        <v>41551.587106481478</v>
      </c>
      <c r="K1301" cm="1">
        <f t="array" ref="K1301" xml:space="preserve"> sentimentCalc(C1301)</f>
        <v>0</v>
      </c>
      <c r="L1301" t="str" cm="1">
        <f t="array" ref="L1301" xml:space="preserve"> sentimentCategory(K1301)</f>
        <v>Neutral</v>
      </c>
    </row>
    <row r="1302" spans="1:12">
      <c r="A1302" t="s">
        <v>516</v>
      </c>
      <c r="B1302" t="s">
        <v>3166</v>
      </c>
      <c r="C1302" t="str" cm="1">
        <f t="array" ref="C1302" xml:space="preserve"> CleanText(B1302)</f>
        <v>why am i a grown man getting emotional about this when i dont get emotional about nothing wth</v>
      </c>
      <c r="D1302">
        <v>0</v>
      </c>
      <c r="E1302">
        <v>0</v>
      </c>
      <c r="F1302" t="s">
        <v>0</v>
      </c>
      <c r="G1302" t="str" cm="1">
        <f t="array" ref="G1302" xml:space="preserve"> FindCountryName(F1302)</f>
        <v>None</v>
      </c>
      <c r="H1302" s="1">
        <v>45299.714733796296</v>
      </c>
      <c r="I1302" s="1">
        <v>45299.714733796296</v>
      </c>
      <c r="J1302" s="1">
        <v>42353.741261574076</v>
      </c>
      <c r="K1302" cm="1">
        <f t="array" ref="K1302" xml:space="preserve"> sentimentCalc(C1302)</f>
        <v>0</v>
      </c>
      <c r="L1302" t="str" cm="1">
        <f t="array" ref="L1302" xml:space="preserve"> sentimentCategory(K1302)</f>
        <v>Neutral</v>
      </c>
    </row>
    <row r="1303" spans="1:12">
      <c r="A1303" t="s">
        <v>415</v>
      </c>
      <c r="B1303" t="s">
        <v>3165</v>
      </c>
      <c r="C1303" t="str" cm="1">
        <f t="array" ref="C1303" xml:space="preserve"> CleanText(B1303)</f>
        <v>looks impressive ive big hopes_xDE4F_</v>
      </c>
      <c r="D1303">
        <v>0</v>
      </c>
      <c r="E1303">
        <v>0</v>
      </c>
      <c r="F1303" t="s">
        <v>0</v>
      </c>
      <c r="G1303" t="str" cm="1">
        <f t="array" ref="G1303" xml:space="preserve"> FindCountryName(F1303)</f>
        <v>None</v>
      </c>
      <c r="H1303" s="1">
        <v>45299.693379629629</v>
      </c>
      <c r="I1303" s="1">
        <v>45299.693379629629</v>
      </c>
      <c r="J1303" s="1">
        <v>42593.289340277777</v>
      </c>
      <c r="K1303" cm="1">
        <f t="array" ref="K1303" xml:space="preserve"> sentimentCalc(C1303)</f>
        <v>4</v>
      </c>
      <c r="L1303" t="str" cm="1">
        <f t="array" ref="L1303" xml:space="preserve"> sentimentCategory(K1303)</f>
        <v>Positive</v>
      </c>
    </row>
    <row r="1304" spans="1:12">
      <c r="A1304" t="s">
        <v>3164</v>
      </c>
      <c r="B1304" t="s">
        <v>3163</v>
      </c>
      <c r="C1304" t="str" cm="1">
        <f t="array" ref="C1304" xml:space="preserve"> CleanText(B1304)</f>
        <v>hmm im guessing based on the trailer and nothing else that this is trying appeal to the now older fans of avatar when it first ran maybe delve into the lore more and make it more serious and brooding but given that its not showing any indication of having a light heated side which was necessary to make avatar as endearing as it has become i predict some backlash after the shows out</v>
      </c>
      <c r="D1304">
        <v>0</v>
      </c>
      <c r="E1304">
        <v>3</v>
      </c>
      <c r="F1304" t="s">
        <v>0</v>
      </c>
      <c r="G1304" t="str" cm="1">
        <f t="array" ref="G1304" xml:space="preserve"> FindCountryName(F1304)</f>
        <v>None</v>
      </c>
      <c r="H1304" s="1">
        <v>45299.684548611112</v>
      </c>
      <c r="I1304" s="1">
        <v>45299.684548611112</v>
      </c>
      <c r="J1304" s="1">
        <v>40855.197071759256</v>
      </c>
      <c r="K1304" cm="1">
        <f t="array" ref="K1304" xml:space="preserve"> sentimentCalc(C1304)</f>
        <v>-2</v>
      </c>
      <c r="L1304" t="str" cm="1">
        <f t="array" ref="L1304" xml:space="preserve"> sentimentCategory(K1304)</f>
        <v>Negative</v>
      </c>
    </row>
    <row r="1305" spans="1:12">
      <c r="A1305" t="s">
        <v>3162</v>
      </c>
      <c r="B1305" t="s">
        <v>3161</v>
      </c>
      <c r="C1305" t="str" cm="1">
        <f t="array" ref="C1305" xml:space="preserve"> CleanText(B1305)</f>
        <v>okay im convinced this looks promising hope they not ruin it</v>
      </c>
      <c r="D1305">
        <v>0</v>
      </c>
      <c r="E1305">
        <v>0</v>
      </c>
      <c r="F1305" t="s">
        <v>0</v>
      </c>
      <c r="G1305" t="str" cm="1">
        <f t="array" ref="G1305" xml:space="preserve"> FindCountryName(F1305)</f>
        <v>None</v>
      </c>
      <c r="H1305" s="1">
        <v>45299.683310185188</v>
      </c>
      <c r="I1305" s="1">
        <v>45299.683310185188</v>
      </c>
      <c r="J1305" s="1">
        <v>42736.286932870367</v>
      </c>
      <c r="K1305" cm="1">
        <f t="array" ref="K1305" xml:space="preserve"> sentimentCalc(C1305)</f>
        <v>1</v>
      </c>
      <c r="L1305" t="str" cm="1">
        <f t="array" ref="L1305" xml:space="preserve"> sentimentCategory(K1305)</f>
        <v>Positive</v>
      </c>
    </row>
    <row r="1306" spans="1:12">
      <c r="A1306" t="s">
        <v>3160</v>
      </c>
      <c r="B1306" t="s">
        <v>3159</v>
      </c>
      <c r="C1306" t="str" cm="1">
        <f t="array" ref="C1306" xml:space="preserve"> CleanText(B1306)</f>
        <v>please let this be good _xDD1E_</v>
      </c>
      <c r="D1306">
        <v>0</v>
      </c>
      <c r="E1306">
        <v>0</v>
      </c>
      <c r="F1306" t="s">
        <v>0</v>
      </c>
      <c r="G1306" t="str" cm="1">
        <f t="array" ref="G1306" xml:space="preserve"> FindCountryName(F1306)</f>
        <v>None</v>
      </c>
      <c r="H1306" s="1">
        <v>45299.681828703702</v>
      </c>
      <c r="I1306" s="1">
        <v>45299.681828703702</v>
      </c>
      <c r="J1306" s="1">
        <v>41218.739490740743</v>
      </c>
      <c r="K1306" cm="1">
        <f t="array" ref="K1306" xml:space="preserve"> sentimentCalc(C1306)</f>
        <v>4</v>
      </c>
      <c r="L1306" t="str" cm="1">
        <f t="array" ref="L1306" xml:space="preserve"> sentimentCategory(K1306)</f>
        <v>Positive</v>
      </c>
    </row>
    <row r="1307" spans="1:12">
      <c r="A1307" t="s">
        <v>1547</v>
      </c>
      <c r="B1307" t="s">
        <v>3158</v>
      </c>
      <c r="C1307" t="str" cm="1">
        <f t="array" ref="C1307" xml:space="preserve"> CleanText(B1307)</f>
        <v>i still have some vietnam flashbacks regarding shyamalans work</v>
      </c>
      <c r="D1307">
        <v>0</v>
      </c>
      <c r="E1307">
        <v>1</v>
      </c>
      <c r="F1307" t="s">
        <v>0</v>
      </c>
      <c r="G1307" t="str" cm="1">
        <f t="array" ref="G1307" xml:space="preserve"> FindCountryName(F1307)</f>
        <v>None</v>
      </c>
      <c r="H1307" s="1">
        <v>45299.573125000003</v>
      </c>
      <c r="I1307" s="1">
        <v>45299.573125000003</v>
      </c>
      <c r="J1307" s="1">
        <v>40925.645173611112</v>
      </c>
      <c r="K1307" cm="1">
        <f t="array" ref="K1307" xml:space="preserve"> sentimentCalc(C1307)</f>
        <v>0</v>
      </c>
      <c r="L1307" t="str" cm="1">
        <f t="array" ref="L1307" xml:space="preserve"> sentimentCategory(K1307)</f>
        <v>Neutral</v>
      </c>
    </row>
    <row r="1308" spans="1:12">
      <c r="A1308" t="s">
        <v>640</v>
      </c>
      <c r="B1308" t="s">
        <v>3157</v>
      </c>
      <c r="C1308" t="str" cm="1">
        <f t="array" ref="C1308" xml:space="preserve"> CleanText(B1308)</f>
        <v>why would i watch this when i can just watch the animated show</v>
      </c>
      <c r="D1308">
        <v>0</v>
      </c>
      <c r="E1308">
        <v>5</v>
      </c>
      <c r="F1308" t="s">
        <v>0</v>
      </c>
      <c r="G1308" t="str" cm="1">
        <f t="array" ref="G1308" xml:space="preserve"> FindCountryName(F1308)</f>
        <v>None</v>
      </c>
      <c r="H1308" s="1">
        <v>45299.548078703701</v>
      </c>
      <c r="I1308" s="1">
        <v>45299.548078703701</v>
      </c>
      <c r="J1308" s="1">
        <v>39448.942256944443</v>
      </c>
      <c r="K1308" cm="1">
        <f t="array" ref="K1308" xml:space="preserve"> sentimentCalc(C1308)</f>
        <v>0</v>
      </c>
      <c r="L1308" t="str" cm="1">
        <f t="array" ref="L1308" xml:space="preserve"> sentimentCategory(K1308)</f>
        <v>Neutral</v>
      </c>
    </row>
    <row r="1309" spans="1:12">
      <c r="A1309" t="s">
        <v>3156</v>
      </c>
      <c r="B1309" t="s">
        <v>3155</v>
      </c>
      <c r="C1309" t="str" cm="1">
        <f t="array" ref="C1309" xml:space="preserve"> CleanText(B1309)</f>
        <v>my name is ong</v>
      </c>
      <c r="D1309">
        <v>0</v>
      </c>
      <c r="E1309">
        <v>0</v>
      </c>
      <c r="F1309" t="s">
        <v>0</v>
      </c>
      <c r="G1309" t="str" cm="1">
        <f t="array" ref="G1309" xml:space="preserve"> FindCountryName(F1309)</f>
        <v>None</v>
      </c>
      <c r="H1309" s="1">
        <v>45299.545543981483</v>
      </c>
      <c r="I1309" s="1">
        <v>45299.545543981483</v>
      </c>
      <c r="J1309" s="1">
        <v>42042.327175925922</v>
      </c>
      <c r="K1309" cm="1">
        <f t="array" ref="K1309" xml:space="preserve"> sentimentCalc(C1309)</f>
        <v>0</v>
      </c>
      <c r="L1309" t="str" cm="1">
        <f t="array" ref="L1309" xml:space="preserve"> sentimentCategory(K1309)</f>
        <v>Neutral</v>
      </c>
    </row>
    <row r="1310" spans="1:12">
      <c r="A1310" t="s">
        <v>796</v>
      </c>
      <c r="B1310" t="s">
        <v>3154</v>
      </c>
      <c r="C1310" t="str" cm="1">
        <f t="array" ref="C1310" xml:space="preserve"> CleanText(B1310)</f>
        <v>in the cartoon they are more european in appearance</v>
      </c>
      <c r="D1310">
        <v>0</v>
      </c>
      <c r="E1310">
        <v>4</v>
      </c>
      <c r="F1310" t="s">
        <v>0</v>
      </c>
      <c r="G1310" t="str" cm="1">
        <f t="array" ref="G1310" xml:space="preserve"> FindCountryName(F1310)</f>
        <v>None</v>
      </c>
      <c r="H1310" s="1">
        <v>45299.517314814817</v>
      </c>
      <c r="I1310" s="1">
        <v>45299.517314814817</v>
      </c>
      <c r="J1310" s="1">
        <v>42993.242303240739</v>
      </c>
      <c r="K1310" cm="1">
        <f t="array" ref="K1310" xml:space="preserve"> sentimentCalc(C1310)</f>
        <v>0</v>
      </c>
      <c r="L1310" t="str" cm="1">
        <f t="array" ref="L1310" xml:space="preserve"> sentimentCategory(K1310)</f>
        <v>Neutral</v>
      </c>
    </row>
    <row r="1311" spans="1:12">
      <c r="A1311" t="s">
        <v>735</v>
      </c>
      <c r="B1311" t="s">
        <v>3153</v>
      </c>
      <c r="C1311" t="str" cm="1">
        <f t="array" ref="C1311" xml:space="preserve"> CleanText(B1311)</f>
        <v>already looks x better than that nightmare from before</v>
      </c>
      <c r="D1311">
        <v>0</v>
      </c>
      <c r="E1311">
        <v>0</v>
      </c>
      <c r="F1311" t="s">
        <v>19</v>
      </c>
      <c r="G1311" t="str" cm="1">
        <f t="array" ref="G1311" xml:space="preserve"> FindCountryName(F1311)</f>
        <v>United States of America (the)</v>
      </c>
      <c r="H1311" s="1">
        <v>45299.509351851855</v>
      </c>
      <c r="I1311" s="1">
        <v>45299.509351851855</v>
      </c>
      <c r="J1311" s="1">
        <v>40810.590925925928</v>
      </c>
      <c r="K1311" cm="1">
        <f t="array" ref="K1311" xml:space="preserve"> sentimentCalc(C1311)</f>
        <v>2</v>
      </c>
      <c r="L1311" t="str" cm="1">
        <f t="array" ref="L1311" xml:space="preserve"> sentimentCategory(K1311)</f>
        <v>Positive</v>
      </c>
    </row>
    <row r="1312" spans="1:12">
      <c r="A1312" t="s">
        <v>950</v>
      </c>
      <c r="B1312" t="s">
        <v>3152</v>
      </c>
      <c r="C1312" t="str" cm="1">
        <f t="array" ref="C1312" xml:space="preserve"> CleanText(B1312)</f>
        <v>i just hope it would be hot trash like the movie the series was so good</v>
      </c>
      <c r="D1312">
        <v>0</v>
      </c>
      <c r="E1312">
        <v>0</v>
      </c>
      <c r="F1312" t="s">
        <v>0</v>
      </c>
      <c r="G1312" t="str" cm="1">
        <f t="array" ref="G1312" xml:space="preserve"> FindCountryName(F1312)</f>
        <v>None</v>
      </c>
      <c r="H1312" s="1">
        <v>45299.484375</v>
      </c>
      <c r="I1312" s="1">
        <v>45299.484375</v>
      </c>
      <c r="J1312" s="1">
        <v>43438.859872685185</v>
      </c>
      <c r="K1312" cm="1">
        <f t="array" ref="K1312" xml:space="preserve"> sentimentCalc(C1312)</f>
        <v>7</v>
      </c>
      <c r="L1312" t="str" cm="1">
        <f t="array" ref="L1312" xml:space="preserve"> sentimentCategory(K1312)</f>
        <v>Positive</v>
      </c>
    </row>
    <row r="1313" spans="1:12">
      <c r="A1313" t="s">
        <v>26</v>
      </c>
      <c r="B1313" t="s">
        <v>3151</v>
      </c>
      <c r="C1313" t="str" cm="1">
        <f t="array" ref="C1313" xml:space="preserve"> CleanText(B1313)</f>
        <v>ive watched this trailer so many times im so excited</v>
      </c>
      <c r="D1313">
        <v>0</v>
      </c>
      <c r="E1313">
        <v>0</v>
      </c>
      <c r="F1313" t="s">
        <v>19</v>
      </c>
      <c r="G1313" t="str" cm="1">
        <f t="array" ref="G1313" xml:space="preserve"> FindCountryName(F1313)</f>
        <v>United States of America (the)</v>
      </c>
      <c r="H1313" s="1">
        <v>45299.479907407411</v>
      </c>
      <c r="I1313" s="1">
        <v>45299.479907407411</v>
      </c>
      <c r="J1313" s="1">
        <v>41409.924861111111</v>
      </c>
      <c r="K1313" cm="1">
        <f t="array" ref="K1313" xml:space="preserve"> sentimentCalc(C1313)</f>
        <v>3</v>
      </c>
      <c r="L1313" t="str" cm="1">
        <f t="array" ref="L1313" xml:space="preserve"> sentimentCategory(K1313)</f>
        <v>Positive</v>
      </c>
    </row>
    <row r="1314" spans="1:12">
      <c r="A1314" t="s">
        <v>1525</v>
      </c>
      <c r="B1314" t="s">
        <v>3150</v>
      </c>
      <c r="C1314" t="str" cm="1">
        <f t="array" ref="C1314" xml:space="preserve"> CleanText(B1314)</f>
        <v>this is legit impressive they even look like the character irl in terms of bodybuild and faces</v>
      </c>
      <c r="D1314">
        <v>0</v>
      </c>
      <c r="E1314">
        <v>0</v>
      </c>
      <c r="F1314" t="s">
        <v>0</v>
      </c>
      <c r="G1314" t="str" cm="1">
        <f t="array" ref="G1314" xml:space="preserve"> FindCountryName(F1314)</f>
        <v>None</v>
      </c>
      <c r="H1314" s="1">
        <v>45299.475092592591</v>
      </c>
      <c r="I1314" s="1">
        <v>45299.475092592591</v>
      </c>
      <c r="J1314" s="1">
        <v>41418.162372685183</v>
      </c>
      <c r="K1314" cm="1">
        <f t="array" ref="K1314" xml:space="preserve"> sentimentCalc(C1314)</f>
        <v>5</v>
      </c>
      <c r="L1314" t="str" cm="1">
        <f t="array" ref="L1314" xml:space="preserve"> sentimentCategory(K1314)</f>
        <v>Positive</v>
      </c>
    </row>
    <row r="1315" spans="1:12">
      <c r="A1315" t="s">
        <v>58</v>
      </c>
      <c r="B1315" t="s">
        <v>3149</v>
      </c>
      <c r="C1315" t="str" cm="1">
        <f t="array" ref="C1315" xml:space="preserve"> CleanText(B1315)</f>
        <v>looks nostalgic though i watched animated only  years ago</v>
      </c>
      <c r="D1315">
        <v>0</v>
      </c>
      <c r="E1315">
        <v>0</v>
      </c>
      <c r="F1315" t="s">
        <v>0</v>
      </c>
      <c r="G1315" t="str" cm="1">
        <f t="array" ref="G1315" xml:space="preserve"> FindCountryName(F1315)</f>
        <v>None</v>
      </c>
      <c r="H1315" s="1">
        <v>45299.47011574074</v>
      </c>
      <c r="I1315" s="1">
        <v>45299.47011574074</v>
      </c>
      <c r="J1315" s="1">
        <v>40511.364062499997</v>
      </c>
      <c r="K1315" cm="1">
        <f t="array" ref="K1315" xml:space="preserve"> sentimentCalc(C1315)</f>
        <v>0</v>
      </c>
      <c r="L1315" t="str" cm="1">
        <f t="array" ref="L1315" xml:space="preserve"> sentimentCategory(K1315)</f>
        <v>Neutral</v>
      </c>
    </row>
    <row r="1316" spans="1:12">
      <c r="A1316" t="s">
        <v>320</v>
      </c>
      <c r="B1316" t="s">
        <v>3148</v>
      </c>
      <c r="C1316" t="str" cm="1">
        <f t="array" ref="C1316" xml:space="preserve"> CleanText(B1316)</f>
        <v>hope they dont ruin it with poor script and wokism lol</v>
      </c>
      <c r="D1316">
        <v>2</v>
      </c>
      <c r="E1316">
        <v>3</v>
      </c>
      <c r="F1316" t="s">
        <v>0</v>
      </c>
      <c r="G1316" t="str" cm="1">
        <f t="array" ref="G1316" xml:space="preserve"> FindCountryName(F1316)</f>
        <v>None</v>
      </c>
      <c r="H1316" s="1">
        <v>45299.38857638889</v>
      </c>
      <c r="I1316" s="1">
        <v>45299.38857638889</v>
      </c>
      <c r="J1316" s="1">
        <v>39117.65525462963</v>
      </c>
      <c r="K1316" cm="1">
        <f t="array" ref="K1316" xml:space="preserve"> sentimentCalc(C1316)</f>
        <v>-2</v>
      </c>
      <c r="L1316" t="str" cm="1">
        <f t="array" ref="L1316" xml:space="preserve"> sentimentCategory(K1316)</f>
        <v>Negative</v>
      </c>
    </row>
    <row r="1317" spans="1:12">
      <c r="A1317" t="s">
        <v>340</v>
      </c>
      <c r="B1317" t="s">
        <v>3147</v>
      </c>
      <c r="C1317" t="str" cm="1">
        <f t="array" ref="C1317" xml:space="preserve"> CleanText(B1317)</f>
        <v>super duper epic</v>
      </c>
      <c r="D1317">
        <v>0</v>
      </c>
      <c r="E1317">
        <v>0</v>
      </c>
      <c r="F1317" t="s">
        <v>0</v>
      </c>
      <c r="G1317" t="str" cm="1">
        <f t="array" ref="G1317" xml:space="preserve"> FindCountryName(F1317)</f>
        <v>None</v>
      </c>
      <c r="H1317" s="1">
        <v>45299.345046296294</v>
      </c>
      <c r="I1317" s="1">
        <v>45299.345046296294</v>
      </c>
      <c r="J1317" s="1">
        <v>42209.348449074074</v>
      </c>
      <c r="K1317" cm="1">
        <f t="array" ref="K1317" xml:space="preserve"> sentimentCalc(C1317)</f>
        <v>3</v>
      </c>
      <c r="L1317" t="str" cm="1">
        <f t="array" ref="L1317" xml:space="preserve"> sentimentCategory(K1317)</f>
        <v>Positive</v>
      </c>
    </row>
    <row r="1318" spans="1:12">
      <c r="A1318" t="s">
        <v>3146</v>
      </c>
      <c r="B1318" t="s">
        <v>3145</v>
      </c>
      <c r="C1318" t="str" cm="1">
        <f t="array" ref="C1318" xml:space="preserve"> CleanText(B1318)</f>
        <v>where tf is togh be fong</v>
      </c>
      <c r="D1318">
        <v>0</v>
      </c>
      <c r="E1318">
        <v>1</v>
      </c>
      <c r="F1318" t="s">
        <v>0</v>
      </c>
      <c r="G1318" t="str" cm="1">
        <f t="array" ref="G1318" xml:space="preserve"> FindCountryName(F1318)</f>
        <v>None</v>
      </c>
      <c r="H1318" s="1">
        <v>45299.239490740743</v>
      </c>
      <c r="I1318" s="1">
        <v>45299.239490740743</v>
      </c>
      <c r="J1318" s="1">
        <v>43091.439826388887</v>
      </c>
      <c r="K1318" cm="1">
        <f t="array" ref="K1318" xml:space="preserve"> sentimentCalc(C1318)</f>
        <v>0</v>
      </c>
      <c r="L1318" t="str" cm="1">
        <f t="array" ref="L1318" xml:space="preserve"> sentimentCategory(K1318)</f>
        <v>Neutral</v>
      </c>
    </row>
    <row r="1319" spans="1:12">
      <c r="A1319" t="s">
        <v>150</v>
      </c>
      <c r="B1319" t="s">
        <v>3144</v>
      </c>
      <c r="C1319" t="str" cm="1">
        <f t="array" ref="C1319" xml:space="preserve"> CleanText(B1319)</f>
        <v>where is toph  _xD83D_</v>
      </c>
      <c r="D1319">
        <v>0</v>
      </c>
      <c r="E1319">
        <v>3</v>
      </c>
      <c r="F1319" t="s">
        <v>0</v>
      </c>
      <c r="G1319" t="str" cm="1">
        <f t="array" ref="G1319" xml:space="preserve"> FindCountryName(F1319)</f>
        <v>None</v>
      </c>
      <c r="H1319" s="1">
        <v>45299.189456018517</v>
      </c>
      <c r="I1319" s="1">
        <v>45299.189456018517</v>
      </c>
      <c r="J1319" s="1">
        <v>44802.310196759259</v>
      </c>
      <c r="K1319" cm="1">
        <f t="array" ref="K1319" xml:space="preserve"> sentimentCalc(C1319)</f>
        <v>0</v>
      </c>
      <c r="L1319" t="str" cm="1">
        <f t="array" ref="L1319" xml:space="preserve"> sentimentCategory(K1319)</f>
        <v>Neutral</v>
      </c>
    </row>
    <row r="1320" spans="1:12">
      <c r="A1320" t="s">
        <v>3143</v>
      </c>
      <c r="B1320" t="s">
        <v>3142</v>
      </c>
      <c r="C1320" t="str" cm="1">
        <f t="array" ref="C1320" xml:space="preserve"> CleanText(B1320)</f>
        <v>wow the main character is not black</v>
      </c>
      <c r="D1320">
        <v>1</v>
      </c>
      <c r="E1320">
        <v>1</v>
      </c>
      <c r="F1320" t="s">
        <v>944</v>
      </c>
      <c r="G1320" t="str" cm="1">
        <f t="array" ref="G1320" xml:space="preserve"> FindCountryName(F1320)</f>
        <v>Russian Federation (the)</v>
      </c>
      <c r="H1320" s="1">
        <v>45299.12127314815</v>
      </c>
      <c r="I1320" s="1">
        <v>45299.12195601852</v>
      </c>
      <c r="J1320" s="1">
        <v>43695.548622685186</v>
      </c>
      <c r="K1320" cm="1">
        <f t="array" ref="K1320" xml:space="preserve"> sentimentCalc(C1320)</f>
        <v>4</v>
      </c>
      <c r="L1320" t="str" cm="1">
        <f t="array" ref="L1320" xml:space="preserve"> sentimentCategory(K1320)</f>
        <v>Positive</v>
      </c>
    </row>
    <row r="1321" spans="1:12">
      <c r="A1321" t="s">
        <v>1150</v>
      </c>
      <c r="B1321" t="s">
        <v>3141</v>
      </c>
      <c r="C1321" t="str" cm="1">
        <f t="array" ref="C1321" xml:space="preserve"> CleanText(B1321)</f>
        <v>please dont screw this up netflix  you did great with arcane and one piece now im hoping for a rd achievement</v>
      </c>
      <c r="D1321">
        <v>1</v>
      </c>
      <c r="E1321">
        <v>0</v>
      </c>
      <c r="F1321" t="s">
        <v>0</v>
      </c>
      <c r="G1321" t="str" cm="1">
        <f t="array" ref="G1321" xml:space="preserve"> FindCountryName(F1321)</f>
        <v>None</v>
      </c>
      <c r="H1321" s="1">
        <v>45299.101458333331</v>
      </c>
      <c r="I1321" s="1">
        <v>45299.101458333331</v>
      </c>
      <c r="J1321" s="1">
        <v>41502.738576388889</v>
      </c>
      <c r="K1321" cm="1">
        <f t="array" ref="K1321" xml:space="preserve"> sentimentCalc(C1321)</f>
        <v>6</v>
      </c>
      <c r="L1321" t="str" cm="1">
        <f t="array" ref="L1321" xml:space="preserve"> sentimentCategory(K1321)</f>
        <v>Positive</v>
      </c>
    </row>
    <row r="1322" spans="1:12">
      <c r="A1322" t="s">
        <v>367</v>
      </c>
      <c r="B1322" t="s">
        <v>3140</v>
      </c>
      <c r="C1322" t="str" cm="1">
        <f t="array" ref="C1322" xml:space="preserve"> CleanText(B1322)</f>
        <v>cautious optimism</v>
      </c>
      <c r="D1322">
        <v>1</v>
      </c>
      <c r="E1322">
        <v>0</v>
      </c>
      <c r="F1322" t="s">
        <v>19</v>
      </c>
      <c r="G1322" t="str" cm="1">
        <f t="array" ref="G1322" xml:space="preserve"> FindCountryName(F1322)</f>
        <v>United States of America (the)</v>
      </c>
      <c r="H1322" s="1">
        <v>45299.084652777776</v>
      </c>
      <c r="I1322" s="1">
        <v>45299.084652777776</v>
      </c>
      <c r="J1322" s="1">
        <v>42112.446423611109</v>
      </c>
      <c r="K1322" cm="1">
        <f t="array" ref="K1322" xml:space="preserve"> sentimentCalc(C1322)</f>
        <v>1</v>
      </c>
      <c r="L1322" t="str" cm="1">
        <f t="array" ref="L1322" xml:space="preserve"> sentimentCategory(K1322)</f>
        <v>Positive</v>
      </c>
    </row>
    <row r="1323" spans="1:12">
      <c r="A1323" t="s">
        <v>263</v>
      </c>
      <c r="B1323" t="s">
        <v>3139</v>
      </c>
      <c r="C1323" t="str" cm="1">
        <f t="array" ref="C1323" xml:space="preserve"> CleanText(B1323)</f>
        <v>i swear to god if they add some political bs</v>
      </c>
      <c r="D1323">
        <v>1</v>
      </c>
      <c r="E1323">
        <v>2</v>
      </c>
      <c r="F1323" t="s">
        <v>0</v>
      </c>
      <c r="G1323" t="str" cm="1">
        <f t="array" ref="G1323" xml:space="preserve"> FindCountryName(F1323)</f>
        <v>None</v>
      </c>
      <c r="H1323" s="1">
        <v>45299.042939814812</v>
      </c>
      <c r="I1323" s="1">
        <v>45299.042939814812</v>
      </c>
      <c r="J1323" s="1">
        <v>41621.321076388886</v>
      </c>
      <c r="K1323" cm="1">
        <f t="array" ref="K1323" xml:space="preserve"> sentimentCalc(C1323)</f>
        <v>-1</v>
      </c>
      <c r="L1323" t="str" cm="1">
        <f t="array" ref="L1323" xml:space="preserve"> sentimentCategory(K1323)</f>
        <v>Negative</v>
      </c>
    </row>
    <row r="1324" spans="1:12">
      <c r="A1324" t="s">
        <v>306</v>
      </c>
      <c r="B1324" t="s">
        <v>3138</v>
      </c>
      <c r="C1324" t="str" cm="1">
        <f t="array" ref="C1324" xml:space="preserve"> CleanText(B1324)</f>
        <v>plis the key of last air bender is sokka i hope they make him funny not like dead char</v>
      </c>
      <c r="D1324">
        <v>0</v>
      </c>
      <c r="E1324">
        <v>0</v>
      </c>
      <c r="F1324" t="s">
        <v>0</v>
      </c>
      <c r="G1324" t="str" cm="1">
        <f t="array" ref="G1324" xml:space="preserve"> FindCountryName(F1324)</f>
        <v>None</v>
      </c>
      <c r="H1324" s="1">
        <v>45299.017430555556</v>
      </c>
      <c r="I1324" s="1">
        <v>45299.017430555556</v>
      </c>
      <c r="J1324" s="1">
        <v>45215.115590277775</v>
      </c>
      <c r="K1324" cm="1">
        <f t="array" ref="K1324" xml:space="preserve"> sentimentCalc(C1324)</f>
        <v>5</v>
      </c>
      <c r="L1324" t="str" cm="1">
        <f t="array" ref="L1324" xml:space="preserve"> sentimentCategory(K1324)</f>
        <v>Positive</v>
      </c>
    </row>
    <row r="1325" spans="1:12">
      <c r="A1325" t="s">
        <v>697</v>
      </c>
      <c r="B1325" t="s">
        <v>3137</v>
      </c>
      <c r="C1325" t="str" cm="1">
        <f t="array" ref="C1325" xml:space="preserve"> CleanText(B1325)</f>
        <v>are you guys gonna ruin this with more evil political activism</v>
      </c>
      <c r="D1325">
        <v>2</v>
      </c>
      <c r="E1325">
        <v>1</v>
      </c>
      <c r="F1325" t="s">
        <v>0</v>
      </c>
      <c r="G1325" t="str" cm="1">
        <f t="array" ref="G1325" xml:space="preserve"> FindCountryName(F1325)</f>
        <v>None</v>
      </c>
      <c r="H1325" s="1">
        <v>45298.990057870367</v>
      </c>
      <c r="I1325" s="1">
        <v>45298.990057870367</v>
      </c>
      <c r="J1325" s="1">
        <v>42845.724062499998</v>
      </c>
      <c r="K1325" cm="1">
        <f t="array" ref="K1325" xml:space="preserve"> sentimentCalc(C1325)</f>
        <v>-5</v>
      </c>
      <c r="L1325" t="str" cm="1">
        <f t="array" ref="L1325" xml:space="preserve"> sentimentCategory(K1325)</f>
        <v>Negative</v>
      </c>
    </row>
    <row r="1326" spans="1:12">
      <c r="A1326" t="s">
        <v>697</v>
      </c>
      <c r="B1326" t="s">
        <v>3136</v>
      </c>
      <c r="C1326" t="str" cm="1">
        <f t="array" ref="C1326" xml:space="preserve"> CleanText(B1326)</f>
        <v>please make him fly past the screen faster that looks silly hes like on a zipline</v>
      </c>
      <c r="D1326">
        <v>4</v>
      </c>
      <c r="E1326">
        <v>0</v>
      </c>
      <c r="F1326" t="s">
        <v>0</v>
      </c>
      <c r="G1326" t="str" cm="1">
        <f t="array" ref="G1326" xml:space="preserve"> FindCountryName(F1326)</f>
        <v>None</v>
      </c>
      <c r="H1326" s="1">
        <v>45298.989050925928</v>
      </c>
      <c r="I1326" s="1">
        <v>45298.989050925928</v>
      </c>
      <c r="J1326" s="1">
        <v>42845.724062499998</v>
      </c>
      <c r="K1326" cm="1">
        <f t="array" ref="K1326" xml:space="preserve"> sentimentCalc(C1326)</f>
        <v>2</v>
      </c>
      <c r="L1326" t="str" cm="1">
        <f t="array" ref="L1326" xml:space="preserve"> sentimentCategory(K1326)</f>
        <v>Positive</v>
      </c>
    </row>
    <row r="1327" spans="1:12">
      <c r="A1327" t="s">
        <v>30</v>
      </c>
      <c r="B1327" t="s">
        <v>3135</v>
      </c>
      <c r="C1327" t="str" cm="1">
        <f t="array" ref="C1327" xml:space="preserve"> CleanText(B1327)</f>
        <v>this def looks promising</v>
      </c>
      <c r="D1327">
        <v>0</v>
      </c>
      <c r="E1327">
        <v>0</v>
      </c>
      <c r="F1327" t="s">
        <v>0</v>
      </c>
      <c r="G1327" t="str" cm="1">
        <f t="array" ref="G1327" xml:space="preserve"> FindCountryName(F1327)</f>
        <v>None</v>
      </c>
      <c r="H1327" s="1">
        <v>45298.976331018515</v>
      </c>
      <c r="I1327" s="1">
        <v>45298.976331018515</v>
      </c>
      <c r="J1327" s="1">
        <v>44612.797685185185</v>
      </c>
      <c r="K1327" cm="1">
        <f t="array" ref="K1327" xml:space="preserve"> sentimentCalc(C1327)</f>
        <v>0</v>
      </c>
      <c r="L1327" t="str" cm="1">
        <f t="array" ref="L1327" xml:space="preserve"> sentimentCategory(K1327)</f>
        <v>Neutral</v>
      </c>
    </row>
    <row r="1328" spans="1:12">
      <c r="A1328" t="s">
        <v>16</v>
      </c>
      <c r="B1328" t="s">
        <v>3134</v>
      </c>
      <c r="C1328" t="str" cm="1">
        <f t="array" ref="C1328" xml:space="preserve"> CleanText(B1328)</f>
        <v>even if this sucks its already better than the previous movie judging by this trailer alone and iam sure they will pronounce the names correctly this time which was the worst thing about the movie xd</v>
      </c>
      <c r="D1328">
        <v>0</v>
      </c>
      <c r="E1328">
        <v>0</v>
      </c>
      <c r="F1328" t="s">
        <v>0</v>
      </c>
      <c r="G1328" t="str" cm="1">
        <f t="array" ref="G1328" xml:space="preserve"> FindCountryName(F1328)</f>
        <v>None</v>
      </c>
      <c r="H1328" s="1">
        <v>45298.912627314814</v>
      </c>
      <c r="I1328" s="1">
        <v>45298.912627314814</v>
      </c>
      <c r="J1328" s="1">
        <v>41236.738761574074</v>
      </c>
      <c r="K1328" cm="1">
        <f t="array" ref="K1328" xml:space="preserve"> sentimentCalc(C1328)</f>
        <v>-6</v>
      </c>
      <c r="L1328" t="str" cm="1">
        <f t="array" ref="L1328" xml:space="preserve"> sentimentCategory(K1328)</f>
        <v>Negative</v>
      </c>
    </row>
    <row r="1329" spans="1:12">
      <c r="A1329" t="s">
        <v>591</v>
      </c>
      <c r="B1329" t="s">
        <v>3133</v>
      </c>
      <c r="C1329" t="str" cm="1">
        <f t="array" ref="C1329" xml:space="preserve"> CleanText(B1329)</f>
        <v>i hope his name is aang this time instead of ong</v>
      </c>
      <c r="D1329">
        <v>0</v>
      </c>
      <c r="E1329">
        <v>0</v>
      </c>
      <c r="F1329" t="s">
        <v>0</v>
      </c>
      <c r="G1329" t="str" cm="1">
        <f t="array" ref="G1329" xml:space="preserve"> FindCountryName(F1329)</f>
        <v>None</v>
      </c>
      <c r="H1329" s="1">
        <v>45298.86917824074</v>
      </c>
      <c r="I1329" s="1">
        <v>45298.86917824074</v>
      </c>
      <c r="J1329" s="1">
        <v>41486.090162037035</v>
      </c>
      <c r="K1329" cm="1">
        <f t="array" ref="K1329" xml:space="preserve"> sentimentCalc(C1329)</f>
        <v>2</v>
      </c>
      <c r="L1329" t="str" cm="1">
        <f t="array" ref="L1329" xml:space="preserve"> sentimentCategory(K1329)</f>
        <v>Positive</v>
      </c>
    </row>
    <row r="1330" spans="1:12">
      <c r="A1330" t="s">
        <v>3132</v>
      </c>
      <c r="B1330" t="s">
        <v>3131</v>
      </c>
      <c r="C1330" t="str" cm="1">
        <f t="array" ref="C1330" xml:space="preserve"> CleanText(B1330)</f>
        <v>it will never capture the same magic of the original show that was just lightning in a bottle but i still hope they were able to honor the original heart and soul of the source material</v>
      </c>
      <c r="D1330">
        <v>0</v>
      </c>
      <c r="E1330">
        <v>1</v>
      </c>
      <c r="F1330" t="s">
        <v>0</v>
      </c>
      <c r="G1330" t="str" cm="1">
        <f t="array" ref="G1330" xml:space="preserve"> FindCountryName(F1330)</f>
        <v>None</v>
      </c>
      <c r="H1330" s="1">
        <v>45298.869143518517</v>
      </c>
      <c r="I1330" s="1">
        <v>45298.869143518517</v>
      </c>
      <c r="J1330" s="1">
        <v>41479.362430555557</v>
      </c>
      <c r="K1330" cm="1">
        <f t="array" ref="K1330" xml:space="preserve"> sentimentCalc(C1330)</f>
        <v>4</v>
      </c>
      <c r="L1330" t="str" cm="1">
        <f t="array" ref="L1330" xml:space="preserve"> sentimentCategory(K1330)</f>
        <v>Positive</v>
      </c>
    </row>
    <row r="1331" spans="1:12">
      <c r="A1331" t="s">
        <v>169</v>
      </c>
      <c r="B1331" t="s">
        <v>3130</v>
      </c>
      <c r="C1331" t="str" cm="1">
        <f t="array" ref="C1331" xml:space="preserve"> CleanText(B1331)</f>
        <v>sadly i can already tell this shits gunna flop</v>
      </c>
      <c r="D1331">
        <v>2</v>
      </c>
      <c r="E1331">
        <v>1</v>
      </c>
      <c r="F1331" t="s">
        <v>0</v>
      </c>
      <c r="G1331" t="str" cm="1">
        <f t="array" ref="G1331" xml:space="preserve"> FindCountryName(F1331)</f>
        <v>None</v>
      </c>
      <c r="H1331" s="1">
        <v>45298.758668981478</v>
      </c>
      <c r="I1331" s="1">
        <v>45298.758668981478</v>
      </c>
      <c r="J1331" s="1">
        <v>44313.966319444444</v>
      </c>
      <c r="K1331" cm="1">
        <f t="array" ref="K1331" xml:space="preserve"> sentimentCalc(C1331)</f>
        <v>-4</v>
      </c>
      <c r="L1331" t="str" cm="1">
        <f t="array" ref="L1331" xml:space="preserve"> sentimentCategory(K1331)</f>
        <v>Negative</v>
      </c>
    </row>
    <row r="1332" spans="1:12">
      <c r="A1332" t="s">
        <v>796</v>
      </c>
      <c r="B1332" t="s">
        <v>3129</v>
      </c>
      <c r="C1332" t="str" cm="1">
        <f t="array" ref="C1332" xml:space="preserve"> CleanText(B1332)</f>
        <v>atla doesnt need a live action adaptation it will never be better that the original this is just for idiots who refuse to watch anything animated because they think its for children</v>
      </c>
      <c r="D1332">
        <v>0</v>
      </c>
      <c r="E1332">
        <v>0</v>
      </c>
      <c r="F1332" t="s">
        <v>0</v>
      </c>
      <c r="G1332" t="str" cm="1">
        <f t="array" ref="G1332" xml:space="preserve"> FindCountryName(F1332)</f>
        <v>None</v>
      </c>
      <c r="H1332" s="1">
        <v>45298.754050925927</v>
      </c>
      <c r="I1332" s="1">
        <v>45298.754050925927</v>
      </c>
      <c r="J1332" s="1">
        <v>42273.67695601852</v>
      </c>
      <c r="K1332" cm="1">
        <f t="array" ref="K1332" xml:space="preserve"> sentimentCalc(C1332)</f>
        <v>0</v>
      </c>
      <c r="L1332" t="str" cm="1">
        <f t="array" ref="L1332" xml:space="preserve"> sentimentCategory(K1332)</f>
        <v>Neutral</v>
      </c>
    </row>
    <row r="1333" spans="1:12">
      <c r="A1333" t="s">
        <v>508</v>
      </c>
      <c r="B1333" t="s">
        <v>3128</v>
      </c>
      <c r="C1333" t="str" cm="1">
        <f t="array" ref="C1333" xml:space="preserve"> CleanText(B1333)</f>
        <v>this is looking good crossing my fingers because its time this series was adapted right</v>
      </c>
      <c r="D1333">
        <v>1</v>
      </c>
      <c r="E1333">
        <v>0</v>
      </c>
      <c r="F1333" t="s">
        <v>0</v>
      </c>
      <c r="G1333" t="str" cm="1">
        <f t="array" ref="G1333" xml:space="preserve"> FindCountryName(F1333)</f>
        <v>None</v>
      </c>
      <c r="H1333" s="1">
        <v>45298.731215277781</v>
      </c>
      <c r="I1333" s="1">
        <v>45298.731215277781</v>
      </c>
      <c r="J1333" s="1">
        <v>40970.72792824074</v>
      </c>
      <c r="K1333" cm="1">
        <f t="array" ref="K1333" xml:space="preserve"> sentimentCalc(C1333)</f>
        <v>3</v>
      </c>
      <c r="L1333" t="str" cm="1">
        <f t="array" ref="L1333" xml:space="preserve"> sentimentCategory(K1333)</f>
        <v>Positive</v>
      </c>
    </row>
    <row r="1334" spans="1:12">
      <c r="A1334" t="s">
        <v>1000</v>
      </c>
      <c r="B1334" t="s">
        <v>3127</v>
      </c>
      <c r="C1334" t="str" cm="1">
        <f t="array" ref="C1334" xml:space="preserve"> CleanText(B1334)</f>
        <v>wished there was better casting like katara and sokka were not that light</v>
      </c>
      <c r="D1334">
        <v>1</v>
      </c>
      <c r="E1334">
        <v>1</v>
      </c>
      <c r="F1334" t="s">
        <v>0</v>
      </c>
      <c r="G1334" t="str" cm="1">
        <f t="array" ref="G1334" xml:space="preserve"> FindCountryName(F1334)</f>
        <v>None</v>
      </c>
      <c r="H1334" s="1">
        <v>45298.707824074074</v>
      </c>
      <c r="I1334" s="1">
        <v>45298.707824074074</v>
      </c>
      <c r="J1334" s="1">
        <v>42306.855543981481</v>
      </c>
      <c r="K1334" cm="1">
        <f t="array" ref="K1334" xml:space="preserve"> sentimentCalc(C1334)</f>
        <v>4</v>
      </c>
      <c r="L1334" t="str" cm="1">
        <f t="array" ref="L1334" xml:space="preserve"> sentimentCategory(K1334)</f>
        <v>Positive</v>
      </c>
    </row>
    <row r="1335" spans="1:12">
      <c r="A1335" t="s">
        <v>1525</v>
      </c>
      <c r="B1335" t="s">
        <v>3126</v>
      </c>
      <c r="C1335" t="str" cm="1">
        <f t="array" ref="C1335" xml:space="preserve"> CleanText(B1335)</f>
        <v>nobody asked for this make season  of one piece instead</v>
      </c>
      <c r="D1335">
        <v>0</v>
      </c>
      <c r="E1335">
        <v>0</v>
      </c>
      <c r="F1335" t="s">
        <v>0</v>
      </c>
      <c r="G1335" t="str" cm="1">
        <f t="array" ref="G1335" xml:space="preserve"> FindCountryName(F1335)</f>
        <v>None</v>
      </c>
      <c r="H1335" s="1">
        <v>45298.635763888888</v>
      </c>
      <c r="I1335" s="1">
        <v>45298.636203703703</v>
      </c>
      <c r="J1335" s="1">
        <v>43990.552395833336</v>
      </c>
      <c r="K1335" cm="1">
        <f t="array" ref="K1335" xml:space="preserve"> sentimentCalc(C1335)</f>
        <v>0</v>
      </c>
      <c r="L1335" t="str" cm="1">
        <f t="array" ref="L1335" xml:space="preserve"> sentimentCategory(K1335)</f>
        <v>Neutral</v>
      </c>
    </row>
    <row r="1336" spans="1:12">
      <c r="A1336" t="s">
        <v>2659</v>
      </c>
      <c r="B1336" t="s">
        <v>3125</v>
      </c>
      <c r="C1336" t="str" cm="1">
        <f t="array" ref="C1336" xml:space="preserve"> CleanText(B1336)</f>
        <v>naw they did them dirty the original look way beter</v>
      </c>
      <c r="D1336">
        <v>1</v>
      </c>
      <c r="E1336">
        <v>0</v>
      </c>
      <c r="F1336" t="s">
        <v>0</v>
      </c>
      <c r="G1336" t="str" cm="1">
        <f t="array" ref="G1336" xml:space="preserve"> FindCountryName(F1336)</f>
        <v>None</v>
      </c>
      <c r="H1336" s="1">
        <v>45298.603090277778</v>
      </c>
      <c r="I1336" s="1">
        <v>45298.603090277778</v>
      </c>
      <c r="J1336" s="1">
        <v>45298.602476851855</v>
      </c>
      <c r="K1336" cm="1">
        <f t="array" ref="K1336" xml:space="preserve"> sentimentCalc(C1336)</f>
        <v>-2</v>
      </c>
      <c r="L1336" t="str" cm="1">
        <f t="array" ref="L1336" xml:space="preserve"> sentimentCategory(K1336)</f>
        <v>Negative</v>
      </c>
    </row>
    <row r="1337" spans="1:12">
      <c r="A1337" t="s">
        <v>562</v>
      </c>
      <c r="B1337" t="s">
        <v>3124</v>
      </c>
      <c r="C1337" t="str" cm="1">
        <f t="array" ref="C1337" xml:space="preserve"> CleanText(B1337)</f>
        <v>this better not be a flop</v>
      </c>
      <c r="D1337">
        <v>0</v>
      </c>
      <c r="E1337">
        <v>0</v>
      </c>
      <c r="F1337" t="s">
        <v>39</v>
      </c>
      <c r="G1337" t="str" cm="1">
        <f t="array" ref="G1337" xml:space="preserve"> FindCountryName(F1337)</f>
        <v>United Kingdom of Great Britain and Northern Ireland (the)</v>
      </c>
      <c r="H1337" s="1">
        <v>45298.576215277775</v>
      </c>
      <c r="I1337" s="1">
        <v>45298.576215277775</v>
      </c>
      <c r="J1337" s="1">
        <v>44381.299456018518</v>
      </c>
      <c r="K1337" cm="1">
        <f t="array" ref="K1337" xml:space="preserve"> sentimentCalc(C1337)</f>
        <v>0</v>
      </c>
      <c r="L1337" t="str" cm="1">
        <f t="array" ref="L1337" xml:space="preserve"> sentimentCategory(K1337)</f>
        <v>Neutral</v>
      </c>
    </row>
    <row r="1338" spans="1:12">
      <c r="A1338" t="s">
        <v>1084</v>
      </c>
      <c r="B1338" t="s">
        <v>3123</v>
      </c>
      <c r="C1338" t="str" cm="1">
        <f t="array" ref="C1338" xml:space="preserve"> CleanText(B1338)</f>
        <v>0 is gonna be the year of the dragon guys what a moment for the new avatar show to come out</v>
      </c>
      <c r="D1338">
        <v>0</v>
      </c>
      <c r="E1338">
        <v>0</v>
      </c>
      <c r="F1338" t="s">
        <v>0</v>
      </c>
      <c r="G1338" t="str" cm="1">
        <f t="array" ref="G1338" xml:space="preserve"> FindCountryName(F1338)</f>
        <v>None</v>
      </c>
      <c r="H1338" s="1">
        <v>45298.57408564815</v>
      </c>
      <c r="I1338" s="1">
        <v>45298.57408564815</v>
      </c>
      <c r="J1338" s="1">
        <v>41333.51939814815</v>
      </c>
      <c r="K1338" cm="1">
        <f t="array" ref="K1338" xml:space="preserve"> sentimentCalc(C1338)</f>
        <v>0</v>
      </c>
      <c r="L1338" t="str" cm="1">
        <f t="array" ref="L1338" xml:space="preserve"> sentimentCategory(K1338)</f>
        <v>Neutral</v>
      </c>
    </row>
    <row r="1339" spans="1:12">
      <c r="A1339" t="s">
        <v>3122</v>
      </c>
      <c r="B1339" t="s">
        <v>3121</v>
      </c>
      <c r="C1339" t="str" cm="1">
        <f t="array" ref="C1339" xml:space="preserve"> CleanText(B1339)</f>
        <v>what nobody gets why avatar is so great and unfortunatly this trailer does not show but maybe its diffrent in the series its the emotion of the original series  its allways excitement the characters play in  in this trailer they are too serious to tough no joy no lauging</v>
      </c>
      <c r="D1339">
        <v>0</v>
      </c>
      <c r="E1339">
        <v>0</v>
      </c>
      <c r="F1339" t="s">
        <v>0</v>
      </c>
      <c r="G1339" t="str" cm="1">
        <f t="array" ref="G1339" xml:space="preserve"> FindCountryName(F1339)</f>
        <v>None</v>
      </c>
      <c r="H1339" s="1">
        <v>45298.571979166663</v>
      </c>
      <c r="I1339" s="1">
        <v>45298.571979166663</v>
      </c>
      <c r="J1339" s="1">
        <v>45025.11681712963</v>
      </c>
      <c r="K1339" cm="1">
        <f t="array" ref="K1339" xml:space="preserve"> sentimentCalc(C1339)</f>
        <v>7</v>
      </c>
      <c r="L1339" t="str" cm="1">
        <f t="array" ref="L1339" xml:space="preserve"> sentimentCategory(K1339)</f>
        <v>Positive</v>
      </c>
    </row>
    <row r="1340" spans="1:12">
      <c r="A1340" t="s">
        <v>180</v>
      </c>
      <c r="B1340" t="s">
        <v>3120</v>
      </c>
      <c r="C1340" t="str" cm="1">
        <f t="array" ref="C1340" xml:space="preserve"> CleanText(B1340)</f>
        <v>dont witcher this you hapless gonks</v>
      </c>
      <c r="D1340">
        <v>0</v>
      </c>
      <c r="E1340">
        <v>0</v>
      </c>
      <c r="F1340" t="s">
        <v>0</v>
      </c>
      <c r="G1340" t="str" cm="1">
        <f t="array" ref="G1340" xml:space="preserve"> FindCountryName(F1340)</f>
        <v>None</v>
      </c>
      <c r="H1340" s="1">
        <v>45298.543877314813</v>
      </c>
      <c r="I1340" s="1">
        <v>45298.543877314813</v>
      </c>
      <c r="J1340" s="1">
        <v>40841.662499999999</v>
      </c>
      <c r="K1340" cm="1">
        <f t="array" ref="K1340" xml:space="preserve"> sentimentCalc(C1340)</f>
        <v>-2</v>
      </c>
      <c r="L1340" t="str" cm="1">
        <f t="array" ref="L1340" xml:space="preserve"> sentimentCategory(K1340)</f>
        <v>Negative</v>
      </c>
    </row>
    <row r="1341" spans="1:12">
      <c r="A1341" t="s">
        <v>1046</v>
      </c>
      <c r="B1341" t="s">
        <v>3119</v>
      </c>
      <c r="C1341" t="str" cm="1">
        <f t="array" ref="C1341" xml:space="preserve"> CleanText(B1341)</f>
        <v>wtf let the aang alone stop doing shit adaptations</v>
      </c>
      <c r="D1341">
        <v>0</v>
      </c>
      <c r="E1341">
        <v>0</v>
      </c>
      <c r="F1341" t="s">
        <v>0</v>
      </c>
      <c r="G1341" t="str" cm="1">
        <f t="array" ref="G1341" xml:space="preserve"> FindCountryName(F1341)</f>
        <v>None</v>
      </c>
      <c r="H1341" s="1">
        <v>45298.534317129626</v>
      </c>
      <c r="I1341" s="1">
        <v>45298.534317129626</v>
      </c>
      <c r="J1341" s="1">
        <v>39976.334907407407</v>
      </c>
      <c r="K1341" cm="1">
        <f t="array" ref="K1341" xml:space="preserve"> sentimentCalc(C1341)</f>
        <v>-3</v>
      </c>
      <c r="L1341" t="str" cm="1">
        <f t="array" ref="L1341" xml:space="preserve"> sentimentCategory(K1341)</f>
        <v>Negative</v>
      </c>
    </row>
    <row r="1342" spans="1:12">
      <c r="A1342" t="s">
        <v>3118</v>
      </c>
      <c r="B1342" t="s">
        <v>3117</v>
      </c>
      <c r="C1342" t="str" cm="1">
        <f t="array" ref="C1342" xml:space="preserve"> CleanText(B1342)</f>
        <v>another trailer this month</v>
      </c>
      <c r="D1342">
        <v>1</v>
      </c>
      <c r="E1342">
        <v>0</v>
      </c>
      <c r="F1342" t="s">
        <v>0</v>
      </c>
      <c r="G1342" t="str" cm="1">
        <f t="array" ref="G1342" xml:space="preserve"> FindCountryName(F1342)</f>
        <v>None</v>
      </c>
      <c r="H1342" s="1">
        <v>45298.531122685185</v>
      </c>
      <c r="I1342" s="1">
        <v>45298.531122685185</v>
      </c>
      <c r="J1342" s="1">
        <v>42388.856805555559</v>
      </c>
      <c r="K1342" cm="1">
        <f t="array" ref="K1342" xml:space="preserve"> sentimentCalc(C1342)</f>
        <v>0</v>
      </c>
      <c r="L1342" t="str" cm="1">
        <f t="array" ref="L1342" xml:space="preserve"> sentimentCategory(K1342)</f>
        <v>Neutral</v>
      </c>
    </row>
    <row r="1343" spans="1:12">
      <c r="A1343" t="s">
        <v>1209</v>
      </c>
      <c r="B1343" t="s">
        <v>3116</v>
      </c>
      <c r="C1343" t="str" cm="1">
        <f t="array" ref="C1343" xml:space="preserve"> CleanText(B1343)</f>
        <v>why is the actor who played the avatar not the african? this is racismps _xDE01_</v>
      </c>
      <c r="D1343">
        <v>1</v>
      </c>
      <c r="E1343">
        <v>0</v>
      </c>
      <c r="F1343" t="s">
        <v>944</v>
      </c>
      <c r="G1343" t="str" cm="1">
        <f t="array" ref="G1343" xml:space="preserve"> FindCountryName(F1343)</f>
        <v>Russian Federation (the)</v>
      </c>
      <c r="H1343" s="1">
        <v>45298.513680555552</v>
      </c>
      <c r="I1343" s="1">
        <v>45298.513680555552</v>
      </c>
      <c r="J1343" s="1">
        <v>41022.574189814812</v>
      </c>
      <c r="K1343" cm="1">
        <f t="array" ref="K1343" xml:space="preserve"> sentimentCalc(C1343)</f>
        <v>0</v>
      </c>
      <c r="L1343" t="str" cm="1">
        <f t="array" ref="L1343" xml:space="preserve"> sentimentCategory(K1343)</f>
        <v>Neutral</v>
      </c>
    </row>
    <row r="1344" spans="1:12">
      <c r="A1344" t="s">
        <v>3115</v>
      </c>
      <c r="B1344" t="s">
        <v>3114</v>
      </c>
      <c r="C1344" t="str" cm="1">
        <f t="array" ref="C1344" xml:space="preserve"> CleanText(B1344)</f>
        <v>i think a lot of fans just need to ask themselves why they would even want a live action version of avatar its just the same story but with way more limitations</v>
      </c>
      <c r="D1344">
        <v>0</v>
      </c>
      <c r="E1344">
        <v>0</v>
      </c>
      <c r="F1344" t="s">
        <v>0</v>
      </c>
      <c r="G1344" t="str" cm="1">
        <f t="array" ref="G1344" xml:space="preserve"> FindCountryName(F1344)</f>
        <v>None</v>
      </c>
      <c r="H1344" s="1">
        <v>45298.478298611109</v>
      </c>
      <c r="I1344" s="1">
        <v>45298.478298611109</v>
      </c>
      <c r="J1344" s="1">
        <v>42334.845937500002</v>
      </c>
      <c r="K1344" cm="1">
        <f t="array" ref="K1344" xml:space="preserve"> sentimentCalc(C1344)</f>
        <v>1</v>
      </c>
      <c r="L1344" t="str" cm="1">
        <f t="array" ref="L1344" xml:space="preserve"> sentimentCategory(K1344)</f>
        <v>Positive</v>
      </c>
    </row>
    <row r="1345" spans="1:12">
      <c r="A1345" t="s">
        <v>317</v>
      </c>
      <c r="B1345" t="s">
        <v>3113</v>
      </c>
      <c r="C1345" t="str" cm="1">
        <f t="array" ref="C1345" xml:space="preserve"> CleanText(B1345)</f>
        <v>appa and momo look strange but the elemental effects and the settings look amazing excited to see if this will be good</v>
      </c>
      <c r="D1345">
        <v>0</v>
      </c>
      <c r="E1345">
        <v>0</v>
      </c>
      <c r="F1345" t="s">
        <v>19</v>
      </c>
      <c r="G1345" t="str" cm="1">
        <f t="array" ref="G1345" xml:space="preserve"> FindCountryName(F1345)</f>
        <v>United States of America (the)</v>
      </c>
      <c r="H1345" s="1">
        <v>45298.415752314817</v>
      </c>
      <c r="I1345" s="1">
        <v>45298.415752314817</v>
      </c>
      <c r="J1345" s="1">
        <v>41828.80195601852</v>
      </c>
      <c r="K1345" cm="1">
        <f t="array" ref="K1345" xml:space="preserve"> sentimentCalc(C1345)</f>
        <v>9</v>
      </c>
      <c r="L1345" t="str" cm="1">
        <f t="array" ref="L1345" xml:space="preserve"> sentimentCategory(K1345)</f>
        <v>Positive</v>
      </c>
    </row>
    <row r="1346" spans="1:12">
      <c r="A1346" t="s">
        <v>38</v>
      </c>
      <c r="B1346" t="s">
        <v>3112</v>
      </c>
      <c r="C1346" t="str" cm="1">
        <f t="array" ref="C1346" xml:space="preserve"> CleanText(B1346)</f>
        <v>looks way better than expected</v>
      </c>
      <c r="D1346">
        <v>1</v>
      </c>
      <c r="E1346">
        <v>0</v>
      </c>
      <c r="F1346" t="s">
        <v>0</v>
      </c>
      <c r="G1346" t="str" cm="1">
        <f t="array" ref="G1346" xml:space="preserve"> FindCountryName(F1346)</f>
        <v>None</v>
      </c>
      <c r="H1346" s="1">
        <v>45298.388333333336</v>
      </c>
      <c r="I1346" s="1">
        <v>45298.388333333336</v>
      </c>
      <c r="J1346" s="1">
        <v>42066.598923611113</v>
      </c>
      <c r="K1346" cm="1">
        <f t="array" ref="K1346" xml:space="preserve"> sentimentCalc(C1346)</f>
        <v>2</v>
      </c>
      <c r="L1346" t="str" cm="1">
        <f t="array" ref="L1346" xml:space="preserve"> sentimentCategory(K1346)</f>
        <v>Positive</v>
      </c>
    </row>
    <row r="1347" spans="1:12">
      <c r="A1347" t="s">
        <v>3111</v>
      </c>
      <c r="B1347" t="s">
        <v>3110</v>
      </c>
      <c r="C1347" t="str" cm="1">
        <f t="array" ref="C1347" xml:space="preserve"> CleanText(B1347)</f>
        <v>bayapt olacak</v>
      </c>
      <c r="D1347">
        <v>0</v>
      </c>
      <c r="E1347">
        <v>0</v>
      </c>
      <c r="F1347" t="s">
        <v>0</v>
      </c>
      <c r="G1347" t="str" cm="1">
        <f t="array" ref="G1347" xml:space="preserve"> FindCountryName(F1347)</f>
        <v>None</v>
      </c>
      <c r="H1347" s="1">
        <v>45298.33326388889</v>
      </c>
      <c r="I1347" s="1">
        <v>45298.33326388889</v>
      </c>
      <c r="J1347" s="1">
        <v>41790.494409722225</v>
      </c>
      <c r="K1347" cm="1">
        <f t="array" ref="K1347" xml:space="preserve"> sentimentCalc(C1347)</f>
        <v>0</v>
      </c>
      <c r="L1347" t="str" cm="1">
        <f t="array" ref="L1347" xml:space="preserve"> sentimentCategory(K1347)</f>
        <v>Neutral</v>
      </c>
    </row>
    <row r="1348" spans="1:12">
      <c r="A1348" t="s">
        <v>1547</v>
      </c>
      <c r="B1348" t="s">
        <v>3109</v>
      </c>
      <c r="C1348" t="str" cm="1">
        <f t="array" ref="C1348" xml:space="preserve"> CleanText(B1348)</f>
        <v>absen</v>
      </c>
      <c r="D1348">
        <v>0</v>
      </c>
      <c r="E1348">
        <v>0</v>
      </c>
      <c r="F1348" t="s">
        <v>633</v>
      </c>
      <c r="G1348" t="str" cm="1">
        <f t="array" ref="G1348" xml:space="preserve"> FindCountryName(F1348)</f>
        <v>Indonesia</v>
      </c>
      <c r="H1348" s="1">
        <v>45298.314675925925</v>
      </c>
      <c r="I1348" s="1">
        <v>45298.314675925925</v>
      </c>
      <c r="J1348" s="1">
        <v>42725.679710648146</v>
      </c>
      <c r="K1348" cm="1">
        <f t="array" ref="K1348" xml:space="preserve"> sentimentCalc(C1348)</f>
        <v>0</v>
      </c>
      <c r="L1348" t="str" cm="1">
        <f t="array" ref="L1348" xml:space="preserve"> sentimentCategory(K1348)</f>
        <v>Neutral</v>
      </c>
    </row>
    <row r="1349" spans="1:12">
      <c r="A1349" t="s">
        <v>51</v>
      </c>
      <c r="B1349" t="s">
        <v>3108</v>
      </c>
      <c r="C1349" t="str" cm="1">
        <f t="array" ref="C1349" xml:space="preserve"> CleanText(B1349)</f>
        <v>are you the avatar aang”</v>
      </c>
      <c r="D1349">
        <v>0</v>
      </c>
      <c r="E1349">
        <v>0</v>
      </c>
      <c r="F1349" t="s">
        <v>0</v>
      </c>
      <c r="G1349" t="str" cm="1">
        <f t="array" ref="G1349" xml:space="preserve"> FindCountryName(F1349)</f>
        <v>None</v>
      </c>
      <c r="H1349" s="1">
        <v>45298.307222222225</v>
      </c>
      <c r="I1349" s="1">
        <v>45298.307222222225</v>
      </c>
      <c r="J1349" s="1">
        <v>41541.686516203707</v>
      </c>
      <c r="K1349" cm="1">
        <f t="array" ref="K1349" xml:space="preserve"> sentimentCalc(C1349)</f>
        <v>0</v>
      </c>
      <c r="L1349" t="str" cm="1">
        <f t="array" ref="L1349" xml:space="preserve"> sentimentCategory(K1349)</f>
        <v>Neutral</v>
      </c>
    </row>
    <row r="1350" spans="1:12">
      <c r="A1350" t="s">
        <v>1389</v>
      </c>
      <c r="B1350" t="s">
        <v>3031</v>
      </c>
      <c r="C1350" t="str" cm="1">
        <f t="array" ref="C1350" xml:space="preserve"> CleanText(B1350)</f>
        <v>i really curious about live action zuko will say to his uncle on the ship i dont need any calming tea i need to capture the avatar</v>
      </c>
      <c r="D1350">
        <v>1</v>
      </c>
      <c r="E1350">
        <v>0</v>
      </c>
      <c r="F1350" t="s">
        <v>0</v>
      </c>
      <c r="G1350" t="str" cm="1">
        <f t="array" ref="G1350" xml:space="preserve"> FindCountryName(F1350)</f>
        <v>None</v>
      </c>
      <c r="H1350" s="1">
        <v>45298.303796296299</v>
      </c>
      <c r="I1350" s="1">
        <v>45298.303796296299</v>
      </c>
      <c r="J1350" s="1">
        <v>44923.187719907408</v>
      </c>
      <c r="K1350" cm="1">
        <f t="array" ref="K1350" xml:space="preserve"> sentimentCalc(C1350)</f>
        <v>3</v>
      </c>
      <c r="L1350" t="str" cm="1">
        <f t="array" ref="L1350" xml:space="preserve"> sentimentCategory(K1350)</f>
        <v>Positive</v>
      </c>
    </row>
    <row r="1351" spans="1:12">
      <c r="A1351" t="s">
        <v>3107</v>
      </c>
      <c r="B1351" t="s">
        <v>3106</v>
      </c>
      <c r="C1351" t="str" cm="1">
        <f t="array" ref="C1351" xml:space="preserve"> CleanText(B1351)</f>
        <v>no hate but why does it look like some students project bruh</v>
      </c>
      <c r="D1351">
        <v>0</v>
      </c>
      <c r="E1351">
        <v>2</v>
      </c>
      <c r="F1351" t="s">
        <v>3105</v>
      </c>
      <c r="G1351" t="str" cm="1">
        <f t="array" ref="G1351" xml:space="preserve"> FindCountryName(F1351)</f>
        <v>Czechia</v>
      </c>
      <c r="H1351" s="1">
        <v>45298.248298611114</v>
      </c>
      <c r="I1351" s="1">
        <v>45298.248298611114</v>
      </c>
      <c r="J1351" s="1">
        <v>42243.274710648147</v>
      </c>
      <c r="K1351" cm="1">
        <f t="array" ref="K1351" xml:space="preserve"> sentimentCalc(C1351)</f>
        <v>-2</v>
      </c>
      <c r="L1351" t="str" cm="1">
        <f t="array" ref="L1351" xml:space="preserve"> sentimentCategory(K1351)</f>
        <v>Negative</v>
      </c>
    </row>
    <row r="1352" spans="1:12">
      <c r="A1352" t="s">
        <v>830</v>
      </c>
      <c r="B1352" t="s">
        <v>3104</v>
      </c>
      <c r="C1352" t="str" cm="1">
        <f t="array" ref="C1352" xml:space="preserve"> CleanText(B1352)</f>
        <v>my only problem is why did they show ozais face he was so mysterious in the show why wouldnt they replicate it</v>
      </c>
      <c r="D1352">
        <v>0</v>
      </c>
      <c r="E1352">
        <v>2</v>
      </c>
      <c r="F1352" t="s">
        <v>0</v>
      </c>
      <c r="G1352" t="str" cm="1">
        <f t="array" ref="G1352" xml:space="preserve"> FindCountryName(F1352)</f>
        <v>None</v>
      </c>
      <c r="H1352" s="1">
        <v>45298.226863425924</v>
      </c>
      <c r="I1352" s="1">
        <v>45298.226863425924</v>
      </c>
      <c r="J1352" s="1">
        <v>41246.733888888892</v>
      </c>
      <c r="K1352" cm="1">
        <f t="array" ref="K1352" xml:space="preserve"> sentimentCalc(C1352)</f>
        <v>-2</v>
      </c>
      <c r="L1352" t="str" cm="1">
        <f t="array" ref="L1352" xml:space="preserve"> sentimentCategory(K1352)</f>
        <v>Negative</v>
      </c>
    </row>
    <row r="1353" spans="1:12">
      <c r="A1353" t="s">
        <v>547</v>
      </c>
      <c r="B1353" t="s">
        <v>3103</v>
      </c>
      <c r="C1353" t="str" cm="1">
        <f t="array" ref="C1353" xml:space="preserve"> CleanText(B1353)</f>
        <v>what a shit</v>
      </c>
      <c r="D1353">
        <v>0</v>
      </c>
      <c r="E1353">
        <v>0</v>
      </c>
      <c r="F1353" t="s">
        <v>0</v>
      </c>
      <c r="G1353" t="str" cm="1">
        <f t="array" ref="G1353" xml:space="preserve"> FindCountryName(F1353)</f>
        <v>None</v>
      </c>
      <c r="H1353" s="1">
        <v>45298.223634259259</v>
      </c>
      <c r="I1353" s="1">
        <v>45298.223634259259</v>
      </c>
      <c r="J1353" s="1">
        <v>45215.968564814815</v>
      </c>
      <c r="K1353" cm="1">
        <f t="array" ref="K1353" xml:space="preserve"> sentimentCalc(C1353)</f>
        <v>0</v>
      </c>
      <c r="L1353" t="str" cm="1">
        <f t="array" ref="L1353" xml:space="preserve"> sentimentCategory(K1353)</f>
        <v>Neutral</v>
      </c>
    </row>
    <row r="1354" spans="1:12">
      <c r="A1354" t="s">
        <v>259</v>
      </c>
      <c r="B1354" t="s">
        <v>3102</v>
      </c>
      <c r="C1354" t="str" cm="1">
        <f t="array" ref="C1354" xml:space="preserve"> CleanText(B1354)</f>
        <v>en esprant que cette fois ci il y aura une suite</v>
      </c>
      <c r="D1354">
        <v>0</v>
      </c>
      <c r="E1354">
        <v>0</v>
      </c>
      <c r="F1354" t="s">
        <v>2796</v>
      </c>
      <c r="G1354" t="str" cm="1">
        <f t="array" ref="G1354" xml:space="preserve"> FindCountryName(F1354)</f>
        <v>France</v>
      </c>
      <c r="H1354" s="1">
        <v>45298.206192129626</v>
      </c>
      <c r="I1354" s="1">
        <v>45298.206192129626</v>
      </c>
      <c r="J1354" s="1">
        <v>40170.476956018516</v>
      </c>
      <c r="K1354" cm="1">
        <f t="array" ref="K1354" xml:space="preserve"> sentimentCalc(C1354)</f>
        <v>0</v>
      </c>
      <c r="L1354" t="str" cm="1">
        <f t="array" ref="L1354" xml:space="preserve"> sentimentCategory(K1354)</f>
        <v>Neutral</v>
      </c>
    </row>
    <row r="1355" spans="1:12">
      <c r="A1355" t="s">
        <v>43</v>
      </c>
      <c r="B1355" t="s">
        <v>3101</v>
      </c>
      <c r="C1355" t="str" cm="1">
        <f t="array" ref="C1355" xml:space="preserve"> CleanText(B1355)</f>
        <v>wow you can actually see zukos scar</v>
      </c>
      <c r="D1355">
        <v>0</v>
      </c>
      <c r="E1355">
        <v>0</v>
      </c>
      <c r="F1355" t="s">
        <v>0</v>
      </c>
      <c r="G1355" t="str" cm="1">
        <f t="array" ref="G1355" xml:space="preserve"> FindCountryName(F1355)</f>
        <v>None</v>
      </c>
      <c r="H1355" s="1">
        <v>45298.13753472222</v>
      </c>
      <c r="I1355" s="1">
        <v>45298.13753472222</v>
      </c>
      <c r="J1355" s="1">
        <v>43494.544803240744</v>
      </c>
      <c r="K1355" cm="1">
        <f t="array" ref="K1355" xml:space="preserve"> sentimentCalc(C1355)</f>
        <v>4</v>
      </c>
      <c r="L1355" t="str" cm="1">
        <f t="array" ref="L1355" xml:space="preserve"> sentimentCategory(K1355)</f>
        <v>Positive</v>
      </c>
    </row>
    <row r="1356" spans="1:12">
      <c r="A1356" t="s">
        <v>735</v>
      </c>
      <c r="B1356" t="s">
        <v>3100</v>
      </c>
      <c r="C1356" t="str" cm="1">
        <f t="array" ref="C1356" xml:space="preserve"> CleanText(B1356)</f>
        <v>aaaaaaaaaaaaaaaaaaaaaa</v>
      </c>
      <c r="D1356">
        <v>0</v>
      </c>
      <c r="E1356">
        <v>0</v>
      </c>
      <c r="F1356" t="s">
        <v>0</v>
      </c>
      <c r="G1356" t="str" cm="1">
        <f t="array" ref="G1356" xml:space="preserve"> FindCountryName(F1356)</f>
        <v>None</v>
      </c>
      <c r="H1356" s="1">
        <v>45298.137083333335</v>
      </c>
      <c r="I1356" s="1">
        <v>45298.137083333335</v>
      </c>
      <c r="J1356" s="1">
        <v>42492.330775462964</v>
      </c>
      <c r="K1356" cm="1">
        <f t="array" ref="K1356" xml:space="preserve"> sentimentCalc(C1356)</f>
        <v>0</v>
      </c>
      <c r="L1356" t="str" cm="1">
        <f t="array" ref="L1356" xml:space="preserve"> sentimentCategory(K1356)</f>
        <v>Neutral</v>
      </c>
    </row>
    <row r="1357" spans="1:12">
      <c r="A1357" t="s">
        <v>415</v>
      </c>
      <c r="B1357" t="s">
        <v>3099</v>
      </c>
      <c r="C1357" t="str" cm="1">
        <f t="array" ref="C1357" xml:space="preserve"> CleanText(B1357)</f>
        <v>my cabbages</v>
      </c>
      <c r="D1357">
        <v>0</v>
      </c>
      <c r="E1357">
        <v>0</v>
      </c>
      <c r="F1357" t="s">
        <v>0</v>
      </c>
      <c r="G1357" t="str" cm="1">
        <f t="array" ref="G1357" xml:space="preserve"> FindCountryName(F1357)</f>
        <v>None</v>
      </c>
      <c r="H1357" s="1">
        <v>45298.112534722219</v>
      </c>
      <c r="I1357" s="1">
        <v>45298.112534722219</v>
      </c>
      <c r="J1357" s="1">
        <v>40823.615879629629</v>
      </c>
      <c r="K1357" cm="1">
        <f t="array" ref="K1357" xml:space="preserve"> sentimentCalc(C1357)</f>
        <v>0</v>
      </c>
      <c r="L1357" t="str" cm="1">
        <f t="array" ref="L1357" xml:space="preserve"> sentimentCategory(K1357)</f>
        <v>Neutral</v>
      </c>
    </row>
    <row r="1358" spans="1:12">
      <c r="A1358" t="s">
        <v>612</v>
      </c>
      <c r="B1358" t="s">
        <v>3098</v>
      </c>
      <c r="C1358" t="str" cm="1">
        <f t="array" ref="C1358" xml:space="preserve"> CleanText(B1358)</f>
        <v>yooo they actually look how theyre supposed to in this day and age holy shit hell yeah</v>
      </c>
      <c r="D1358">
        <v>2</v>
      </c>
      <c r="E1358">
        <v>0</v>
      </c>
      <c r="F1358" t="s">
        <v>0</v>
      </c>
      <c r="G1358" t="str" cm="1">
        <f t="array" ref="G1358" xml:space="preserve"> FindCountryName(F1358)</f>
        <v>None</v>
      </c>
      <c r="H1358" s="1">
        <v>45298.094814814816</v>
      </c>
      <c r="I1358" s="1">
        <v>45298.094814814816</v>
      </c>
      <c r="J1358" s="1">
        <v>44120.972210648149</v>
      </c>
      <c r="K1358" cm="1">
        <f t="array" ref="K1358" xml:space="preserve"> sentimentCalc(C1358)</f>
        <v>-3</v>
      </c>
      <c r="L1358" t="str" cm="1">
        <f t="array" ref="L1358" xml:space="preserve"> sentimentCategory(K1358)</f>
        <v>Negative</v>
      </c>
    </row>
    <row r="1359" spans="1:12">
      <c r="A1359" t="s">
        <v>3097</v>
      </c>
      <c r="B1359" t="s">
        <v>3096</v>
      </c>
      <c r="C1359" t="str" cm="1">
        <f t="array" ref="C1359" xml:space="preserve"> CleanText(B1359)</f>
        <v>trust me this is going to be a shit show</v>
      </c>
      <c r="D1359">
        <v>1</v>
      </c>
      <c r="E1359">
        <v>3</v>
      </c>
      <c r="F1359" t="s">
        <v>633</v>
      </c>
      <c r="G1359" t="str" cm="1">
        <f t="array" ref="G1359" xml:space="preserve"> FindCountryName(F1359)</f>
        <v>Indonesia</v>
      </c>
      <c r="H1359" s="1">
        <v>45298.076006944444</v>
      </c>
      <c r="I1359" s="1">
        <v>45298.076006944444</v>
      </c>
      <c r="J1359" s="1">
        <v>43302.22347222222</v>
      </c>
      <c r="K1359" cm="1">
        <f t="array" ref="K1359" xml:space="preserve"> sentimentCalc(C1359)</f>
        <v>1</v>
      </c>
      <c r="L1359" t="str" cm="1">
        <f t="array" ref="L1359" xml:space="preserve"> sentimentCategory(K1359)</f>
        <v>Positive</v>
      </c>
    </row>
    <row r="1360" spans="1:12">
      <c r="A1360" t="s">
        <v>938</v>
      </c>
      <c r="B1360" t="s">
        <v>3095</v>
      </c>
      <c r="C1360" t="str" cm="1">
        <f t="array" ref="C1360" xml:space="preserve"> CleanText(B1360)</f>
        <v>waited like 0 years for this i cannot wait</v>
      </c>
      <c r="D1360">
        <v>1</v>
      </c>
      <c r="E1360">
        <v>0</v>
      </c>
      <c r="F1360" t="s">
        <v>0</v>
      </c>
      <c r="G1360" t="str" cm="1">
        <f t="array" ref="G1360" xml:space="preserve"> FindCountryName(F1360)</f>
        <v>None</v>
      </c>
      <c r="H1360" s="1">
        <v>45298.047222222223</v>
      </c>
      <c r="I1360" s="1">
        <v>45298.047222222223</v>
      </c>
      <c r="J1360" s="1">
        <v>41694.580810185187</v>
      </c>
      <c r="K1360" cm="1">
        <f t="array" ref="K1360" xml:space="preserve"> sentimentCalc(C1360)</f>
        <v>2</v>
      </c>
      <c r="L1360" t="str" cm="1">
        <f t="array" ref="L1360" xml:space="preserve"> sentimentCategory(K1360)</f>
        <v>Positive</v>
      </c>
    </row>
    <row r="1361" spans="1:12">
      <c r="A1361" t="s">
        <v>304</v>
      </c>
      <c r="B1361" t="s">
        <v>3094</v>
      </c>
      <c r="C1361" t="str" cm="1">
        <f t="array" ref="C1361" xml:space="preserve"> CleanText(B1361)</f>
        <v>i feel like everyone gets so happy when a live action adaptation gets made thats decent but if its still gonna be worse than the original then why bother i dont understand</v>
      </c>
      <c r="D1361">
        <v>1</v>
      </c>
      <c r="E1361">
        <v>0</v>
      </c>
      <c r="F1361" t="s">
        <v>0</v>
      </c>
      <c r="G1361" t="str" cm="1">
        <f t="array" ref="G1361" xml:space="preserve"> FindCountryName(F1361)</f>
        <v>None</v>
      </c>
      <c r="H1361" s="1">
        <v>45298.045555555553</v>
      </c>
      <c r="I1361" s="1">
        <v>45298.045555555553</v>
      </c>
      <c r="J1361" s="1">
        <v>44218.644120370373</v>
      </c>
      <c r="K1361" cm="1">
        <f t="array" ref="K1361" xml:space="preserve"> sentimentCalc(C1361)</f>
        <v>0</v>
      </c>
      <c r="L1361" t="str" cm="1">
        <f t="array" ref="L1361" xml:space="preserve"> sentimentCategory(K1361)</f>
        <v>Neutral</v>
      </c>
    </row>
    <row r="1362" spans="1:12">
      <c r="A1362" t="s">
        <v>320</v>
      </c>
      <c r="B1362" t="s">
        <v>3093</v>
      </c>
      <c r="C1362" t="str" cm="1">
        <f t="array" ref="C1362" xml:space="preserve"> CleanText(B1362)</f>
        <v>sokka and aang better be funny</v>
      </c>
      <c r="D1362">
        <v>2</v>
      </c>
      <c r="E1362">
        <v>0</v>
      </c>
      <c r="F1362" t="s">
        <v>0</v>
      </c>
      <c r="G1362" t="str" cm="1">
        <f t="array" ref="G1362" xml:space="preserve"> FindCountryName(F1362)</f>
        <v>None</v>
      </c>
      <c r="H1362" s="1">
        <v>45298.037326388891</v>
      </c>
      <c r="I1362" s="1">
        <v>45298.037326388891</v>
      </c>
      <c r="J1362" s="1">
        <v>40961.617638888885</v>
      </c>
      <c r="K1362" cm="1">
        <f t="array" ref="K1362" xml:space="preserve"> sentimentCalc(C1362)</f>
        <v>6</v>
      </c>
      <c r="L1362" t="str" cm="1">
        <f t="array" ref="L1362" xml:space="preserve"> sentimentCategory(K1362)</f>
        <v>Positive</v>
      </c>
    </row>
    <row r="1363" spans="1:12">
      <c r="A1363" t="s">
        <v>3092</v>
      </c>
      <c r="B1363" t="s">
        <v>3091</v>
      </c>
      <c r="C1363" t="str" cm="1">
        <f t="array" ref="C1363" xml:space="preserve"> CleanText(B1363)</f>
        <v>everything changed when the shyamalan attacked</v>
      </c>
      <c r="D1363">
        <v>1</v>
      </c>
      <c r="E1363">
        <v>0</v>
      </c>
      <c r="F1363" t="s">
        <v>0</v>
      </c>
      <c r="G1363" t="str" cm="1">
        <f t="array" ref="G1363" xml:space="preserve"> FindCountryName(F1363)</f>
        <v>None</v>
      </c>
      <c r="H1363" s="1">
        <v>45297.959444444445</v>
      </c>
      <c r="I1363" s="1">
        <v>45297.959444444445</v>
      </c>
      <c r="J1363" s="1">
        <v>42310.134421296294</v>
      </c>
      <c r="K1363" cm="1">
        <f t="array" ref="K1363" xml:space="preserve"> sentimentCalc(C1363)</f>
        <v>-1</v>
      </c>
      <c r="L1363" t="str" cm="1">
        <f t="array" ref="L1363" xml:space="preserve"> sentimentCategory(K1363)</f>
        <v>Negative</v>
      </c>
    </row>
    <row r="1364" spans="1:12">
      <c r="A1364" t="s">
        <v>529</v>
      </c>
      <c r="B1364" t="s">
        <v>3090</v>
      </c>
      <c r="C1364" t="str" cm="1">
        <f t="array" ref="C1364" xml:space="preserve"> CleanText(B1364)</f>
        <v>0 n</v>
      </c>
      <c r="D1364">
        <v>0</v>
      </c>
      <c r="E1364">
        <v>0</v>
      </c>
      <c r="F1364" t="s">
        <v>0</v>
      </c>
      <c r="G1364" t="str" cm="1">
        <f t="array" ref="G1364" xml:space="preserve"> FindCountryName(F1364)</f>
        <v>None</v>
      </c>
      <c r="H1364" s="1">
        <v>45297.927777777775</v>
      </c>
      <c r="I1364" s="1">
        <v>45297.927777777775</v>
      </c>
      <c r="J1364" s="1">
        <v>44588.926631944443</v>
      </c>
      <c r="K1364" cm="1">
        <f t="array" ref="K1364" xml:space="preserve"> sentimentCalc(C1364)</f>
        <v>0</v>
      </c>
      <c r="L1364" t="str" cm="1">
        <f t="array" ref="L1364" xml:space="preserve"> sentimentCategory(K1364)</f>
        <v>Neutral</v>
      </c>
    </row>
    <row r="1365" spans="1:12">
      <c r="A1365" t="s">
        <v>2333</v>
      </c>
      <c r="B1365" t="s">
        <v>3089</v>
      </c>
      <c r="C1365" t="str" cm="1">
        <f t="array" ref="C1365" xml:space="preserve"> CleanText(B1365)</f>
        <v>this better be better than one piece live action im so excited for this show bro its rey be fire i will watch this every day</v>
      </c>
      <c r="D1365">
        <v>1</v>
      </c>
      <c r="E1365">
        <v>0</v>
      </c>
      <c r="F1365" t="s">
        <v>0</v>
      </c>
      <c r="G1365" t="str" cm="1">
        <f t="array" ref="G1365" xml:space="preserve"> FindCountryName(F1365)</f>
        <v>None</v>
      </c>
      <c r="H1365" s="1">
        <v>45297.852569444447</v>
      </c>
      <c r="I1365" s="1">
        <v>45297.852569444447</v>
      </c>
      <c r="J1365" s="1">
        <v>45285.703900462962</v>
      </c>
      <c r="K1365" cm="1">
        <f t="array" ref="K1365" xml:space="preserve"> sentimentCalc(C1365)</f>
        <v>5</v>
      </c>
      <c r="L1365" t="str" cm="1">
        <f t="array" ref="L1365" xml:space="preserve"> sentimentCategory(K1365)</f>
        <v>Positive</v>
      </c>
    </row>
    <row r="1366" spans="1:12">
      <c r="A1366" t="s">
        <v>3088</v>
      </c>
      <c r="B1366" t="s">
        <v>3087</v>
      </c>
      <c r="C1366" t="str" cm="1">
        <f t="array" ref="C1366" xml:space="preserve"> CleanText(B1366)</f>
        <v>why avatar isnt black and not womanwhat happened to netflix</v>
      </c>
      <c r="D1366">
        <v>0</v>
      </c>
      <c r="E1366">
        <v>1</v>
      </c>
      <c r="F1366" t="s">
        <v>0</v>
      </c>
      <c r="G1366" t="str" cm="1">
        <f t="array" ref="G1366" xml:space="preserve"> FindCountryName(F1366)</f>
        <v>None</v>
      </c>
      <c r="H1366" s="1">
        <v>45297.849976851852</v>
      </c>
      <c r="I1366" s="1">
        <v>45297.849976851852</v>
      </c>
      <c r="J1366" s="1">
        <v>42594.621516203704</v>
      </c>
      <c r="K1366" cm="1">
        <f t="array" ref="K1366" xml:space="preserve"> sentimentCalc(C1366)</f>
        <v>0</v>
      </c>
      <c r="L1366" t="str" cm="1">
        <f t="array" ref="L1366" xml:space="preserve"> sentimentCategory(K1366)</f>
        <v>Neutral</v>
      </c>
    </row>
    <row r="1367" spans="1:12">
      <c r="A1367" t="s">
        <v>221</v>
      </c>
      <c r="B1367" t="s">
        <v>3086</v>
      </c>
      <c r="C1367" t="str" cm="1">
        <f t="array" ref="C1367" xml:space="preserve"> CleanText(B1367)</f>
        <v>no n cause there was no n on the animated series  no latinos either  a story in a world ambientated in asia must respect their ethnic groups</v>
      </c>
      <c r="D1367">
        <v>0</v>
      </c>
      <c r="E1367">
        <v>0</v>
      </c>
      <c r="F1367" t="s">
        <v>0</v>
      </c>
      <c r="G1367" t="str" cm="1">
        <f t="array" ref="G1367" xml:space="preserve"> FindCountryName(F1367)</f>
        <v>None</v>
      </c>
      <c r="H1367" s="1">
        <v>45297.849108796298</v>
      </c>
      <c r="I1367" s="1">
        <v>45297.849108796298</v>
      </c>
      <c r="J1367" s="1">
        <v>41128.963229166664</v>
      </c>
      <c r="K1367" cm="1">
        <f t="array" ref="K1367" xml:space="preserve"> sentimentCalc(C1367)</f>
        <v>-3</v>
      </c>
      <c r="L1367" t="str" cm="1">
        <f t="array" ref="L1367" xml:space="preserve"> sentimentCategory(K1367)</f>
        <v>Negative</v>
      </c>
    </row>
    <row r="1368" spans="1:12">
      <c r="A1368" t="s">
        <v>304</v>
      </c>
      <c r="B1368" t="s">
        <v>3085</v>
      </c>
      <c r="C1368" t="str" cm="1">
        <f t="array" ref="C1368" xml:space="preserve"> CleanText(B1368)</f>
        <v>well one piece wasnt bad fullmetal alchemist on the other hand was terrible so hopes for this are 00</v>
      </c>
      <c r="D1368">
        <v>0</v>
      </c>
      <c r="E1368">
        <v>0</v>
      </c>
      <c r="F1368" t="s">
        <v>0</v>
      </c>
      <c r="G1368" t="str" cm="1">
        <f t="array" ref="G1368" xml:space="preserve"> FindCountryName(F1368)</f>
        <v>None</v>
      </c>
      <c r="H1368" s="1">
        <v>45297.845439814817</v>
      </c>
      <c r="I1368" s="1">
        <v>45298.439097222225</v>
      </c>
      <c r="J1368" s="1">
        <v>44329.88894675926</v>
      </c>
      <c r="K1368" cm="1">
        <f t="array" ref="K1368" xml:space="preserve"> sentimentCalc(C1368)</f>
        <v>-4</v>
      </c>
      <c r="L1368" t="str" cm="1">
        <f t="array" ref="L1368" xml:space="preserve"> sentimentCategory(K1368)</f>
        <v>Negative</v>
      </c>
    </row>
    <row r="1369" spans="1:12">
      <c r="A1369" t="s">
        <v>180</v>
      </c>
      <c r="B1369" t="s">
        <v>3084</v>
      </c>
      <c r="C1369" t="str" cm="1">
        <f t="array" ref="C1369" xml:space="preserve"> CleanText(B1369)</f>
        <v>appa yipp yipp</v>
      </c>
      <c r="D1369">
        <v>0</v>
      </c>
      <c r="E1369">
        <v>0</v>
      </c>
      <c r="F1369" t="s">
        <v>0</v>
      </c>
      <c r="G1369" t="str" cm="1">
        <f t="array" ref="G1369" xml:space="preserve"> FindCountryName(F1369)</f>
        <v>None</v>
      </c>
      <c r="H1369" s="1">
        <v>45297.827233796299</v>
      </c>
      <c r="I1369" s="1">
        <v>45297.827233796299</v>
      </c>
      <c r="J1369" s="1">
        <v>43600.564606481479</v>
      </c>
      <c r="K1369" cm="1">
        <f t="array" ref="K1369" xml:space="preserve"> sentimentCalc(C1369)</f>
        <v>0</v>
      </c>
      <c r="L1369" t="str" cm="1">
        <f t="array" ref="L1369" xml:space="preserve"> sentimentCategory(K1369)</f>
        <v>Neutral</v>
      </c>
    </row>
    <row r="1370" spans="1:12">
      <c r="A1370" t="s">
        <v>3043</v>
      </c>
      <c r="B1370" t="s">
        <v>3083</v>
      </c>
      <c r="C1370" t="str" cm="1">
        <f t="array" ref="C1370" xml:space="preserve"> CleanText(B1370)</f>
        <v>aaaaaaa</v>
      </c>
      <c r="D1370">
        <v>0</v>
      </c>
      <c r="E1370">
        <v>0</v>
      </c>
      <c r="F1370" t="s">
        <v>0</v>
      </c>
      <c r="G1370" t="str" cm="1">
        <f t="array" ref="G1370" xml:space="preserve"> FindCountryName(F1370)</f>
        <v>None</v>
      </c>
      <c r="H1370" s="1">
        <v>45297.799699074072</v>
      </c>
      <c r="I1370" s="1">
        <v>45297.799699074072</v>
      </c>
      <c r="J1370" s="1">
        <v>45050.060844907406</v>
      </c>
      <c r="K1370" cm="1">
        <f t="array" ref="K1370" xml:space="preserve"> sentimentCalc(C1370)</f>
        <v>0</v>
      </c>
      <c r="L1370" t="str" cm="1">
        <f t="array" ref="L1370" xml:space="preserve"> sentimentCategory(K1370)</f>
        <v>Neutral</v>
      </c>
    </row>
    <row r="1371" spans="1:12">
      <c r="A1371" t="s">
        <v>3082</v>
      </c>
      <c r="B1371" t="s">
        <v>3081</v>
      </c>
      <c r="C1371" t="str" cm="1">
        <f t="array" ref="C1371" xml:space="preserve"> CleanText(B1371)</f>
        <v>est muito bom mas  o sokka e a catara so negros netflix vai vacilar dnv como sempre _xDD26__xDFFB_♂</v>
      </c>
      <c r="D1371">
        <v>0</v>
      </c>
      <c r="E1371">
        <v>1</v>
      </c>
      <c r="F1371" t="s">
        <v>0</v>
      </c>
      <c r="G1371" t="str" cm="1">
        <f t="array" ref="G1371" xml:space="preserve"> FindCountryName(F1371)</f>
        <v>None</v>
      </c>
      <c r="H1371" s="1">
        <v>45297.7966087963</v>
      </c>
      <c r="I1371" s="1">
        <v>45297.7966087963</v>
      </c>
      <c r="J1371" s="1">
        <v>42108.519791666666</v>
      </c>
      <c r="K1371" cm="1">
        <f t="array" ref="K1371" xml:space="preserve"> sentimentCalc(C1371)</f>
        <v>0</v>
      </c>
      <c r="L1371" t="str" cm="1">
        <f t="array" ref="L1371" xml:space="preserve"> sentimentCategory(K1371)</f>
        <v>Neutral</v>
      </c>
    </row>
    <row r="1372" spans="1:12">
      <c r="A1372" t="s">
        <v>3080</v>
      </c>
      <c r="B1372" t="s">
        <v>3079</v>
      </c>
      <c r="C1372" t="str" cm="1">
        <f t="array" ref="C1372" xml:space="preserve"> CleanText(B1372)</f>
        <v>where is toph</v>
      </c>
      <c r="D1372">
        <v>0</v>
      </c>
      <c r="E1372">
        <v>3</v>
      </c>
      <c r="F1372" t="s">
        <v>0</v>
      </c>
      <c r="G1372" t="str" cm="1">
        <f t="array" ref="G1372" xml:space="preserve"> FindCountryName(F1372)</f>
        <v>None</v>
      </c>
      <c r="H1372" s="1">
        <v>45297.762476851851</v>
      </c>
      <c r="I1372" s="1">
        <v>45297.762476851851</v>
      </c>
      <c r="J1372" s="1">
        <v>41977.262430555558</v>
      </c>
      <c r="K1372" cm="1">
        <f t="array" ref="K1372" xml:space="preserve"> sentimentCalc(C1372)</f>
        <v>0</v>
      </c>
      <c r="L1372" t="str" cm="1">
        <f t="array" ref="L1372" xml:space="preserve"> sentimentCategory(K1372)</f>
        <v>Neutral</v>
      </c>
    </row>
    <row r="1373" spans="1:12">
      <c r="A1373" t="s">
        <v>3078</v>
      </c>
      <c r="B1373" t="s">
        <v>3077</v>
      </c>
      <c r="C1373" t="str" cm="1">
        <f t="array" ref="C1373" xml:space="preserve"> CleanText(B1373)</f>
        <v>the trailer is looking good but im afraid to get my hooes up after what they did with the movie so ill try not to set any expectations for now that said the original show is still one of my favourite series of all time to this say so i hope they do it justice this time</v>
      </c>
      <c r="D1373">
        <v>0</v>
      </c>
      <c r="E1373">
        <v>0</v>
      </c>
      <c r="F1373" t="s">
        <v>0</v>
      </c>
      <c r="G1373" t="str" cm="1">
        <f t="array" ref="G1373" xml:space="preserve"> FindCountryName(F1373)</f>
        <v>None</v>
      </c>
      <c r="H1373" s="1">
        <v>45297.739664351851</v>
      </c>
      <c r="I1373" s="1">
        <v>45297.739664351851</v>
      </c>
      <c r="J1373" s="1">
        <v>39928.600601851853</v>
      </c>
      <c r="K1373" cm="1">
        <f t="array" ref="K1373" xml:space="preserve"> sentimentCalc(C1373)</f>
        <v>3</v>
      </c>
      <c r="L1373" t="str" cm="1">
        <f t="array" ref="L1373" xml:space="preserve"> sentimentCategory(K1373)</f>
        <v>Positive</v>
      </c>
    </row>
    <row r="1374" spans="1:12">
      <c r="A1374" t="s">
        <v>514</v>
      </c>
      <c r="B1374" t="s">
        <v>3076</v>
      </c>
      <c r="C1374" t="str" cm="1">
        <f t="array" ref="C1374" xml:space="preserve"> CleanText(B1374)</f>
        <v>azula doesnt make me effrai</v>
      </c>
      <c r="D1374">
        <v>0</v>
      </c>
      <c r="E1374">
        <v>1</v>
      </c>
      <c r="F1374" t="s">
        <v>0</v>
      </c>
      <c r="G1374" t="str" cm="1">
        <f t="array" ref="G1374" xml:space="preserve"> FindCountryName(F1374)</f>
        <v>None</v>
      </c>
      <c r="H1374" s="1">
        <v>45297.717581018522</v>
      </c>
      <c r="I1374" s="1">
        <v>45297.717581018522</v>
      </c>
      <c r="J1374" s="1">
        <v>43925.564386574071</v>
      </c>
      <c r="K1374" cm="1">
        <f t="array" ref="K1374" xml:space="preserve"> sentimentCalc(C1374)</f>
        <v>0</v>
      </c>
      <c r="L1374" t="str" cm="1">
        <f t="array" ref="L1374" xml:space="preserve"> sentimentCategory(K1374)</f>
        <v>Neutral</v>
      </c>
    </row>
    <row r="1375" spans="1:12">
      <c r="A1375" t="s">
        <v>3004</v>
      </c>
      <c r="B1375" t="s">
        <v>3075</v>
      </c>
      <c r="C1375" t="str" cm="1">
        <f t="array" ref="C1375" xml:space="preserve"> CleanText(B1375)</f>
        <v>2 is mid</v>
      </c>
      <c r="D1375">
        <v>0</v>
      </c>
      <c r="E1375">
        <v>0</v>
      </c>
      <c r="F1375" t="s">
        <v>0</v>
      </c>
      <c r="G1375" t="str" cm="1">
        <f t="array" ref="G1375" xml:space="preserve"> FindCountryName(F1375)</f>
        <v>None</v>
      </c>
      <c r="H1375" s="1">
        <v>45297.674502314818</v>
      </c>
      <c r="I1375" s="1">
        <v>45297.674502314818</v>
      </c>
      <c r="J1375" s="1">
        <v>45197.658495370371</v>
      </c>
      <c r="K1375" cm="1">
        <f t="array" ref="K1375" xml:space="preserve"> sentimentCalc(C1375)</f>
        <v>0</v>
      </c>
      <c r="L1375" t="str" cm="1">
        <f t="array" ref="L1375" xml:space="preserve"> sentimentCategory(K1375)</f>
        <v>Neutral</v>
      </c>
    </row>
    <row r="1376" spans="1:12">
      <c r="A1376" t="s">
        <v>796</v>
      </c>
      <c r="B1376" t="s">
        <v>3074</v>
      </c>
      <c r="C1376" t="str" cm="1">
        <f t="array" ref="C1376" xml:space="preserve"> CleanText(B1376)</f>
        <v>why nextflix</v>
      </c>
      <c r="D1376">
        <v>0</v>
      </c>
      <c r="E1376">
        <v>3</v>
      </c>
      <c r="F1376" t="s">
        <v>0</v>
      </c>
      <c r="G1376" t="str" cm="1">
        <f t="array" ref="G1376" xml:space="preserve"> FindCountryName(F1376)</f>
        <v>None</v>
      </c>
      <c r="H1376" s="1">
        <v>45297.67423611111</v>
      </c>
      <c r="I1376" s="1">
        <v>45297.67423611111</v>
      </c>
      <c r="J1376" s="1">
        <v>43516.393020833333</v>
      </c>
      <c r="K1376" cm="1">
        <f t="array" ref="K1376" xml:space="preserve"> sentimentCalc(C1376)</f>
        <v>0</v>
      </c>
      <c r="L1376" t="str" cm="1">
        <f t="array" ref="L1376" xml:space="preserve"> sentimentCategory(K1376)</f>
        <v>Neutral</v>
      </c>
    </row>
    <row r="1377" spans="1:12">
      <c r="A1377" t="s">
        <v>418</v>
      </c>
      <c r="B1377" t="s">
        <v>3073</v>
      </c>
      <c r="C1377" t="str" cm="1">
        <f t="array" ref="C1377" xml:space="preserve"> CleanText(B1377)</f>
        <v>looks really good made and full of love and truth may every soul be enlighted by the film _xDE4F_</v>
      </c>
      <c r="D1377">
        <v>1</v>
      </c>
      <c r="E1377">
        <v>0</v>
      </c>
      <c r="F1377" t="s">
        <v>0</v>
      </c>
      <c r="G1377" t="str" cm="1">
        <f t="array" ref="G1377" xml:space="preserve"> FindCountryName(F1377)</f>
        <v>None</v>
      </c>
      <c r="H1377" s="1">
        <v>45297.664652777778</v>
      </c>
      <c r="I1377" s="1">
        <v>45297.664652777778</v>
      </c>
      <c r="J1377" s="1">
        <v>39909.480775462966</v>
      </c>
      <c r="K1377" cm="1">
        <f t="array" ref="K1377" xml:space="preserve"> sentimentCalc(C1377)</f>
        <v>6</v>
      </c>
      <c r="L1377" t="str" cm="1">
        <f t="array" ref="L1377" xml:space="preserve"> sentimentCategory(K1377)</f>
        <v>Positive</v>
      </c>
    </row>
    <row r="1378" spans="1:12">
      <c r="A1378" t="s">
        <v>267</v>
      </c>
      <c r="B1378" t="s">
        <v>3072</v>
      </c>
      <c r="C1378" t="str" cm="1">
        <f t="array" ref="C1378" xml:space="preserve"> CleanText(B1378)</f>
        <v>no offense but why are sokka and katara solight in skin tone</v>
      </c>
      <c r="D1378">
        <v>0</v>
      </c>
      <c r="E1378">
        <v>1</v>
      </c>
      <c r="F1378" t="s">
        <v>0</v>
      </c>
      <c r="G1378" t="str" cm="1">
        <f t="array" ref="G1378" xml:space="preserve"> FindCountryName(F1378)</f>
        <v>None</v>
      </c>
      <c r="H1378" s="1">
        <v>45297.663310185184</v>
      </c>
      <c r="I1378" s="1">
        <v>45297.663310185184</v>
      </c>
      <c r="J1378" s="1">
        <v>41684.939733796295</v>
      </c>
      <c r="K1378" cm="1">
        <f t="array" ref="K1378" xml:space="preserve"> sentimentCalc(C1378)</f>
        <v>-1</v>
      </c>
      <c r="L1378" t="str" cm="1">
        <f t="array" ref="L1378" xml:space="preserve"> sentimentCategory(K1378)</f>
        <v>Negative</v>
      </c>
    </row>
    <row r="1379" spans="1:12">
      <c r="A1379" t="s">
        <v>169</v>
      </c>
      <c r="B1379" t="s">
        <v>3071</v>
      </c>
      <c r="C1379" t="str" cm="1">
        <f t="array" ref="C1379" xml:space="preserve"> CleanText(B1379)</f>
        <v>i have hope</v>
      </c>
      <c r="D1379">
        <v>0</v>
      </c>
      <c r="E1379">
        <v>0</v>
      </c>
      <c r="F1379" t="s">
        <v>0</v>
      </c>
      <c r="G1379" t="str" cm="1">
        <f t="array" ref="G1379" xml:space="preserve"> FindCountryName(F1379)</f>
        <v>None</v>
      </c>
      <c r="H1379" s="1">
        <v>45297.661423611113</v>
      </c>
      <c r="I1379" s="1">
        <v>45297.661423611113</v>
      </c>
      <c r="J1379" s="1">
        <v>41258.589907407404</v>
      </c>
      <c r="K1379" cm="1">
        <f t="array" ref="K1379" xml:space="preserve"> sentimentCalc(C1379)</f>
        <v>2</v>
      </c>
      <c r="L1379" t="str" cm="1">
        <f t="array" ref="L1379" xml:space="preserve"> sentimentCategory(K1379)</f>
        <v>Positive</v>
      </c>
    </row>
    <row r="1380" spans="1:12">
      <c r="A1380" t="s">
        <v>3070</v>
      </c>
      <c r="B1380" t="s">
        <v>3069</v>
      </c>
      <c r="C1380" t="str" cm="1">
        <f t="array" ref="C1380" xml:space="preserve"> CleanText(B1380)</f>
        <v>this looks amazing seems like there was no holding back on the money from production side and i am greatfull because this show deserves it the only thing im worried about is the speech narrator gave during the teaser as i would expect something in lines of but then the fire nation attackedstill super hyped and for the love of avatar i am going to watch this d</v>
      </c>
      <c r="D1380">
        <v>1</v>
      </c>
      <c r="E1380">
        <v>2</v>
      </c>
      <c r="F1380" t="s">
        <v>0</v>
      </c>
      <c r="G1380" t="str" cm="1">
        <f t="array" ref="G1380" xml:space="preserve"> FindCountryName(F1380)</f>
        <v>None</v>
      </c>
      <c r="H1380" s="1">
        <v>45297.569918981484</v>
      </c>
      <c r="I1380" s="1">
        <v>45297.569918981484</v>
      </c>
      <c r="J1380" s="1">
        <v>39922.195590277777</v>
      </c>
      <c r="K1380" cm="1">
        <f t="array" ref="K1380" xml:space="preserve"> sentimentCalc(C1380)</f>
        <v>6</v>
      </c>
      <c r="L1380" t="str" cm="1">
        <f t="array" ref="L1380" xml:space="preserve"> sentimentCategory(K1380)</f>
        <v>Positive</v>
      </c>
    </row>
    <row r="1381" spans="1:12">
      <c r="A1381" t="s">
        <v>3068</v>
      </c>
      <c r="B1381" t="s">
        <v>3067</v>
      </c>
      <c r="C1381" t="str" cm="1">
        <f t="array" ref="C1381" xml:space="preserve"> CleanText(B1381)</f>
        <v>aang</v>
      </c>
      <c r="D1381">
        <v>1</v>
      </c>
      <c r="E1381">
        <v>0</v>
      </c>
      <c r="F1381" t="s">
        <v>19</v>
      </c>
      <c r="G1381" t="str" cm="1">
        <f t="array" ref="G1381" xml:space="preserve"> FindCountryName(F1381)</f>
        <v>United States of America (the)</v>
      </c>
      <c r="H1381" s="1">
        <v>45297.538472222222</v>
      </c>
      <c r="I1381" s="1">
        <v>45297.538472222222</v>
      </c>
      <c r="J1381" s="1">
        <v>43162.924247685187</v>
      </c>
      <c r="K1381" cm="1">
        <f t="array" ref="K1381" xml:space="preserve"> sentimentCalc(C1381)</f>
        <v>0</v>
      </c>
      <c r="L1381" t="str" cm="1">
        <f t="array" ref="L1381" xml:space="preserve"> sentimentCategory(K1381)</f>
        <v>Neutral</v>
      </c>
    </row>
    <row r="1382" spans="1:12">
      <c r="A1382" t="s">
        <v>578</v>
      </c>
      <c r="B1382" t="s">
        <v>3066</v>
      </c>
      <c r="C1382" t="str" cm="1">
        <f t="array" ref="C1382" xml:space="preserve"> CleanText(B1382)</f>
        <v>this is one of the most watched trailers of netflix of all time on this youtube channel and it is about  month old tells enough how many people are waiting for this series to come out _xDE03_</v>
      </c>
      <c r="D1382">
        <v>2</v>
      </c>
      <c r="E1382">
        <v>1</v>
      </c>
      <c r="F1382" t="s">
        <v>0</v>
      </c>
      <c r="G1382" t="str" cm="1">
        <f t="array" ref="G1382" xml:space="preserve"> FindCountryName(F1382)</f>
        <v>None</v>
      </c>
      <c r="H1382" s="1">
        <v>45297.478483796294</v>
      </c>
      <c r="I1382" s="1">
        <v>45297.478483796294</v>
      </c>
      <c r="J1382" s="1">
        <v>44370.892534722225</v>
      </c>
      <c r="K1382" cm="1">
        <f t="array" ref="K1382" xml:space="preserve"> sentimentCalc(C1382)</f>
        <v>0</v>
      </c>
      <c r="L1382" t="str" cm="1">
        <f t="array" ref="L1382" xml:space="preserve"> sentimentCategory(K1382)</f>
        <v>Neutral</v>
      </c>
    </row>
    <row r="1383" spans="1:12">
      <c r="A1383" t="s">
        <v>3065</v>
      </c>
      <c r="B1383" t="s">
        <v>3064</v>
      </c>
      <c r="C1383" t="str" cm="1">
        <f t="array" ref="C1383" xml:space="preserve"> CleanText(B1383)</f>
        <v>cant wait for people to compare this to the anime and then complain that it isnt a shot for shot of the anime or the same tone as the anime or exactly like the anime</v>
      </c>
      <c r="D1383">
        <v>0</v>
      </c>
      <c r="E1383">
        <v>1</v>
      </c>
      <c r="F1383" t="s">
        <v>0</v>
      </c>
      <c r="G1383" t="str" cm="1">
        <f t="array" ref="G1383" xml:space="preserve"> FindCountryName(F1383)</f>
        <v>None</v>
      </c>
      <c r="H1383" s="1">
        <v>45297.459826388891</v>
      </c>
      <c r="I1383" s="1">
        <v>45297.459826388891</v>
      </c>
      <c r="J1383" s="1">
        <v>45164.025983796295</v>
      </c>
      <c r="K1383" cm="1">
        <f t="array" ref="K1383" xml:space="preserve"> sentimentCalc(C1383)</f>
        <v>0</v>
      </c>
      <c r="L1383" t="str" cm="1">
        <f t="array" ref="L1383" xml:space="preserve"> sentimentCategory(K1383)</f>
        <v>Neutral</v>
      </c>
    </row>
    <row r="1384" spans="1:12">
      <c r="A1384" t="s">
        <v>1389</v>
      </c>
      <c r="B1384" t="s">
        <v>3031</v>
      </c>
      <c r="C1384" t="str" cm="1">
        <f t="array" ref="C1384" xml:space="preserve"> CleanText(B1384)</f>
        <v>i really curious about live action zuko will say to his uncle on the ship i dont need any calming tea i need to capture the avatar</v>
      </c>
      <c r="D1384">
        <v>1</v>
      </c>
      <c r="E1384">
        <v>0</v>
      </c>
      <c r="F1384" t="s">
        <v>0</v>
      </c>
      <c r="G1384" t="str" cm="1">
        <f t="array" ref="G1384" xml:space="preserve"> FindCountryName(F1384)</f>
        <v>None</v>
      </c>
      <c r="H1384" s="1">
        <v>45297.344837962963</v>
      </c>
      <c r="I1384" s="1">
        <v>45297.344837962963</v>
      </c>
      <c r="J1384" s="1">
        <v>44923.187719907408</v>
      </c>
      <c r="K1384" cm="1">
        <f t="array" ref="K1384" xml:space="preserve"> sentimentCalc(C1384)</f>
        <v>3</v>
      </c>
      <c r="L1384" t="str" cm="1">
        <f t="array" ref="L1384" xml:space="preserve"> sentimentCategory(K1384)</f>
        <v>Positive</v>
      </c>
    </row>
    <row r="1385" spans="1:12">
      <c r="A1385" t="s">
        <v>3063</v>
      </c>
      <c r="B1385" t="s">
        <v>3062</v>
      </c>
      <c r="C1385" t="str" cm="1">
        <f t="array" ref="C1385" xml:space="preserve"> CleanText(B1385)</f>
        <v>first episode aired on feb  5 years later it has m views funny enoughthe live action premieres on feb  lets hope its good</v>
      </c>
      <c r="D1385">
        <v>1</v>
      </c>
      <c r="E1385">
        <v>0</v>
      </c>
      <c r="F1385" t="s">
        <v>0</v>
      </c>
      <c r="G1385" t="str" cm="1">
        <f t="array" ref="G1385" xml:space="preserve"> FindCountryName(F1385)</f>
        <v>None</v>
      </c>
      <c r="H1385" s="1">
        <v>45297.220497685186</v>
      </c>
      <c r="I1385" s="1">
        <v>45297.220497685186</v>
      </c>
      <c r="J1385" s="1">
        <v>43831.7422337963</v>
      </c>
      <c r="K1385" cm="1">
        <f t="array" ref="K1385" xml:space="preserve"> sentimentCalc(C1385)</f>
        <v>9</v>
      </c>
      <c r="L1385" t="str" cm="1">
        <f t="array" ref="L1385" xml:space="preserve"> sentimentCategory(K1385)</f>
        <v>Positive</v>
      </c>
    </row>
    <row r="1386" spans="1:12">
      <c r="A1386" t="s">
        <v>1829</v>
      </c>
      <c r="B1386" t="s">
        <v>3061</v>
      </c>
      <c r="C1386" t="str" cm="1">
        <f t="array" ref="C1386" xml:space="preserve"> CleanText(B1386)</f>
        <v>my favorite anime avatar the last airbender i cant wait until february</v>
      </c>
      <c r="D1386">
        <v>0</v>
      </c>
      <c r="E1386">
        <v>1</v>
      </c>
      <c r="F1386" t="s">
        <v>0</v>
      </c>
      <c r="G1386" t="str" cm="1">
        <f t="array" ref="G1386" xml:space="preserve"> FindCountryName(F1386)</f>
        <v>None</v>
      </c>
      <c r="H1386" s="1">
        <v>45297.154861111114</v>
      </c>
      <c r="I1386" s="1">
        <v>45297.154861111114</v>
      </c>
      <c r="J1386" s="1">
        <v>44597.437523148146</v>
      </c>
      <c r="K1386" cm="1">
        <f t="array" ref="K1386" xml:space="preserve"> sentimentCalc(C1386)</f>
        <v>2</v>
      </c>
      <c r="L1386" t="str" cm="1">
        <f t="array" ref="L1386" xml:space="preserve"> sentimentCategory(K1386)</f>
        <v>Positive</v>
      </c>
    </row>
    <row r="1387" spans="1:12">
      <c r="A1387" t="s">
        <v>1108</v>
      </c>
      <c r="B1387" t="s">
        <v>3060</v>
      </c>
      <c r="C1387" t="str" cm="1">
        <f t="array" ref="C1387" xml:space="preserve"> CleanText(B1387)</f>
        <v>looks promising im still traumatized due to that horrible adaptation we all wish we never saw but it looks is worth giving it a chance there is a very very high bar though</v>
      </c>
      <c r="D1387">
        <v>0</v>
      </c>
      <c r="E1387">
        <v>0</v>
      </c>
      <c r="F1387" t="s">
        <v>0</v>
      </c>
      <c r="G1387" t="str" cm="1">
        <f t="array" ref="G1387" xml:space="preserve"> FindCountryName(F1387)</f>
        <v>None</v>
      </c>
      <c r="H1387" s="1">
        <v>45297.12054398148</v>
      </c>
      <c r="I1387" s="1">
        <v>45297.12054398148</v>
      </c>
      <c r="J1387" s="1">
        <v>40879.513506944444</v>
      </c>
      <c r="K1387" cm="1">
        <f t="array" ref="K1387" xml:space="preserve"> sentimentCalc(C1387)</f>
        <v>2</v>
      </c>
      <c r="L1387" t="str" cm="1">
        <f t="array" ref="L1387" xml:space="preserve"> sentimentCategory(K1387)</f>
        <v>Positive</v>
      </c>
    </row>
    <row r="1388" spans="1:12">
      <c r="A1388" t="s">
        <v>310</v>
      </c>
      <c r="B1388" t="s">
        <v>3059</v>
      </c>
      <c r="C1388" t="str" cm="1">
        <f t="array" ref="C1388" xml:space="preserve"> CleanText(B1388)</f>
        <v>netflix gave us one piece and now atla tsk ugh now just do fairy tail _xDC46__xDFFE_</v>
      </c>
      <c r="D1388">
        <v>0</v>
      </c>
      <c r="E1388">
        <v>0</v>
      </c>
      <c r="F1388" t="s">
        <v>0</v>
      </c>
      <c r="G1388" t="str" cm="1">
        <f t="array" ref="G1388" xml:space="preserve"> FindCountryName(F1388)</f>
        <v>None</v>
      </c>
      <c r="H1388" s="1">
        <v>45297.115335648145</v>
      </c>
      <c r="I1388" s="1">
        <v>45297.115335648145</v>
      </c>
      <c r="J1388" s="1">
        <v>42100.702928240738</v>
      </c>
      <c r="K1388" cm="1">
        <f t="array" ref="K1388" xml:space="preserve"> sentimentCalc(C1388)</f>
        <v>0</v>
      </c>
      <c r="L1388" t="str" cm="1">
        <f t="array" ref="L1388" xml:space="preserve"> sentimentCategory(K1388)</f>
        <v>Neutral</v>
      </c>
    </row>
    <row r="1389" spans="1:12">
      <c r="A1389" t="s">
        <v>887</v>
      </c>
      <c r="B1389" t="s">
        <v>3058</v>
      </c>
      <c r="C1389" t="str" cm="1">
        <f t="array" ref="C1389" xml:space="preserve"> CleanText(B1389)</f>
        <v>its already better than the movie whether or not its any good remains to be seen</v>
      </c>
      <c r="D1389">
        <v>0</v>
      </c>
      <c r="E1389">
        <v>0</v>
      </c>
      <c r="F1389" t="s">
        <v>0</v>
      </c>
      <c r="G1389" t="str" cm="1">
        <f t="array" ref="G1389" xml:space="preserve"> FindCountryName(F1389)</f>
        <v>None</v>
      </c>
      <c r="H1389" s="1">
        <v>45297.112870370373</v>
      </c>
      <c r="I1389" s="1">
        <v>45297.112870370373</v>
      </c>
      <c r="J1389" s="1">
        <v>42878.889814814815</v>
      </c>
      <c r="K1389" cm="1">
        <f t="array" ref="K1389" xml:space="preserve"> sentimentCalc(C1389)</f>
        <v>5</v>
      </c>
      <c r="L1389" t="str" cm="1">
        <f t="array" ref="L1389" xml:space="preserve"> sentimentCategory(K1389)</f>
        <v>Positive</v>
      </c>
    </row>
    <row r="1390" spans="1:12">
      <c r="A1390" t="s">
        <v>291</v>
      </c>
      <c r="B1390" t="s">
        <v>3057</v>
      </c>
      <c r="C1390" t="str" cm="1">
        <f t="array" ref="C1390" xml:space="preserve"> CleanText(B1390)</f>
        <v>seeing those firebenders fly into the air temple gave me chills i really hope the fan theory of gyasto killing all those firebenders by bending all the air out of that locked room turns out to be true thatd be so brutal to see but so cool</v>
      </c>
      <c r="D1390">
        <v>9</v>
      </c>
      <c r="E1390">
        <v>0</v>
      </c>
      <c r="F1390" t="s">
        <v>0</v>
      </c>
      <c r="G1390" t="str" cm="1">
        <f t="array" ref="G1390" xml:space="preserve"> FindCountryName(F1390)</f>
        <v>None</v>
      </c>
      <c r="H1390" s="1">
        <v>45296.968460648146</v>
      </c>
      <c r="I1390" s="1">
        <v>45296.968460648146</v>
      </c>
      <c r="J1390" s="1">
        <v>41600.048854166664</v>
      </c>
      <c r="K1390" cm="1">
        <f t="array" ref="K1390" xml:space="preserve"> sentimentCalc(C1390)</f>
        <v>5</v>
      </c>
      <c r="L1390" t="str" cm="1">
        <f t="array" ref="L1390" xml:space="preserve"> sentimentCategory(K1390)</f>
        <v>Positive</v>
      </c>
    </row>
    <row r="1391" spans="1:12">
      <c r="A1391" t="s">
        <v>821</v>
      </c>
      <c r="B1391" t="s">
        <v>3056</v>
      </c>
      <c r="C1391" t="str" cm="1">
        <f t="array" ref="C1391" xml:space="preserve"> CleanText(B1391)</f>
        <v>mr kim as general iroh you know the comic timing is gonna be the best</v>
      </c>
      <c r="D1391">
        <v>0</v>
      </c>
      <c r="E1391">
        <v>0</v>
      </c>
      <c r="F1391" t="s">
        <v>0</v>
      </c>
      <c r="G1391" t="str" cm="1">
        <f t="array" ref="G1391" xml:space="preserve"> FindCountryName(F1391)</f>
        <v>None</v>
      </c>
      <c r="H1391" s="1">
        <v>45296.966562499998</v>
      </c>
      <c r="I1391" s="1">
        <v>45296.966562499998</v>
      </c>
      <c r="J1391" s="1">
        <v>45033.609537037039</v>
      </c>
      <c r="K1391" cm="1">
        <f t="array" ref="K1391" xml:space="preserve"> sentimentCalc(C1391)</f>
        <v>3</v>
      </c>
      <c r="L1391" t="str" cm="1">
        <f t="array" ref="L1391" xml:space="preserve"> sentimentCategory(K1391)</f>
        <v>Positive</v>
      </c>
    </row>
    <row r="1392" spans="1:12">
      <c r="A1392" t="s">
        <v>3055</v>
      </c>
      <c r="B1392" t="s">
        <v>3054</v>
      </c>
      <c r="C1392" t="str" cm="1">
        <f t="array" ref="C1392" xml:space="preserve"> CleanText(B1392)</f>
        <v>visually it looks nice but whether or not it is actually any good will come down to the acting and storytelling</v>
      </c>
      <c r="D1392">
        <v>0</v>
      </c>
      <c r="E1392">
        <v>0</v>
      </c>
      <c r="F1392" t="s">
        <v>0</v>
      </c>
      <c r="G1392" t="str" cm="1">
        <f t="array" ref="G1392" xml:space="preserve"> FindCountryName(F1392)</f>
        <v>None</v>
      </c>
      <c r="H1392" s="1">
        <v>45296.906145833331</v>
      </c>
      <c r="I1392" s="1">
        <v>45296.906145833331</v>
      </c>
      <c r="J1392" s="1">
        <v>44403.152974537035</v>
      </c>
      <c r="K1392" cm="1">
        <f t="array" ref="K1392" xml:space="preserve"> sentimentCalc(C1392)</f>
        <v>6</v>
      </c>
      <c r="L1392" t="str" cm="1">
        <f t="array" ref="L1392" xml:space="preserve"> sentimentCategory(K1392)</f>
        <v>Positive</v>
      </c>
    </row>
    <row r="1393" spans="1:12">
      <c r="A1393" t="s">
        <v>3053</v>
      </c>
      <c r="B1393" t="s">
        <v>3052</v>
      </c>
      <c r="C1393" t="str" cm="1">
        <f t="array" ref="C1393" xml:space="preserve"> CleanText(B1393)</f>
        <v>it looks so promising</v>
      </c>
      <c r="D1393">
        <v>1</v>
      </c>
      <c r="E1393">
        <v>0</v>
      </c>
      <c r="F1393" t="s">
        <v>0</v>
      </c>
      <c r="G1393" t="str" cm="1">
        <f t="array" ref="G1393" xml:space="preserve"> FindCountryName(F1393)</f>
        <v>None</v>
      </c>
      <c r="H1393" s="1">
        <v>45296.90284722222</v>
      </c>
      <c r="I1393" s="1">
        <v>45296.90284722222</v>
      </c>
      <c r="J1393" s="1">
        <v>44583.238032407404</v>
      </c>
      <c r="K1393" cm="1">
        <f t="array" ref="K1393" xml:space="preserve"> sentimentCalc(C1393)</f>
        <v>0</v>
      </c>
      <c r="L1393" t="str" cm="1">
        <f t="array" ref="L1393" xml:space="preserve"> sentimentCategory(K1393)</f>
        <v>Neutral</v>
      </c>
    </row>
    <row r="1394" spans="1:12">
      <c r="A1394" t="s">
        <v>3051</v>
      </c>
      <c r="B1394" t="s">
        <v>3050</v>
      </c>
      <c r="C1394" t="str" cm="1">
        <f t="array" ref="C1394" xml:space="preserve"> CleanText(B1394)</f>
        <v>this is automaticakky better bc it doesnt have shymalans name on it</v>
      </c>
      <c r="D1394">
        <v>0</v>
      </c>
      <c r="E1394">
        <v>0</v>
      </c>
      <c r="F1394" t="s">
        <v>0</v>
      </c>
      <c r="G1394" t="str" cm="1">
        <f t="array" ref="G1394" xml:space="preserve"> FindCountryName(F1394)</f>
        <v>None</v>
      </c>
      <c r="H1394" s="1">
        <v>45296.867210648146</v>
      </c>
      <c r="I1394" s="1">
        <v>45296.867210648146</v>
      </c>
      <c r="J1394" s="1">
        <v>41160.015856481485</v>
      </c>
      <c r="K1394" cm="1">
        <f t="array" ref="K1394" xml:space="preserve"> sentimentCalc(C1394)</f>
        <v>2</v>
      </c>
      <c r="L1394" t="str" cm="1">
        <f t="array" ref="L1394" xml:space="preserve"> sentimentCategory(K1394)</f>
        <v>Positive</v>
      </c>
    </row>
    <row r="1395" spans="1:12">
      <c r="A1395" t="s">
        <v>43</v>
      </c>
      <c r="B1395" t="s">
        <v>3049</v>
      </c>
      <c r="C1395" t="str" cm="1">
        <f t="array" ref="C1395" xml:space="preserve"> CleanText(B1395)</f>
        <v>it really hits different in live action that these are children</v>
      </c>
      <c r="D1395">
        <v>0</v>
      </c>
      <c r="E1395">
        <v>0</v>
      </c>
      <c r="F1395" t="s">
        <v>0</v>
      </c>
      <c r="G1395" t="str" cm="1">
        <f t="array" ref="G1395" xml:space="preserve"> FindCountryName(F1395)</f>
        <v>None</v>
      </c>
      <c r="H1395" s="1">
        <v>45296.864386574074</v>
      </c>
      <c r="I1395" s="1">
        <v>45296.864386574074</v>
      </c>
      <c r="J1395" s="1">
        <v>43099.941331018519</v>
      </c>
      <c r="K1395" cm="1">
        <f t="array" ref="K1395" xml:space="preserve"> sentimentCalc(C1395)</f>
        <v>0</v>
      </c>
      <c r="L1395" t="str" cm="1">
        <f t="array" ref="L1395" xml:space="preserve"> sentimentCategory(K1395)</f>
        <v>Neutral</v>
      </c>
    </row>
    <row r="1396" spans="1:12">
      <c r="A1396" t="s">
        <v>1150</v>
      </c>
      <c r="B1396" t="s">
        <v>3048</v>
      </c>
      <c r="C1396" t="str" cm="1">
        <f t="array" ref="C1396" xml:space="preserve"> CleanText(B1396)</f>
        <v>its so close to release</v>
      </c>
      <c r="D1396">
        <v>0</v>
      </c>
      <c r="E1396">
        <v>0</v>
      </c>
      <c r="F1396" t="s">
        <v>0</v>
      </c>
      <c r="G1396" t="str" cm="1">
        <f t="array" ref="G1396" xml:space="preserve"> FindCountryName(F1396)</f>
        <v>None</v>
      </c>
      <c r="H1396" s="1">
        <v>45296.848275462966</v>
      </c>
      <c r="I1396" s="1">
        <v>45296.848275462966</v>
      </c>
      <c r="J1396" s="1">
        <v>41408.795590277776</v>
      </c>
      <c r="K1396" cm="1">
        <f t="array" ref="K1396" xml:space="preserve"> sentimentCalc(C1396)</f>
        <v>0</v>
      </c>
      <c r="L1396" t="str" cm="1">
        <f t="array" ref="L1396" xml:space="preserve"> sentimentCategory(K1396)</f>
        <v>Neutral</v>
      </c>
    </row>
    <row r="1397" spans="1:12">
      <c r="A1397" t="s">
        <v>2349</v>
      </c>
      <c r="B1397" t="s">
        <v>3047</v>
      </c>
      <c r="C1397" t="str" cm="1">
        <f t="array" ref="C1397" xml:space="preserve"> CleanText(B1397)</f>
        <v>ya queda poco ya va siendo hora de un nuevo triler</v>
      </c>
      <c r="D1397">
        <v>0</v>
      </c>
      <c r="E1397">
        <v>0</v>
      </c>
      <c r="F1397" t="s">
        <v>0</v>
      </c>
      <c r="G1397" t="str" cm="1">
        <f t="array" ref="G1397" xml:space="preserve"> FindCountryName(F1397)</f>
        <v>None</v>
      </c>
      <c r="H1397" s="1">
        <v>45296.825289351851</v>
      </c>
      <c r="I1397" s="1">
        <v>45296.825289351851</v>
      </c>
      <c r="J1397" s="1">
        <v>42551.554247685184</v>
      </c>
      <c r="K1397" cm="1">
        <f t="array" ref="K1397" xml:space="preserve"> sentimentCalc(C1397)</f>
        <v>0</v>
      </c>
      <c r="L1397" t="str" cm="1">
        <f t="array" ref="L1397" xml:space="preserve"> sentimentCategory(K1397)</f>
        <v>Neutral</v>
      </c>
    </row>
    <row r="1398" spans="1:12">
      <c r="A1398" t="s">
        <v>175</v>
      </c>
      <c r="B1398" t="s">
        <v>3046</v>
      </c>
      <c r="C1398" t="str" cm="1">
        <f t="array" ref="C1398" xml:space="preserve"> CleanText(B1398)</f>
        <v>im super impressed with the scenery oomashu and crescent island look great and its awesome that they will make an appearance in the show despite them playing a small part of the actual story makes me excited to see what else they are going to fit into the show</v>
      </c>
      <c r="D1398">
        <v>845</v>
      </c>
      <c r="E1398">
        <v>21</v>
      </c>
      <c r="F1398" t="s">
        <v>0</v>
      </c>
      <c r="G1398" t="str" cm="1">
        <f t="array" ref="G1398" xml:space="preserve"> FindCountryName(F1398)</f>
        <v>None</v>
      </c>
      <c r="H1398" s="1">
        <v>45296.785104166665</v>
      </c>
      <c r="I1398" s="1">
        <v>45296.785104166665</v>
      </c>
      <c r="J1398" s="1">
        <v>41687.004745370374</v>
      </c>
      <c r="K1398" cm="1">
        <f t="array" ref="K1398" xml:space="preserve"> sentimentCalc(C1398)</f>
        <v>17</v>
      </c>
      <c r="L1398" t="str" cm="1">
        <f t="array" ref="L1398" xml:space="preserve"> sentimentCategory(K1398)</f>
        <v>Positive</v>
      </c>
    </row>
    <row r="1399" spans="1:12">
      <c r="A1399" t="s">
        <v>3045</v>
      </c>
      <c r="B1399" t="s">
        <v>3044</v>
      </c>
      <c r="C1399" t="str" cm="1">
        <f t="array" ref="C1399" xml:space="preserve"> CleanText(B1399)</f>
        <v>it all looks amazing now we just gotta see if they have actual and accurate) personalities and chemistry</v>
      </c>
      <c r="D1399">
        <v>1</v>
      </c>
      <c r="E1399">
        <v>0</v>
      </c>
      <c r="F1399" t="s">
        <v>0</v>
      </c>
      <c r="G1399" t="str" cm="1">
        <f t="array" ref="G1399" xml:space="preserve"> FindCountryName(F1399)</f>
        <v>None</v>
      </c>
      <c r="H1399" s="1">
        <v>45296.763749999998</v>
      </c>
      <c r="I1399" s="1">
        <v>45296.763749999998</v>
      </c>
      <c r="J1399" s="1">
        <v>44555.696342592593</v>
      </c>
      <c r="K1399" cm="1">
        <f t="array" ref="K1399" xml:space="preserve"> sentimentCalc(C1399)</f>
        <v>4</v>
      </c>
      <c r="L1399" t="str" cm="1">
        <f t="array" ref="L1399" xml:space="preserve"> sentimentCategory(K1399)</f>
        <v>Positive</v>
      </c>
    </row>
    <row r="1400" spans="1:12">
      <c r="A1400" t="s">
        <v>3043</v>
      </c>
      <c r="B1400" t="s">
        <v>3042</v>
      </c>
      <c r="C1400" t="str" cm="1">
        <f t="array" ref="C1400" xml:space="preserve"> CleanText(B1400)</f>
        <v>i mean it looks good but i dont trust netflix until ive seen the whole season i just want to feel like im 0 years old again watching and being amazed by the world of avatar for the first time please no woke crap or political narratives that era of tv is over put it to rest</v>
      </c>
      <c r="D1400">
        <v>2</v>
      </c>
      <c r="E1400">
        <v>2</v>
      </c>
      <c r="F1400" t="s">
        <v>0</v>
      </c>
      <c r="G1400" t="str" cm="1">
        <f t="array" ref="G1400" xml:space="preserve"> FindCountryName(F1400)</f>
        <v>None</v>
      </c>
      <c r="H1400" s="1">
        <v>45296.714826388888</v>
      </c>
      <c r="I1400" s="1">
        <v>45296.714826388888</v>
      </c>
      <c r="J1400" s="1">
        <v>44916.097361111111</v>
      </c>
      <c r="K1400" cm="1">
        <f t="array" ref="K1400" xml:space="preserve"> sentimentCalc(C1400)</f>
        <v>6</v>
      </c>
      <c r="L1400" t="str" cm="1">
        <f t="array" ref="L1400" xml:space="preserve"> sentimentCategory(K1400)</f>
        <v>Positive</v>
      </c>
    </row>
    <row r="1401" spans="1:12">
      <c r="A1401" t="s">
        <v>175</v>
      </c>
      <c r="B1401" t="s">
        <v>3041</v>
      </c>
      <c r="C1401" t="str" cm="1">
        <f t="array" ref="C1401" xml:space="preserve"> CleanText(B1401)</f>
        <v>agora sim n tem como dar errado</v>
      </c>
      <c r="D1401">
        <v>0</v>
      </c>
      <c r="E1401">
        <v>0</v>
      </c>
      <c r="F1401" t="s">
        <v>0</v>
      </c>
      <c r="G1401" t="str" cm="1">
        <f t="array" ref="G1401" xml:space="preserve"> FindCountryName(F1401)</f>
        <v>None</v>
      </c>
      <c r="H1401" s="1">
        <v>45296.711863425924</v>
      </c>
      <c r="I1401" s="1">
        <v>45296.711863425924</v>
      </c>
      <c r="J1401" s="1">
        <v>44121.131585648145</v>
      </c>
      <c r="K1401" cm="1">
        <f t="array" ref="K1401" xml:space="preserve"> sentimentCalc(C1401)</f>
        <v>0</v>
      </c>
      <c r="L1401" t="str" cm="1">
        <f t="array" ref="L1401" xml:space="preserve"> sentimentCategory(K1401)</f>
        <v>Neutral</v>
      </c>
    </row>
    <row r="1402" spans="1:12">
      <c r="A1402" t="s">
        <v>306</v>
      </c>
      <c r="B1402" t="s">
        <v>3040</v>
      </c>
      <c r="C1402" t="str" cm="1">
        <f t="array" ref="C1402" xml:space="preserve"> CleanText(B1402)</f>
        <v>super buena me encant</v>
      </c>
      <c r="D1402">
        <v>0</v>
      </c>
      <c r="E1402">
        <v>0</v>
      </c>
      <c r="F1402" t="s">
        <v>0</v>
      </c>
      <c r="G1402" t="str" cm="1">
        <f t="array" ref="G1402" xml:space="preserve"> FindCountryName(F1402)</f>
        <v>None</v>
      </c>
      <c r="H1402" s="1">
        <v>45296.709791666668</v>
      </c>
      <c r="I1402" s="1">
        <v>45296.709791666668</v>
      </c>
      <c r="J1402" s="1">
        <v>45296.709780092591</v>
      </c>
      <c r="K1402" cm="1">
        <f t="array" ref="K1402" xml:space="preserve"> sentimentCalc(C1402)</f>
        <v>3</v>
      </c>
      <c r="L1402" t="str" cm="1">
        <f t="array" ref="L1402" xml:space="preserve"> sentimentCategory(K1402)</f>
        <v>Positive</v>
      </c>
    </row>
    <row r="1403" spans="1:12">
      <c r="A1403" t="s">
        <v>2389</v>
      </c>
      <c r="B1403" t="s">
        <v>3039</v>
      </c>
      <c r="C1403" t="str" cm="1">
        <f t="array" ref="C1403" xml:space="preserve"> CleanText(B1403)</f>
        <v>agr vai</v>
      </c>
      <c r="D1403">
        <v>0</v>
      </c>
      <c r="E1403">
        <v>0</v>
      </c>
      <c r="F1403" t="s">
        <v>0</v>
      </c>
      <c r="G1403" t="str" cm="1">
        <f t="array" ref="G1403" xml:space="preserve"> FindCountryName(F1403)</f>
        <v>None</v>
      </c>
      <c r="H1403" s="1">
        <v>45296.654351851852</v>
      </c>
      <c r="I1403" s="1">
        <v>45296.654351851852</v>
      </c>
      <c r="J1403" s="1">
        <v>43012.701064814813</v>
      </c>
      <c r="K1403" cm="1">
        <f t="array" ref="K1403" xml:space="preserve"> sentimentCalc(C1403)</f>
        <v>0</v>
      </c>
      <c r="L1403" t="str" cm="1">
        <f t="array" ref="L1403" xml:space="preserve"> sentimentCategory(K1403)</f>
        <v>Neutral</v>
      </c>
    </row>
    <row r="1404" spans="1:12">
      <c r="A1404" t="s">
        <v>3038</v>
      </c>
      <c r="B1404" t="s">
        <v>3037</v>
      </c>
      <c r="C1404" t="str" cm="1">
        <f t="array" ref="C1404" xml:space="preserve"> CleanText(B1404)</f>
        <v>i cant wait for this doing it as a series is definitely the way to go rather than film so its a great thing they never attempted one to begin with</v>
      </c>
      <c r="D1404">
        <v>936</v>
      </c>
      <c r="E1404">
        <v>14</v>
      </c>
      <c r="F1404" t="s">
        <v>0</v>
      </c>
      <c r="G1404" t="str" cm="1">
        <f t="array" ref="G1404" xml:space="preserve"> FindCountryName(F1404)</f>
        <v>None</v>
      </c>
      <c r="H1404" s="1">
        <v>45296.644097222219</v>
      </c>
      <c r="I1404" s="1">
        <v>45296.644097222219</v>
      </c>
      <c r="J1404" s="1">
        <v>38870.374525462961</v>
      </c>
      <c r="K1404" cm="1">
        <f t="array" ref="K1404" xml:space="preserve"> sentimentCalc(C1404)</f>
        <v>3</v>
      </c>
      <c r="L1404" t="str" cm="1">
        <f t="array" ref="L1404" xml:space="preserve"> sentimentCategory(K1404)</f>
        <v>Positive</v>
      </c>
    </row>
    <row r="1405" spans="1:12">
      <c r="A1405" t="s">
        <v>263</v>
      </c>
      <c r="B1405" t="s">
        <v>3036</v>
      </c>
      <c r="C1405" t="str" cm="1">
        <f t="array" ref="C1405" xml:space="preserve"> CleanText(B1405)</f>
        <v>ill admit visually it looks good</v>
      </c>
      <c r="D1405">
        <v>2</v>
      </c>
      <c r="E1405">
        <v>0</v>
      </c>
      <c r="F1405" t="s">
        <v>0</v>
      </c>
      <c r="G1405" t="str" cm="1">
        <f t="array" ref="G1405" xml:space="preserve"> FindCountryName(F1405)</f>
        <v>None</v>
      </c>
      <c r="H1405" s="1">
        <v>45296.643368055556</v>
      </c>
      <c r="I1405" s="1">
        <v>45296.643368055556</v>
      </c>
      <c r="J1405" s="1">
        <v>40084.651516203703</v>
      </c>
      <c r="K1405" cm="1">
        <f t="array" ref="K1405" xml:space="preserve"> sentimentCalc(C1405)</f>
        <v>0</v>
      </c>
      <c r="L1405" t="str" cm="1">
        <f t="array" ref="L1405" xml:space="preserve"> sentimentCategory(K1405)</f>
        <v>Neutral</v>
      </c>
    </row>
    <row r="1406" spans="1:12">
      <c r="A1406" t="s">
        <v>483</v>
      </c>
      <c r="B1406" t="s">
        <v>3035</v>
      </c>
      <c r="C1406" t="str" cm="1">
        <f t="array" ref="C1406" xml:space="preserve"> CleanText(B1406)</f>
        <v>they shouldve showed us appas face the first liveaction appa looks like a diseased monkey i hope they managed to make appas face adorable in this version like the animated one</v>
      </c>
      <c r="D1406">
        <v>1</v>
      </c>
      <c r="E1406">
        <v>1</v>
      </c>
      <c r="F1406" t="s">
        <v>0</v>
      </c>
      <c r="G1406" t="str" cm="1">
        <f t="array" ref="G1406" xml:space="preserve"> FindCountryName(F1406)</f>
        <v>None</v>
      </c>
      <c r="H1406" s="1">
        <v>45296.642013888886</v>
      </c>
      <c r="I1406" s="1">
        <v>45296.642013888886</v>
      </c>
      <c r="J1406" s="1">
        <v>41582.830439814818</v>
      </c>
      <c r="K1406" cm="1">
        <f t="array" ref="K1406" xml:space="preserve"> sentimentCalc(C1406)</f>
        <v>9</v>
      </c>
      <c r="L1406" t="str" cm="1">
        <f t="array" ref="L1406" xml:space="preserve"> sentimentCategory(K1406)</f>
        <v>Positive</v>
      </c>
    </row>
    <row r="1407" spans="1:12">
      <c r="A1407" t="s">
        <v>2639</v>
      </c>
      <c r="B1407" t="s">
        <v>3034</v>
      </c>
      <c r="C1407" t="str" cm="1">
        <f t="array" ref="C1407" xml:space="preserve"> CleanText(B1407)</f>
        <v>i hope ong and souka are good in this version too</v>
      </c>
      <c r="D1407">
        <v>1</v>
      </c>
      <c r="E1407">
        <v>2</v>
      </c>
      <c r="F1407" t="s">
        <v>0</v>
      </c>
      <c r="G1407" t="str" cm="1">
        <f t="array" ref="G1407" xml:space="preserve"> FindCountryName(F1407)</f>
        <v>None</v>
      </c>
      <c r="H1407" s="1">
        <v>45296.590624999997</v>
      </c>
      <c r="I1407" s="1">
        <v>45296.590624999997</v>
      </c>
      <c r="J1407" s="1">
        <v>44190.560960648145</v>
      </c>
      <c r="K1407" cm="1">
        <f t="array" ref="K1407" xml:space="preserve"> sentimentCalc(C1407)</f>
        <v>5</v>
      </c>
      <c r="L1407" t="str" cm="1">
        <f t="array" ref="L1407" xml:space="preserve"> sentimentCategory(K1407)</f>
        <v>Positive</v>
      </c>
    </row>
    <row r="1408" spans="1:12">
      <c r="A1408" t="s">
        <v>779</v>
      </c>
      <c r="B1408" t="s">
        <v>3033</v>
      </c>
      <c r="C1408" t="str" cm="1">
        <f t="array" ref="C1408" xml:space="preserve"> CleanText(B1408)</f>
        <v>another adaptation to murder</v>
      </c>
      <c r="D1408">
        <v>2</v>
      </c>
      <c r="E1408">
        <v>1</v>
      </c>
      <c r="F1408" t="s">
        <v>0</v>
      </c>
      <c r="G1408" t="str" cm="1">
        <f t="array" ref="G1408" xml:space="preserve"> FindCountryName(F1408)</f>
        <v>None</v>
      </c>
      <c r="H1408" s="1">
        <v>45296.581759259258</v>
      </c>
      <c r="I1408" s="1">
        <v>45296.581759259258</v>
      </c>
      <c r="J1408" s="1">
        <v>42681.957465277781</v>
      </c>
      <c r="K1408" cm="1">
        <f t="array" ref="K1408" xml:space="preserve"> sentimentCalc(C1408)</f>
        <v>-2</v>
      </c>
      <c r="L1408" t="str" cm="1">
        <f t="array" ref="L1408" xml:space="preserve"> sentimentCategory(K1408)</f>
        <v>Negative</v>
      </c>
    </row>
    <row r="1409" spans="1:12">
      <c r="A1409" t="s">
        <v>257</v>
      </c>
      <c r="B1409" t="s">
        <v>3032</v>
      </c>
      <c r="C1409" t="str" cm="1">
        <f t="array" ref="C1409" xml:space="preserve"> CleanText(B1409)</f>
        <v>the thing i really want to see in the trailers of any atla adaption is humor where is the humor thats what 0 of the tv show is about the action looked cool but i want to see sokka crack a joke or maybe have the characters smile more than just once in the trailerim worried this adaption will be too serious but well see</v>
      </c>
      <c r="D1409">
        <v>0</v>
      </c>
      <c r="E1409">
        <v>2</v>
      </c>
      <c r="F1409" t="s">
        <v>0</v>
      </c>
      <c r="G1409" t="str" cm="1">
        <f t="array" ref="G1409" xml:space="preserve"> FindCountryName(F1409)</f>
        <v>None</v>
      </c>
      <c r="H1409" s="1">
        <v>45296.517395833333</v>
      </c>
      <c r="I1409" s="1">
        <v>45296.517395833333</v>
      </c>
      <c r="J1409" s="1">
        <v>44258.017789351848</v>
      </c>
      <c r="K1409" cm="1">
        <f t="array" ref="K1409" xml:space="preserve"> sentimentCalc(C1409)</f>
        <v>8</v>
      </c>
      <c r="L1409" t="str" cm="1">
        <f t="array" ref="L1409" xml:space="preserve"> sentimentCategory(K1409)</f>
        <v>Positive</v>
      </c>
    </row>
    <row r="1410" spans="1:12">
      <c r="A1410" t="s">
        <v>1389</v>
      </c>
      <c r="B1410" t="s">
        <v>3031</v>
      </c>
      <c r="C1410" t="str" cm="1">
        <f t="array" ref="C1410" xml:space="preserve"> CleanText(B1410)</f>
        <v>i really curious about live action zuko will say to his uncle on the ship i dont need any calming tea i need to capture the avatar</v>
      </c>
      <c r="D1410">
        <v>0</v>
      </c>
      <c r="E1410">
        <v>0</v>
      </c>
      <c r="F1410" t="s">
        <v>0</v>
      </c>
      <c r="G1410" t="str" cm="1">
        <f t="array" ref="G1410" xml:space="preserve"> FindCountryName(F1410)</f>
        <v>None</v>
      </c>
      <c r="H1410" s="1">
        <v>45296.495381944442</v>
      </c>
      <c r="I1410" s="1">
        <v>45296.495381944442</v>
      </c>
      <c r="J1410" s="1">
        <v>44923.187719907408</v>
      </c>
      <c r="K1410" cm="1">
        <f t="array" ref="K1410" xml:space="preserve"> sentimentCalc(C1410)</f>
        <v>3</v>
      </c>
      <c r="L1410" t="str" cm="1">
        <f t="array" ref="L1410" xml:space="preserve"> sentimentCategory(K1410)</f>
        <v>Positive</v>
      </c>
    </row>
    <row r="1411" spans="1:12">
      <c r="A1411" t="s">
        <v>3030</v>
      </c>
      <c r="B1411" t="s">
        <v>3029</v>
      </c>
      <c r="C1411" t="str" cm="1">
        <f t="array" ref="C1411" xml:space="preserve"> CleanText(B1411)</f>
        <v>azula is slaying</v>
      </c>
      <c r="D1411">
        <v>1</v>
      </c>
      <c r="E1411">
        <v>0</v>
      </c>
      <c r="F1411" t="s">
        <v>0</v>
      </c>
      <c r="G1411" t="str" cm="1">
        <f t="array" ref="G1411" xml:space="preserve"> FindCountryName(F1411)</f>
        <v>None</v>
      </c>
      <c r="H1411" s="1">
        <v>45296.466203703705</v>
      </c>
      <c r="I1411" s="1">
        <v>45296.466203703705</v>
      </c>
      <c r="J1411" s="1">
        <v>40683.543437499997</v>
      </c>
      <c r="K1411" cm="1">
        <f t="array" ref="K1411" xml:space="preserve"> sentimentCalc(C1411)</f>
        <v>0</v>
      </c>
      <c r="L1411" t="str" cm="1">
        <f t="array" ref="L1411" xml:space="preserve"> sentimentCategory(K1411)</f>
        <v>Neutral</v>
      </c>
    </row>
    <row r="1412" spans="1:12">
      <c r="A1412" t="s">
        <v>2044</v>
      </c>
      <c r="B1412" t="s">
        <v>3028</v>
      </c>
      <c r="C1412" t="str" cm="1">
        <f t="array" ref="C1412" xml:space="preserve"> CleanText(B1412)</f>
        <v>okay in 1 february ill active netflix account _xDE05_</v>
      </c>
      <c r="D1412">
        <v>0</v>
      </c>
      <c r="E1412">
        <v>0</v>
      </c>
      <c r="F1412" t="s">
        <v>1523</v>
      </c>
      <c r="G1412" t="str" cm="1">
        <f t="array" ref="G1412" xml:space="preserve"> FindCountryName(F1412)</f>
        <v>Turkey</v>
      </c>
      <c r="H1412" s="1">
        <v>45296.454224537039</v>
      </c>
      <c r="I1412" s="1">
        <v>45296.454224537039</v>
      </c>
      <c r="J1412" s="1">
        <v>42169.538425925923</v>
      </c>
      <c r="K1412" cm="1">
        <f t="array" ref="K1412" xml:space="preserve"> sentimentCalc(C1412)</f>
        <v>-1</v>
      </c>
      <c r="L1412" t="str" cm="1">
        <f t="array" ref="L1412" xml:space="preserve"> sentimentCategory(K1412)</f>
        <v>Negative</v>
      </c>
    </row>
    <row r="1413" spans="1:12">
      <c r="A1413" t="s">
        <v>1755</v>
      </c>
      <c r="B1413" t="s">
        <v>3027</v>
      </c>
      <c r="C1413" t="str" cm="1">
        <f t="array" ref="C1413" xml:space="preserve"> CleanText(B1413)</f>
        <v>yess sorry m night  but that movie was a terrible translation of the series</v>
      </c>
      <c r="D1413">
        <v>0</v>
      </c>
      <c r="E1413">
        <v>0</v>
      </c>
      <c r="F1413" t="s">
        <v>0</v>
      </c>
      <c r="G1413" t="str" cm="1">
        <f t="array" ref="G1413" xml:space="preserve"> FindCountryName(F1413)</f>
        <v>None</v>
      </c>
      <c r="H1413" s="1">
        <v>45296.441736111112</v>
      </c>
      <c r="I1413" s="1">
        <v>45296.441736111112</v>
      </c>
      <c r="J1413" s="1">
        <v>40825.752175925925</v>
      </c>
      <c r="K1413" cm="1">
        <f t="array" ref="K1413" xml:space="preserve"> sentimentCalc(C1413)</f>
        <v>-4</v>
      </c>
      <c r="L1413" t="str" cm="1">
        <f t="array" ref="L1413" xml:space="preserve"> sentimentCategory(K1413)</f>
        <v>Negative</v>
      </c>
    </row>
    <row r="1414" spans="1:12">
      <c r="A1414" t="s">
        <v>799</v>
      </c>
      <c r="B1414" t="s">
        <v>3026</v>
      </c>
      <c r="C1414" t="str" cm="1">
        <f t="array" ref="C1414" xml:space="preserve"> CleanText(B1414)</f>
        <v>im very excited to see this</v>
      </c>
      <c r="D1414">
        <v>0</v>
      </c>
      <c r="E1414">
        <v>0</v>
      </c>
      <c r="F1414" t="s">
        <v>0</v>
      </c>
      <c r="G1414" t="str" cm="1">
        <f t="array" ref="G1414" xml:space="preserve"> FindCountryName(F1414)</f>
        <v>None</v>
      </c>
      <c r="H1414" s="1">
        <v>45296.392708333333</v>
      </c>
      <c r="I1414" s="1">
        <v>45296.392708333333</v>
      </c>
      <c r="J1414" s="1">
        <v>42580.350219907406</v>
      </c>
      <c r="K1414" cm="1">
        <f t="array" ref="K1414" xml:space="preserve"> sentimentCalc(C1414)</f>
        <v>3</v>
      </c>
      <c r="L1414" t="str" cm="1">
        <f t="array" ref="L1414" xml:space="preserve"> sentimentCategory(K1414)</f>
        <v>Positive</v>
      </c>
    </row>
    <row r="1415" spans="1:12">
      <c r="A1415" t="s">
        <v>938</v>
      </c>
      <c r="B1415" t="s">
        <v>3025</v>
      </c>
      <c r="C1415" t="str" cm="1">
        <f t="array" ref="C1415" xml:space="preserve"> CleanText(B1415)</f>
        <v>you may not have noticed but avatar the last airbender is considered one of the best animated films in history</v>
      </c>
      <c r="D1415">
        <v>139</v>
      </c>
      <c r="E1415">
        <v>4</v>
      </c>
      <c r="F1415" t="s">
        <v>0</v>
      </c>
      <c r="G1415" t="str" cm="1">
        <f t="array" ref="G1415" xml:space="preserve"> FindCountryName(F1415)</f>
        <v>None</v>
      </c>
      <c r="H1415" s="1">
        <v>45296.389421296299</v>
      </c>
      <c r="I1415" s="1">
        <v>45296.389421296299</v>
      </c>
      <c r="J1415" s="1">
        <v>44397.977048611108</v>
      </c>
      <c r="K1415" cm="1">
        <f t="array" ref="K1415" xml:space="preserve"> sentimentCalc(C1415)</f>
        <v>3</v>
      </c>
      <c r="L1415" t="str" cm="1">
        <f t="array" ref="L1415" xml:space="preserve"> sentimentCategory(K1415)</f>
        <v>Positive</v>
      </c>
    </row>
    <row r="1416" spans="1:12">
      <c r="A1416" t="s">
        <v>3024</v>
      </c>
      <c r="B1416" t="s">
        <v>3023</v>
      </c>
      <c r="C1416" t="str" cm="1">
        <f t="array" ref="C1416" xml:space="preserve"> CleanText(B1416)</f>
        <v>i hate the person who chose the cast for this movie</v>
      </c>
      <c r="D1416">
        <v>0</v>
      </c>
      <c r="E1416">
        <v>1</v>
      </c>
      <c r="F1416" t="s">
        <v>0</v>
      </c>
      <c r="G1416" t="str" cm="1">
        <f t="array" ref="G1416" xml:space="preserve"> FindCountryName(F1416)</f>
        <v>None</v>
      </c>
      <c r="H1416" s="1">
        <v>45296.38144675926</v>
      </c>
      <c r="I1416" s="1">
        <v>45296.38144675926</v>
      </c>
      <c r="J1416" s="1">
        <v>44297.147002314814</v>
      </c>
      <c r="K1416" cm="1">
        <f t="array" ref="K1416" xml:space="preserve"> sentimentCalc(C1416)</f>
        <v>-3</v>
      </c>
      <c r="L1416" t="str" cm="1">
        <f t="array" ref="L1416" xml:space="preserve"> sentimentCategory(K1416)</f>
        <v>Negative</v>
      </c>
    </row>
    <row r="1417" spans="1:12">
      <c r="A1417" t="s">
        <v>291</v>
      </c>
      <c r="B1417" t="s">
        <v>3022</v>
      </c>
      <c r="C1417" t="str" cm="1">
        <f t="array" ref="C1417" xml:space="preserve"> CleanText(B1417)</f>
        <v>beendim filmi</v>
      </c>
      <c r="D1417">
        <v>0</v>
      </c>
      <c r="E1417">
        <v>2</v>
      </c>
      <c r="F1417" t="s">
        <v>0</v>
      </c>
      <c r="G1417" t="str" cm="1">
        <f t="array" ref="G1417" xml:space="preserve"> FindCountryName(F1417)</f>
        <v>None</v>
      </c>
      <c r="H1417" s="1">
        <v>45296.346238425926</v>
      </c>
      <c r="I1417" s="1">
        <v>45296.346238425926</v>
      </c>
      <c r="J1417" s="1">
        <v>43633.643449074072</v>
      </c>
      <c r="K1417" cm="1">
        <f t="array" ref="K1417" xml:space="preserve"> sentimentCalc(C1417)</f>
        <v>0</v>
      </c>
      <c r="L1417" t="str" cm="1">
        <f t="array" ref="L1417" xml:space="preserve"> sentimentCategory(K1417)</f>
        <v>Neutral</v>
      </c>
    </row>
    <row r="1418" spans="1:12">
      <c r="A1418" t="s">
        <v>3021</v>
      </c>
      <c r="B1418" t="s">
        <v>3020</v>
      </c>
      <c r="C1418" t="str" cm="1">
        <f t="array" ref="C1418" xml:space="preserve"> CleanText(B1418)</f>
        <v>so they had to make everyone in the series ugly asians i mean katara is not sepouse to be asian</v>
      </c>
      <c r="D1418">
        <v>0</v>
      </c>
      <c r="E1418">
        <v>2</v>
      </c>
      <c r="F1418" t="s">
        <v>0</v>
      </c>
      <c r="G1418" t="str" cm="1">
        <f t="array" ref="G1418" xml:space="preserve"> FindCountryName(F1418)</f>
        <v>None</v>
      </c>
      <c r="H1418" s="1">
        <v>45296.335266203707</v>
      </c>
      <c r="I1418" s="1">
        <v>45296.33792824074</v>
      </c>
      <c r="J1418" s="1">
        <v>41000.76122685185</v>
      </c>
      <c r="K1418" cm="1">
        <f t="array" ref="K1418" xml:space="preserve"> sentimentCalc(C1418)</f>
        <v>-3</v>
      </c>
      <c r="L1418" t="str" cm="1">
        <f t="array" ref="L1418" xml:space="preserve"> sentimentCategory(K1418)</f>
        <v>Negative</v>
      </c>
    </row>
    <row r="1419" spans="1:12">
      <c r="A1419" t="s">
        <v>3019</v>
      </c>
      <c r="B1419" t="s">
        <v>3018</v>
      </c>
      <c r="C1419" t="str" cm="1">
        <f t="array" ref="C1419" xml:space="preserve"> CleanText(B1419)</f>
        <v>is absolutely perfect</v>
      </c>
      <c r="D1419">
        <v>3</v>
      </c>
      <c r="E1419">
        <v>1</v>
      </c>
      <c r="F1419" t="s">
        <v>0</v>
      </c>
      <c r="G1419" t="str" cm="1">
        <f t="array" ref="G1419" xml:space="preserve"> FindCountryName(F1419)</f>
        <v>None</v>
      </c>
      <c r="H1419" s="1">
        <v>45296.279479166667</v>
      </c>
      <c r="I1419" s="1">
        <v>45296.279479166667</v>
      </c>
      <c r="J1419" s="1">
        <v>42740.818958333337</v>
      </c>
      <c r="K1419" cm="1">
        <f t="array" ref="K1419" xml:space="preserve"> sentimentCalc(C1419)</f>
        <v>3</v>
      </c>
      <c r="L1419" t="str" cm="1">
        <f t="array" ref="L1419" xml:space="preserve"> sentimentCategory(K1419)</f>
        <v>Positive</v>
      </c>
    </row>
    <row r="1420" spans="1:12">
      <c r="A1420" t="s">
        <v>460</v>
      </c>
      <c r="B1420" t="s">
        <v>3017</v>
      </c>
      <c r="C1420" t="str" cm="1">
        <f t="array" ref="C1420" xml:space="preserve"> CleanText(B1420)</f>
        <v>old airbender was better</v>
      </c>
      <c r="D1420">
        <v>1</v>
      </c>
      <c r="E1420">
        <v>0</v>
      </c>
      <c r="F1420" t="s">
        <v>0</v>
      </c>
      <c r="G1420" t="str" cm="1">
        <f t="array" ref="G1420" xml:space="preserve"> FindCountryName(F1420)</f>
        <v>None</v>
      </c>
      <c r="H1420" s="1">
        <v>45296.277129629627</v>
      </c>
      <c r="I1420" s="1">
        <v>45296.277129629627</v>
      </c>
      <c r="J1420" s="1">
        <v>41410.416041666664</v>
      </c>
      <c r="K1420" cm="1">
        <f t="array" ref="K1420" xml:space="preserve"> sentimentCalc(C1420)</f>
        <v>2</v>
      </c>
      <c r="L1420" t="str" cm="1">
        <f t="array" ref="L1420" xml:space="preserve"> sentimentCategory(K1420)</f>
        <v>Positive</v>
      </c>
    </row>
    <row r="1421" spans="1:12">
      <c r="A1421" t="s">
        <v>3016</v>
      </c>
      <c r="B1421" t="s">
        <v>3015</v>
      </c>
      <c r="C1421" t="str" cm="1">
        <f t="array" ref="C1421" xml:space="preserve"> CleanText(B1421)</f>
        <v>sorry shymalan but im gonna dig this one</v>
      </c>
      <c r="D1421">
        <v>1</v>
      </c>
      <c r="E1421">
        <v>0</v>
      </c>
      <c r="F1421" t="s">
        <v>0</v>
      </c>
      <c r="G1421" t="str" cm="1">
        <f t="array" ref="G1421" xml:space="preserve"> FindCountryName(F1421)</f>
        <v>None</v>
      </c>
      <c r="H1421" s="1">
        <v>45296.230810185189</v>
      </c>
      <c r="I1421" s="1">
        <v>45296.230810185189</v>
      </c>
      <c r="J1421" s="1">
        <v>40046.347627314812</v>
      </c>
      <c r="K1421" cm="1">
        <f t="array" ref="K1421" xml:space="preserve"> sentimentCalc(C1421)</f>
        <v>-1</v>
      </c>
      <c r="L1421" t="str" cm="1">
        <f t="array" ref="L1421" xml:space="preserve"> sentimentCategory(K1421)</f>
        <v>Negative</v>
      </c>
    </row>
    <row r="1422" spans="1:12">
      <c r="A1422" t="s">
        <v>349</v>
      </c>
      <c r="B1422" t="s">
        <v>3014</v>
      </c>
      <c r="C1422" t="str" cm="1">
        <f t="array" ref="C1422" xml:space="preserve"> CleanText(B1422)</f>
        <v>looks promising</v>
      </c>
      <c r="D1422">
        <v>1</v>
      </c>
      <c r="E1422">
        <v>0</v>
      </c>
      <c r="F1422" t="s">
        <v>0</v>
      </c>
      <c r="G1422" t="str" cm="1">
        <f t="array" ref="G1422" xml:space="preserve"> FindCountryName(F1422)</f>
        <v>None</v>
      </c>
      <c r="H1422" s="1">
        <v>45296.18109953704</v>
      </c>
      <c r="I1422" s="1">
        <v>45296.18109953704</v>
      </c>
      <c r="J1422" s="1">
        <v>41568.39702546296</v>
      </c>
      <c r="K1422" cm="1">
        <f t="array" ref="K1422" xml:space="preserve"> sentimentCalc(C1422)</f>
        <v>0</v>
      </c>
      <c r="L1422" t="str" cm="1">
        <f t="array" ref="L1422" xml:space="preserve"> sentimentCategory(K1422)</f>
        <v>Neutral</v>
      </c>
    </row>
    <row r="1423" spans="1:12">
      <c r="A1423" t="s">
        <v>251</v>
      </c>
      <c r="B1423" t="s">
        <v>3013</v>
      </c>
      <c r="C1423" t="str" cm="1">
        <f t="array" ref="C1423" xml:space="preserve"> CleanText(B1423)</f>
        <v>there is nothing in this trailer that makes me think i should watch this i dont like the visuals the music is okay i guess and the casting seems decent but those actors will never be as great as the original characters so whats the point story will be the same as far as i know so why not watching the original i dont see how this brings anything new or exciting to the table</v>
      </c>
      <c r="D1423">
        <v>0</v>
      </c>
      <c r="E1423">
        <v>4</v>
      </c>
      <c r="F1423" t="s">
        <v>0</v>
      </c>
      <c r="G1423" t="str" cm="1">
        <f t="array" ref="G1423" xml:space="preserve"> FindCountryName(F1423)</f>
        <v>None</v>
      </c>
      <c r="H1423" s="1">
        <v>45296.125879629632</v>
      </c>
      <c r="I1423" s="1">
        <v>45296.125879629632</v>
      </c>
      <c r="J1423" s="1">
        <v>43454.662905092591</v>
      </c>
      <c r="K1423" cm="1">
        <f t="array" ref="K1423" xml:space="preserve"> sentimentCalc(C1423)</f>
        <v>8</v>
      </c>
      <c r="L1423" t="str" cm="1">
        <f t="array" ref="L1423" xml:space="preserve"> sentimentCategory(K1423)</f>
        <v>Positive</v>
      </c>
    </row>
    <row r="1424" spans="1:12">
      <c r="A1424" t="s">
        <v>212</v>
      </c>
      <c r="B1424" t="s">
        <v>3012</v>
      </c>
      <c r="C1424" t="str" cm="1">
        <f t="array" ref="C1424" xml:space="preserve"> CleanText(B1424)</f>
        <v>why didnt they do a modern day one or genjis story or a kai spin off</v>
      </c>
      <c r="D1424">
        <v>0</v>
      </c>
      <c r="E1424">
        <v>1</v>
      </c>
      <c r="F1424" t="s">
        <v>0</v>
      </c>
      <c r="G1424" t="str" cm="1">
        <f t="array" ref="G1424" xml:space="preserve"> FindCountryName(F1424)</f>
        <v>None</v>
      </c>
      <c r="H1424" s="1">
        <v>45296.100648148145</v>
      </c>
      <c r="I1424" s="1">
        <v>45296.100648148145</v>
      </c>
      <c r="J1424" s="1">
        <v>40833.816886574074</v>
      </c>
      <c r="K1424" cm="1">
        <f t="array" ref="K1424" xml:space="preserve"> sentimentCalc(C1424)</f>
        <v>0</v>
      </c>
      <c r="L1424" t="str" cm="1">
        <f t="array" ref="L1424" xml:space="preserve"> sentimentCategory(K1424)</f>
        <v>Neutral</v>
      </c>
    </row>
    <row r="1425" spans="1:12">
      <c r="A1425" t="s">
        <v>267</v>
      </c>
      <c r="B1425" t="s">
        <v>3011</v>
      </c>
      <c r="C1425" t="str" cm="1">
        <f t="array" ref="C1425" xml:space="preserve"> CleanText(B1425)</f>
        <v>yessssss ive been waiting for yearssss</v>
      </c>
      <c r="D1425">
        <v>1</v>
      </c>
      <c r="E1425">
        <v>0</v>
      </c>
      <c r="F1425" t="s">
        <v>0</v>
      </c>
      <c r="G1425" t="str" cm="1">
        <f t="array" ref="G1425" xml:space="preserve"> FindCountryName(F1425)</f>
        <v>None</v>
      </c>
      <c r="H1425" s="1">
        <v>45296.08834490741</v>
      </c>
      <c r="I1425" s="1">
        <v>45296.08834490741</v>
      </c>
      <c r="J1425" s="1">
        <v>44530.912534722222</v>
      </c>
      <c r="K1425" cm="1">
        <f t="array" ref="K1425" xml:space="preserve"> sentimentCalc(C1425)</f>
        <v>0</v>
      </c>
      <c r="L1425" t="str" cm="1">
        <f t="array" ref="L1425" xml:space="preserve"> sentimentCategory(K1425)</f>
        <v>Neutral</v>
      </c>
    </row>
    <row r="1426" spans="1:12">
      <c r="A1426" t="s">
        <v>566</v>
      </c>
      <c r="B1426" t="s">
        <v>3010</v>
      </c>
      <c r="C1426" t="str" cm="1">
        <f t="array" ref="C1426" xml:space="preserve"> CleanText(B1426)</f>
        <v>everyones frothing while i sit here knowing ill never watch it and hold my boxed set of the original while i rock back and forth calmly in my rocking chair while this hype train rides on past success</v>
      </c>
      <c r="D1426">
        <v>0</v>
      </c>
      <c r="E1426">
        <v>2</v>
      </c>
      <c r="F1426" t="s">
        <v>0</v>
      </c>
      <c r="G1426" t="str" cm="1">
        <f t="array" ref="G1426" xml:space="preserve"> FindCountryName(F1426)</f>
        <v>None</v>
      </c>
      <c r="H1426" s="1">
        <v>45296.078159722223</v>
      </c>
      <c r="I1426" s="1">
        <v>45296.078159722223</v>
      </c>
      <c r="J1426" s="1">
        <v>44789.074560185189</v>
      </c>
      <c r="K1426" cm="1">
        <f t="array" ref="K1426" xml:space="preserve"> sentimentCalc(C1426)</f>
        <v>0</v>
      </c>
      <c r="L1426" t="str" cm="1">
        <f t="array" ref="L1426" xml:space="preserve"> sentimentCategory(K1426)</f>
        <v>Neutral</v>
      </c>
    </row>
    <row r="1427" spans="1:12">
      <c r="A1427" t="s">
        <v>3009</v>
      </c>
      <c r="B1427">
        <v>1</v>
      </c>
      <c r="C1427" t="str" cm="1">
        <f t="array" ref="C1427" xml:space="preserve"> CleanText(B1427)</f>
        <v/>
      </c>
      <c r="D1427">
        <v>0</v>
      </c>
      <c r="E1427" t="s">
        <v>0</v>
      </c>
      <c r="F1427" s="2">
        <v>45295.951747685183</v>
      </c>
      <c r="G1427" t="str" cm="1">
        <f t="array" ref="G1427" xml:space="preserve"> FindCountryName(F1427)</f>
        <v>ERROR</v>
      </c>
      <c r="H1427" s="1">
        <v>45295.951747685183</v>
      </c>
      <c r="I1427" s="1">
        <v>41723.924375000002</v>
      </c>
      <c r="J1427" s="1"/>
      <c r="K1427" cm="1">
        <f t="array" ref="K1427" xml:space="preserve"> sentimentCalc(C1427)</f>
        <v>0</v>
      </c>
      <c r="L1427" t="str" cm="1">
        <f t="array" ref="L1427" xml:space="preserve"> sentimentCategory(K1427)</f>
        <v>Neutral</v>
      </c>
    </row>
    <row r="1428" spans="1:12">
      <c r="A1428" t="s">
        <v>508</v>
      </c>
      <c r="B1428" t="s">
        <v>3008</v>
      </c>
      <c r="C1428" t="str" cm="1">
        <f t="array" ref="C1428" xml:space="preserve"> CleanText(B1428)</f>
        <v>this genuinely looks good im very excited</v>
      </c>
      <c r="D1428">
        <v>1</v>
      </c>
      <c r="E1428">
        <v>0</v>
      </c>
      <c r="F1428" t="s">
        <v>0</v>
      </c>
      <c r="G1428" t="str" cm="1">
        <f t="array" ref="G1428" xml:space="preserve"> FindCountryName(F1428)</f>
        <v>None</v>
      </c>
      <c r="H1428" s="1">
        <v>45295.948587962965</v>
      </c>
      <c r="I1428" s="1">
        <v>45295.948587962965</v>
      </c>
      <c r="J1428" s="1">
        <v>43019.82267361111</v>
      </c>
      <c r="K1428" cm="1">
        <f t="array" ref="K1428" xml:space="preserve"> sentimentCalc(C1428)</f>
        <v>6</v>
      </c>
      <c r="L1428" t="str" cm="1">
        <f t="array" ref="L1428" xml:space="preserve"> sentimentCategory(K1428)</f>
        <v>Positive</v>
      </c>
    </row>
    <row r="1429" spans="1:12">
      <c r="A1429" t="s">
        <v>2842</v>
      </c>
      <c r="B1429" t="s">
        <v>3007</v>
      </c>
      <c r="C1429" t="str" cm="1">
        <f t="array" ref="C1429" xml:space="preserve"> CleanText(B1429)</f>
        <v>some things are better left untouched</v>
      </c>
      <c r="D1429">
        <v>1</v>
      </c>
      <c r="E1429">
        <v>0</v>
      </c>
      <c r="F1429" t="s">
        <v>0</v>
      </c>
      <c r="G1429" t="str" cm="1">
        <f t="array" ref="G1429" xml:space="preserve"> FindCountryName(F1429)</f>
        <v>None</v>
      </c>
      <c r="H1429" s="1">
        <v>45295.938518518517</v>
      </c>
      <c r="I1429" s="1">
        <v>45295.938518518517</v>
      </c>
      <c r="J1429" s="1">
        <v>45295.93849537037</v>
      </c>
      <c r="K1429" cm="1">
        <f t="array" ref="K1429" xml:space="preserve"> sentimentCalc(C1429)</f>
        <v>2</v>
      </c>
      <c r="L1429" t="str" cm="1">
        <f t="array" ref="L1429" xml:space="preserve"> sentimentCategory(K1429)</f>
        <v>Positive</v>
      </c>
    </row>
    <row r="1430" spans="1:12">
      <c r="A1430" t="s">
        <v>1473</v>
      </c>
      <c r="B1430" t="s">
        <v>3006</v>
      </c>
      <c r="C1430" t="str" cm="1">
        <f t="array" ref="C1430" xml:space="preserve"> CleanText(B1430)</f>
        <v>ok it looks promising i really hope they are not gonna screw up with a story</v>
      </c>
      <c r="D1430">
        <v>1</v>
      </c>
      <c r="E1430">
        <v>1</v>
      </c>
      <c r="F1430" t="s">
        <v>0</v>
      </c>
      <c r="G1430" t="str" cm="1">
        <f t="array" ref="G1430" xml:space="preserve"> FindCountryName(F1430)</f>
        <v>None</v>
      </c>
      <c r="H1430" s="1">
        <v>45295.888842592591</v>
      </c>
      <c r="I1430" s="1">
        <v>45295.888842592591</v>
      </c>
      <c r="J1430" s="1">
        <v>40993.732442129629</v>
      </c>
      <c r="K1430" cm="1">
        <f t="array" ref="K1430" xml:space="preserve"> sentimentCalc(C1430)</f>
        <v>2</v>
      </c>
      <c r="L1430" t="str" cm="1">
        <f t="array" ref="L1430" xml:space="preserve"> sentimentCategory(K1430)</f>
        <v>Positive</v>
      </c>
    </row>
    <row r="1431" spans="1:12">
      <c r="A1431" t="s">
        <v>960</v>
      </c>
      <c r="B1431" t="s">
        <v>3005</v>
      </c>
      <c r="C1431" t="str" cm="1">
        <f t="array" ref="C1431" xml:space="preserve"> CleanText(B1431)</f>
        <v>i came to conclusion that people on netflix will watch anything they are stuffed in their throats at this point</v>
      </c>
      <c r="D1431">
        <v>1</v>
      </c>
      <c r="E1431">
        <v>1</v>
      </c>
      <c r="F1431" t="s">
        <v>0</v>
      </c>
      <c r="G1431" t="str" cm="1">
        <f t="array" ref="G1431" xml:space="preserve"> FindCountryName(F1431)</f>
        <v>None</v>
      </c>
      <c r="H1431" s="1">
        <v>45295.833391203705</v>
      </c>
      <c r="I1431" s="1">
        <v>45295.833391203705</v>
      </c>
      <c r="J1431" s="1">
        <v>44134.618055555555</v>
      </c>
      <c r="K1431" cm="1">
        <f t="array" ref="K1431" xml:space="preserve"> sentimentCalc(C1431)</f>
        <v>0</v>
      </c>
      <c r="L1431" t="str" cm="1">
        <f t="array" ref="L1431" xml:space="preserve"> sentimentCategory(K1431)</f>
        <v>Neutral</v>
      </c>
    </row>
    <row r="1432" spans="1:12">
      <c r="A1432" t="s">
        <v>3004</v>
      </c>
      <c r="B1432" t="s">
        <v>3003</v>
      </c>
      <c r="C1432" t="str" cm="1">
        <f t="array" ref="C1432" xml:space="preserve"> CleanText(B1432)</f>
        <v>i hope it goes as far as korra</v>
      </c>
      <c r="D1432">
        <v>0</v>
      </c>
      <c r="E1432">
        <v>0</v>
      </c>
      <c r="F1432" t="s">
        <v>19</v>
      </c>
      <c r="G1432" t="str" cm="1">
        <f t="array" ref="G1432" xml:space="preserve"> FindCountryName(F1432)</f>
        <v>United States of America (the)</v>
      </c>
      <c r="H1432" s="1">
        <v>45295.821111111109</v>
      </c>
      <c r="I1432" s="1">
        <v>45295.821111111109</v>
      </c>
      <c r="J1432" s="1">
        <v>42043.012928240743</v>
      </c>
      <c r="K1432" cm="1">
        <f t="array" ref="K1432" xml:space="preserve"> sentimentCalc(C1432)</f>
        <v>2</v>
      </c>
      <c r="L1432" t="str" cm="1">
        <f t="array" ref="L1432" xml:space="preserve"> sentimentCategory(K1432)</f>
        <v>Positive</v>
      </c>
    </row>
    <row r="1433" spans="1:12">
      <c r="A1433" t="s">
        <v>1072</v>
      </c>
      <c r="B1433" t="s">
        <v>3002</v>
      </c>
      <c r="C1433" t="str" cm="1">
        <f t="array" ref="C1433" xml:space="preserve"> CleanText(B1433)</f>
        <v>т ы д! n</v>
      </c>
      <c r="D1433">
        <v>1</v>
      </c>
      <c r="E1433">
        <v>0</v>
      </c>
      <c r="F1433" t="s">
        <v>0</v>
      </c>
      <c r="G1433" t="str" cm="1">
        <f t="array" ref="G1433" xml:space="preserve"> FindCountryName(F1433)</f>
        <v>None</v>
      </c>
      <c r="H1433" s="1">
        <v>45295.812488425923</v>
      </c>
      <c r="I1433" s="1">
        <v>45295.812488425923</v>
      </c>
      <c r="J1433" s="1">
        <v>43402.293935185182</v>
      </c>
      <c r="K1433" cm="1">
        <f t="array" ref="K1433" xml:space="preserve"> sentimentCalc(C1433)</f>
        <v>0</v>
      </c>
      <c r="L1433" t="str" cm="1">
        <f t="array" ref="L1433" xml:space="preserve"> sentimentCategory(K1433)</f>
        <v>Neutral</v>
      </c>
    </row>
    <row r="1434" spans="1:12">
      <c r="A1434" t="s">
        <v>261</v>
      </c>
      <c r="B1434" t="s">
        <v>3001</v>
      </c>
      <c r="C1434" t="str" cm="1">
        <f t="array" ref="C1434" xml:space="preserve"> CleanText(B1434)</f>
        <v>calling it this is going to be big stinker the artistic decision to make it look like lord of the rings and the first render a 2 year old does when having access to unreal engine is such a stinker atleast find a unique way to portray this light hearted but powerful story to the audience with some uniqur character</v>
      </c>
      <c r="D1434">
        <v>1</v>
      </c>
      <c r="E1434">
        <v>0</v>
      </c>
      <c r="F1434" t="s">
        <v>638</v>
      </c>
      <c r="G1434" t="str" cm="1">
        <f t="array" ref="G1434" xml:space="preserve"> FindCountryName(F1434)</f>
        <v>Germany</v>
      </c>
      <c r="H1434" s="1">
        <v>45295.795636574076</v>
      </c>
      <c r="I1434" s="1">
        <v>45295.795636574076</v>
      </c>
      <c r="J1434" s="1">
        <v>42093.665335648147</v>
      </c>
      <c r="K1434" cm="1">
        <f t="array" ref="K1434" xml:space="preserve"> sentimentCalc(C1434)</f>
        <v>5</v>
      </c>
      <c r="L1434" t="str" cm="1">
        <f t="array" ref="L1434" xml:space="preserve"> sentimentCategory(K1434)</f>
        <v>Positive</v>
      </c>
    </row>
    <row r="1435" spans="1:12">
      <c r="A1435" t="s">
        <v>218</v>
      </c>
      <c r="B1435" t="s">
        <v>3000</v>
      </c>
      <c r="C1435" t="str" cm="1">
        <f t="array" ref="C1435" xml:space="preserve"> CleanText(B1435)</f>
        <v>please make me forget the movie was ever made</v>
      </c>
      <c r="D1435">
        <v>1</v>
      </c>
      <c r="E1435">
        <v>1</v>
      </c>
      <c r="F1435" t="s">
        <v>0</v>
      </c>
      <c r="G1435" t="str" cm="1">
        <f t="array" ref="G1435" xml:space="preserve"> FindCountryName(F1435)</f>
        <v>None</v>
      </c>
      <c r="H1435" s="1">
        <v>45295.765520833331</v>
      </c>
      <c r="I1435" s="1">
        <v>45295.765520833331</v>
      </c>
      <c r="J1435" s="1">
        <v>40206.967233796298</v>
      </c>
      <c r="K1435" cm="1">
        <f t="array" ref="K1435" xml:space="preserve"> sentimentCalc(C1435)</f>
        <v>0</v>
      </c>
      <c r="L1435" t="str" cm="1">
        <f t="array" ref="L1435" xml:space="preserve"> sentimentCategory(K1435)</f>
        <v>Neutral</v>
      </c>
    </row>
    <row r="1436" spans="1:12">
      <c r="A1436" t="s">
        <v>994</v>
      </c>
      <c r="B1436" t="s">
        <v>2999</v>
      </c>
      <c r="C1436" t="str" cm="1">
        <f t="array" ref="C1436" xml:space="preserve"> CleanText(B1436)</f>
        <v>listen ill watch it and give it a chance but i think we all agree that the original is one of the most perfect shows ever made and cant be improved</v>
      </c>
      <c r="D1436">
        <v>2</v>
      </c>
      <c r="E1436">
        <v>1</v>
      </c>
      <c r="F1436" t="s">
        <v>0</v>
      </c>
      <c r="G1436" t="str" cm="1">
        <f t="array" ref="G1436" xml:space="preserve"> FindCountryName(F1436)</f>
        <v>None</v>
      </c>
      <c r="H1436" s="1">
        <v>45295.715254629627</v>
      </c>
      <c r="I1436" s="1">
        <v>45295.715254629627</v>
      </c>
      <c r="J1436" s="1">
        <v>42479.126180555555</v>
      </c>
      <c r="K1436" cm="1">
        <f t="array" ref="K1436" xml:space="preserve"> sentimentCalc(C1436)</f>
        <v>6</v>
      </c>
      <c r="L1436" t="str" cm="1">
        <f t="array" ref="L1436" xml:space="preserve"> sentimentCategory(K1436)</f>
        <v>Positive</v>
      </c>
    </row>
    <row r="1437" spans="1:12">
      <c r="A1437" t="s">
        <v>418</v>
      </c>
      <c r="B1437" t="s">
        <v>2998</v>
      </c>
      <c r="C1437" t="str" cm="1">
        <f t="array" ref="C1437" xml:space="preserve"> CleanText(B1437)</f>
        <v>the protagonist looks so young he doesnt even look like a teenagerand the actor of zuko isnt attractive</v>
      </c>
      <c r="D1437">
        <v>1</v>
      </c>
      <c r="E1437">
        <v>5</v>
      </c>
      <c r="F1437" t="s">
        <v>0</v>
      </c>
      <c r="G1437" t="str" cm="1">
        <f t="array" ref="G1437" xml:space="preserve"> FindCountryName(F1437)</f>
        <v>None</v>
      </c>
      <c r="H1437" s="1">
        <v>45295.678067129629</v>
      </c>
      <c r="I1437" s="1">
        <v>45295.678067129629</v>
      </c>
      <c r="J1437" s="1">
        <v>44148.419108796297</v>
      </c>
      <c r="K1437" cm="1">
        <f t="array" ref="K1437" xml:space="preserve"> sentimentCalc(C1437)</f>
        <v>2</v>
      </c>
      <c r="L1437" t="str" cm="1">
        <f t="array" ref="L1437" xml:space="preserve"> sentimentCategory(K1437)</f>
        <v>Positive</v>
      </c>
    </row>
    <row r="1438" spans="1:12">
      <c r="A1438" t="s">
        <v>1769</v>
      </c>
      <c r="B1438" t="s">
        <v>2997</v>
      </c>
      <c r="C1438" t="str" cm="1">
        <f t="array" ref="C1438" xml:space="preserve"> CleanText(B1438)</f>
        <v>ilki olmad tekrardanm cekiyolar nedir bu</v>
      </c>
      <c r="D1438">
        <v>0</v>
      </c>
      <c r="E1438">
        <v>1</v>
      </c>
      <c r="F1438" t="s">
        <v>0</v>
      </c>
      <c r="G1438" t="str" cm="1">
        <f t="array" ref="G1438" xml:space="preserve"> FindCountryName(F1438)</f>
        <v>None</v>
      </c>
      <c r="H1438" s="1">
        <v>45295.665798611109</v>
      </c>
      <c r="I1438" s="1">
        <v>45295.665798611109</v>
      </c>
      <c r="J1438" s="1">
        <v>41339.240879629629</v>
      </c>
      <c r="K1438" cm="1">
        <f t="array" ref="K1438" xml:space="preserve"> sentimentCalc(C1438)</f>
        <v>0</v>
      </c>
      <c r="L1438" t="str" cm="1">
        <f t="array" ref="L1438" xml:space="preserve"> sentimentCategory(K1438)</f>
        <v>Neutral</v>
      </c>
    </row>
    <row r="1439" spans="1:12">
      <c r="A1439" t="s">
        <v>735</v>
      </c>
      <c r="B1439" t="s">
        <v>2996</v>
      </c>
      <c r="C1439" t="str" cm="1">
        <f t="array" ref="C1439" xml:space="preserve"> CleanText(B1439)</f>
        <v>i got goosebumps</v>
      </c>
      <c r="D1439">
        <v>1</v>
      </c>
      <c r="E1439">
        <v>0</v>
      </c>
      <c r="F1439" t="s">
        <v>0</v>
      </c>
      <c r="G1439" t="str" cm="1">
        <f t="array" ref="G1439" xml:space="preserve"> FindCountryName(F1439)</f>
        <v>None</v>
      </c>
      <c r="H1439" s="1">
        <v>45295.633530092593</v>
      </c>
      <c r="I1439" s="1">
        <v>45295.633530092593</v>
      </c>
      <c r="J1439" s="1">
        <v>42189.990208333336</v>
      </c>
      <c r="K1439" cm="1">
        <f t="array" ref="K1439" xml:space="preserve"> sentimentCalc(C1439)</f>
        <v>0</v>
      </c>
      <c r="L1439" t="str" cm="1">
        <f t="array" ref="L1439" xml:space="preserve"> sentimentCategory(K1439)</f>
        <v>Neutral</v>
      </c>
    </row>
    <row r="1440" spans="1:12">
      <c r="A1440" t="s">
        <v>2879</v>
      </c>
      <c r="B1440" t="s">
        <v>2995</v>
      </c>
      <c r="C1440" t="str" cm="1">
        <f t="array" ref="C1440" xml:space="preserve"> CleanText(B1440)</f>
        <v>all aboard on the hype train 3</v>
      </c>
      <c r="D1440">
        <v>1</v>
      </c>
      <c r="E1440">
        <v>0</v>
      </c>
      <c r="F1440" t="s">
        <v>19</v>
      </c>
      <c r="G1440" t="str" cm="1">
        <f t="array" ref="G1440" xml:space="preserve"> FindCountryName(F1440)</f>
        <v>United States of America (the)</v>
      </c>
      <c r="H1440" s="1">
        <v>45295.603854166664</v>
      </c>
      <c r="I1440" s="1">
        <v>45295.603854166664</v>
      </c>
      <c r="J1440" s="1">
        <v>42220.997812499998</v>
      </c>
      <c r="K1440" cm="1">
        <f t="array" ref="K1440" xml:space="preserve"> sentimentCalc(C1440)</f>
        <v>1</v>
      </c>
      <c r="L1440" t="str" cm="1">
        <f t="array" ref="L1440" xml:space="preserve"> sentimentCategory(K1440)</f>
        <v>Positive</v>
      </c>
    </row>
    <row r="1441" spans="1:12">
      <c r="A1441" t="s">
        <v>1080</v>
      </c>
      <c r="B1441" t="s">
        <v>2994</v>
      </c>
      <c r="C1441" t="str" cm="1">
        <f t="array" ref="C1441" xml:space="preserve"> CleanText(B1441)</f>
        <v>gonna be watching this to show my daughter the legend and to see how toph kicks everyones ass</v>
      </c>
      <c r="D1441">
        <v>1</v>
      </c>
      <c r="E1441">
        <v>2</v>
      </c>
      <c r="F1441" t="s">
        <v>19</v>
      </c>
      <c r="G1441" t="str" cm="1">
        <f t="array" ref="G1441" xml:space="preserve"> FindCountryName(F1441)</f>
        <v>United States of America (the)</v>
      </c>
      <c r="H1441" s="1">
        <v>45295.592048611114</v>
      </c>
      <c r="I1441" s="1">
        <v>45295.592048611114</v>
      </c>
      <c r="J1441" s="1">
        <v>41061.2190625</v>
      </c>
      <c r="K1441" cm="1">
        <f t="array" ref="K1441" xml:space="preserve"> sentimentCalc(C1441)</f>
        <v>-4</v>
      </c>
      <c r="L1441" t="str" cm="1">
        <f t="array" ref="L1441" xml:space="preserve"> sentimentCategory(K1441)</f>
        <v>Negative</v>
      </c>
    </row>
    <row r="1442" spans="1:12">
      <c r="A1442" t="s">
        <v>2993</v>
      </c>
      <c r="B1442" t="s">
        <v>2992</v>
      </c>
      <c r="C1442" t="str" cm="1">
        <f t="array" ref="C1442" xml:space="preserve"> CleanText(B1442)</f>
        <v>i think you guys havent gotten it yet because avater was a joke</v>
      </c>
      <c r="D1442">
        <v>2</v>
      </c>
      <c r="E1442">
        <v>0</v>
      </c>
      <c r="F1442" t="s">
        <v>0</v>
      </c>
      <c r="G1442" t="str" cm="1">
        <f t="array" ref="G1442" xml:space="preserve"> FindCountryName(F1442)</f>
        <v>None</v>
      </c>
      <c r="H1442" s="1">
        <v>45295.56622685185</v>
      </c>
      <c r="I1442" s="1">
        <v>45295.56622685185</v>
      </c>
      <c r="J1442" s="1">
        <v>43971.844490740739</v>
      </c>
      <c r="K1442" cm="1">
        <f t="array" ref="K1442" xml:space="preserve"> sentimentCalc(C1442)</f>
        <v>2</v>
      </c>
      <c r="L1442" t="str" cm="1">
        <f t="array" ref="L1442" xml:space="preserve"> sentimentCategory(K1442)</f>
        <v>Positive</v>
      </c>
    </row>
    <row r="1443" spans="1:12">
      <c r="A1443" t="s">
        <v>2385</v>
      </c>
      <c r="B1443" t="s">
        <v>2991</v>
      </c>
      <c r="C1443" t="str" cm="1">
        <f t="array" ref="C1443" xml:space="preserve"> CleanText(B1443)</f>
        <v>awesome a woke version of an awesome series no thanks</v>
      </c>
      <c r="D1443">
        <v>1</v>
      </c>
      <c r="E1443">
        <v>3</v>
      </c>
      <c r="F1443" t="s">
        <v>0</v>
      </c>
      <c r="G1443" t="str" cm="1">
        <f t="array" ref="G1443" xml:space="preserve"> FindCountryName(F1443)</f>
        <v>None</v>
      </c>
      <c r="H1443" s="1">
        <v>45295.562280092592</v>
      </c>
      <c r="I1443" s="1">
        <v>45295.562280092592</v>
      </c>
      <c r="J1443" s="1">
        <v>41095.652025462965</v>
      </c>
      <c r="K1443" cm="1">
        <f t="array" ref="K1443" xml:space="preserve"> sentimentCalc(C1443)</f>
        <v>9</v>
      </c>
      <c r="L1443" t="str" cm="1">
        <f t="array" ref="L1443" xml:space="preserve"> sentimentCategory(K1443)</f>
        <v>Positive</v>
      </c>
    </row>
    <row r="1444" spans="1:12">
      <c r="A1444" t="s">
        <v>190</v>
      </c>
      <c r="B1444" t="s">
        <v>2990</v>
      </c>
      <c r="C1444" t="str" cm="1">
        <f t="array" ref="C1444" xml:space="preserve"> CleanText(B1444)</f>
        <v>most likely netflix will ruin this they ruin everything with their cliche writing and theme music</v>
      </c>
      <c r="D1444">
        <v>0</v>
      </c>
      <c r="E1444">
        <v>3</v>
      </c>
      <c r="F1444" t="s">
        <v>0</v>
      </c>
      <c r="G1444" t="str" cm="1">
        <f t="array" ref="G1444" xml:space="preserve"> FindCountryName(F1444)</f>
        <v>None</v>
      </c>
      <c r="H1444" s="1">
        <v>45295.514039351852</v>
      </c>
      <c r="I1444" s="1">
        <v>45295.514039351852</v>
      </c>
      <c r="J1444" s="1">
        <v>41318.568113425928</v>
      </c>
      <c r="K1444" cm="1">
        <f t="array" ref="K1444" xml:space="preserve"> sentimentCalc(C1444)</f>
        <v>-4</v>
      </c>
      <c r="L1444" t="str" cm="1">
        <f t="array" ref="L1444" xml:space="preserve"> sentimentCategory(K1444)</f>
        <v>Negative</v>
      </c>
    </row>
    <row r="1445" spans="1:12">
      <c r="A1445" t="s">
        <v>430</v>
      </c>
      <c r="B1445" t="s">
        <v>2989</v>
      </c>
      <c r="C1445" t="str" cm="1">
        <f t="array" ref="C1445" xml:space="preserve"> CleanText(B1445)</f>
        <v>kok ampuh banget ono muhammad di gawe ra stage jesus stagemusa stagefiron stagepikir stagetesla stage avatar stagehahahahahahahajahahajahaja koyok game hahahahahahhaha idiot</v>
      </c>
      <c r="D1445">
        <v>0</v>
      </c>
      <c r="E1445">
        <v>0</v>
      </c>
      <c r="F1445" t="s">
        <v>0</v>
      </c>
      <c r="G1445" t="str" cm="1">
        <f t="array" ref="G1445" xml:space="preserve"> FindCountryName(F1445)</f>
        <v>None</v>
      </c>
      <c r="H1445" s="1">
        <v>45295.512824074074</v>
      </c>
      <c r="I1445" s="1">
        <v>45295.512824074074</v>
      </c>
      <c r="J1445" s="1">
        <v>45164.122754629629</v>
      </c>
      <c r="K1445" cm="1">
        <f t="array" ref="K1445" xml:space="preserve"> sentimentCalc(C1445)</f>
        <v>-2</v>
      </c>
      <c r="L1445" t="str" cm="1">
        <f t="array" ref="L1445" xml:space="preserve"> sentimentCategory(K1445)</f>
        <v>Negative</v>
      </c>
    </row>
    <row r="1446" spans="1:12">
      <c r="A1446" t="s">
        <v>47</v>
      </c>
      <c r="B1446" t="s">
        <v>2988</v>
      </c>
      <c r="C1446" t="str" cm="1">
        <f t="array" ref="C1446" xml:space="preserve"> CleanText(B1446)</f>
        <v>casting was perfect young so they can grow with the show a mistake fixed from one piece la</v>
      </c>
      <c r="D1446">
        <v>2</v>
      </c>
      <c r="E1446">
        <v>3</v>
      </c>
      <c r="F1446" t="s">
        <v>0</v>
      </c>
      <c r="G1446" t="str" cm="1">
        <f t="array" ref="G1446" xml:space="preserve"> FindCountryName(F1446)</f>
        <v>None</v>
      </c>
      <c r="H1446" s="1">
        <v>45295.480902777781</v>
      </c>
      <c r="I1446" s="1">
        <v>45295.480902777781</v>
      </c>
      <c r="J1446" s="1">
        <v>44339.489317129628</v>
      </c>
      <c r="K1446" cm="1">
        <f t="array" ref="K1446" xml:space="preserve"> sentimentCalc(C1446)</f>
        <v>1</v>
      </c>
      <c r="L1446" t="str" cm="1">
        <f t="array" ref="L1446" xml:space="preserve"> sentimentCategory(K1446)</f>
        <v>Positive</v>
      </c>
    </row>
    <row r="1447" spans="1:12">
      <c r="A1447" t="s">
        <v>969</v>
      </c>
      <c r="B1447" t="s">
        <v>2987</v>
      </c>
      <c r="C1447" t="str" cm="1">
        <f t="array" ref="C1447" xml:space="preserve"> CleanText(B1447)</f>
        <v>1 i can accept everything except katara not looking like katara</v>
      </c>
      <c r="D1447">
        <v>0</v>
      </c>
      <c r="E1447">
        <v>1</v>
      </c>
      <c r="F1447" t="s">
        <v>0</v>
      </c>
      <c r="G1447" t="str" cm="1">
        <f t="array" ref="G1447" xml:space="preserve"> FindCountryName(F1447)</f>
        <v>None</v>
      </c>
      <c r="H1447" s="1">
        <v>45295.445057870369</v>
      </c>
      <c r="I1447" s="1">
        <v>45295.445057870369</v>
      </c>
      <c r="J1447" s="1">
        <v>41927.975601851853</v>
      </c>
      <c r="K1447" cm="1">
        <f t="array" ref="K1447" xml:space="preserve"> sentimentCalc(C1447)</f>
        <v>3</v>
      </c>
      <c r="L1447" t="str" cm="1">
        <f t="array" ref="L1447" xml:space="preserve"> sentimentCategory(K1447)</f>
        <v>Positive</v>
      </c>
    </row>
    <row r="1448" spans="1:12">
      <c r="A1448" t="s">
        <v>2293</v>
      </c>
      <c r="B1448" t="s">
        <v>2986</v>
      </c>
      <c r="C1448" t="str" cm="1">
        <f t="array" ref="C1448" xml:space="preserve"> CleanText(B1448)</f>
        <v>n</v>
      </c>
      <c r="D1448">
        <v>0</v>
      </c>
      <c r="E1448">
        <v>0</v>
      </c>
      <c r="F1448" t="s">
        <v>0</v>
      </c>
      <c r="G1448" t="str" cm="1">
        <f t="array" ref="G1448" xml:space="preserve"> FindCountryName(F1448)</f>
        <v>None</v>
      </c>
      <c r="H1448" s="1">
        <v>45295.40697916667</v>
      </c>
      <c r="I1448" s="1">
        <v>45295.40697916667</v>
      </c>
      <c r="J1448" s="1">
        <v>43756.341365740744</v>
      </c>
      <c r="K1448" cm="1">
        <f t="array" ref="K1448" xml:space="preserve"> sentimentCalc(C1448)</f>
        <v>0</v>
      </c>
      <c r="L1448" t="str" cm="1">
        <f t="array" ref="L1448" xml:space="preserve"> sentimentCategory(K1448)</f>
        <v>Neutral</v>
      </c>
    </row>
    <row r="1449" spans="1:12">
      <c r="A1449" t="s">
        <v>969</v>
      </c>
      <c r="B1449" t="s">
        <v>2985</v>
      </c>
      <c r="C1449" t="str" cm="1">
        <f t="array" ref="C1449" xml:space="preserve"> CleanText(B1449)</f>
        <v>avatar the last airbender is already a perfect show it cannot be improved upon in any way all you can do from here is go downhill please stop doing this come up with new ideas disney tried to copy star wars and everyone hated it amazon tried to copy lord of the rings and everyone hated it dont ruin avatar as well</v>
      </c>
      <c r="D1449">
        <v>0</v>
      </c>
      <c r="E1449">
        <v>3</v>
      </c>
      <c r="F1449" t="s">
        <v>0</v>
      </c>
      <c r="G1449" t="str" cm="1">
        <f t="array" ref="G1449" xml:space="preserve"> FindCountryName(F1449)</f>
        <v>None</v>
      </c>
      <c r="H1449" s="1">
        <v>45295.362569444442</v>
      </c>
      <c r="I1449" s="1">
        <v>45295.362569444442</v>
      </c>
      <c r="J1449" s="1">
        <v>40790.330196759256</v>
      </c>
      <c r="K1449" cm="1">
        <f t="array" ref="K1449" xml:space="preserve"> sentimentCalc(C1449)</f>
        <v>-3</v>
      </c>
      <c r="L1449" t="str" cm="1">
        <f t="array" ref="L1449" xml:space="preserve"> sentimentCategory(K1449)</f>
        <v>Negative</v>
      </c>
    </row>
    <row r="1450" spans="1:12">
      <c r="A1450" t="s">
        <v>566</v>
      </c>
      <c r="B1450" t="s">
        <v>2984</v>
      </c>
      <c r="C1450" t="str" cm="1">
        <f t="array" ref="C1450" xml:space="preserve"> CleanText(B1450)</f>
        <v>si lo han hecho basndose en one piece todo bien</v>
      </c>
      <c r="D1450">
        <v>1</v>
      </c>
      <c r="E1450">
        <v>2</v>
      </c>
      <c r="F1450" t="s">
        <v>0</v>
      </c>
      <c r="G1450" t="str" cm="1">
        <f t="array" ref="G1450" xml:space="preserve"> FindCountryName(F1450)</f>
        <v>None</v>
      </c>
      <c r="H1450" s="1">
        <v>45295.358344907407</v>
      </c>
      <c r="I1450" s="1">
        <v>45295.358344907407</v>
      </c>
      <c r="J1450" s="1">
        <v>44355.439814814818</v>
      </c>
      <c r="K1450" cm="1">
        <f t="array" ref="K1450" xml:space="preserve"> sentimentCalc(C1450)</f>
        <v>0</v>
      </c>
      <c r="L1450" t="str" cm="1">
        <f t="array" ref="L1450" xml:space="preserve"> sentimentCategory(K1450)</f>
        <v>Neutral</v>
      </c>
    </row>
    <row r="1451" spans="1:12">
      <c r="A1451" t="s">
        <v>2169</v>
      </c>
      <c r="B1451" t="s">
        <v>2983</v>
      </c>
      <c r="C1451" t="str" cm="1">
        <f t="array" ref="C1451" xml:space="preserve"> CleanText(B1451)</f>
        <v>with bated breath</v>
      </c>
      <c r="D1451">
        <v>1</v>
      </c>
      <c r="E1451">
        <v>1</v>
      </c>
      <c r="F1451" t="s">
        <v>19</v>
      </c>
      <c r="G1451" t="str" cm="1">
        <f t="array" ref="G1451" xml:space="preserve"> FindCountryName(F1451)</f>
        <v>United States of America (the)</v>
      </c>
      <c r="H1451" s="1">
        <v>45295.349062499998</v>
      </c>
      <c r="I1451" s="1">
        <v>45295.349062499998</v>
      </c>
      <c r="J1451" s="1">
        <v>38803.992754629631</v>
      </c>
      <c r="K1451" cm="1">
        <f t="array" ref="K1451" xml:space="preserve"> sentimentCalc(C1451)</f>
        <v>0</v>
      </c>
      <c r="L1451" t="str" cm="1">
        <f t="array" ref="L1451" xml:space="preserve"> sentimentCategory(K1451)</f>
        <v>Neutral</v>
      </c>
    </row>
    <row r="1452" spans="1:12">
      <c r="A1452" t="s">
        <v>317</v>
      </c>
      <c r="B1452" t="s">
        <v>2982</v>
      </c>
      <c r="C1452" t="str" cm="1">
        <f t="array" ref="C1452" xml:space="preserve"> CleanText(B1452)</f>
        <v>thet better stick to the god dam source material and not thing they can do it better like they did with witcher istg</v>
      </c>
      <c r="D1452">
        <v>1</v>
      </c>
      <c r="E1452">
        <v>0</v>
      </c>
      <c r="F1452" t="s">
        <v>0</v>
      </c>
      <c r="G1452" t="str" cm="1">
        <f t="array" ref="G1452" xml:space="preserve"> FindCountryName(F1452)</f>
        <v>None</v>
      </c>
      <c r="H1452" s="1">
        <v>45295.292337962965</v>
      </c>
      <c r="I1452" s="1">
        <v>45295.292337962965</v>
      </c>
      <c r="J1452" s="1">
        <v>41817.623773148145</v>
      </c>
      <c r="K1452" cm="1">
        <f t="array" ref="K1452" xml:space="preserve"> sentimentCalc(C1452)</f>
        <v>7</v>
      </c>
      <c r="L1452" t="str" cm="1">
        <f t="array" ref="L1452" xml:space="preserve"> sentimentCategory(K1452)</f>
        <v>Positive</v>
      </c>
    </row>
    <row r="1453" spans="1:12">
      <c r="A1453" t="s">
        <v>38</v>
      </c>
      <c r="B1453" t="s">
        <v>2981</v>
      </c>
      <c r="C1453" t="str" cm="1">
        <f t="array" ref="C1453" xml:space="preserve"> CleanText(B1453)</f>
        <v>it would be legendary if the opening credits still do the martial arts silhouettes of each element just with real actors haha</v>
      </c>
      <c r="D1453">
        <v>1</v>
      </c>
      <c r="E1453">
        <v>0</v>
      </c>
      <c r="F1453" t="s">
        <v>0</v>
      </c>
      <c r="G1453" t="str" cm="1">
        <f t="array" ref="G1453" xml:space="preserve"> FindCountryName(F1453)</f>
        <v>None</v>
      </c>
      <c r="H1453" s="1">
        <v>45295.285277777781</v>
      </c>
      <c r="I1453" s="1">
        <v>45295.285277777781</v>
      </c>
      <c r="J1453" s="1">
        <v>41732.177731481483</v>
      </c>
      <c r="K1453" cm="1">
        <f t="array" ref="K1453" xml:space="preserve"> sentimentCalc(C1453)</f>
        <v>0</v>
      </c>
      <c r="L1453" t="str" cm="1">
        <f t="array" ref="L1453" xml:space="preserve"> sentimentCategory(K1453)</f>
        <v>Neutral</v>
      </c>
    </row>
    <row r="1454" spans="1:12">
      <c r="A1454" t="s">
        <v>566</v>
      </c>
      <c r="B1454" t="s">
        <v>2980</v>
      </c>
      <c r="C1454" t="str" cm="1">
        <f t="array" ref="C1454" xml:space="preserve"> CleanText(B1454)</f>
        <v>its crazy what ai can do</v>
      </c>
      <c r="D1454">
        <v>0</v>
      </c>
      <c r="E1454">
        <v>7</v>
      </c>
      <c r="F1454" t="s">
        <v>0</v>
      </c>
      <c r="G1454" t="str" cm="1">
        <f t="array" ref="G1454" xml:space="preserve"> FindCountryName(F1454)</f>
        <v>None</v>
      </c>
      <c r="H1454" s="1">
        <v>45295.275069444448</v>
      </c>
      <c r="I1454" s="1">
        <v>45295.275069444448</v>
      </c>
      <c r="J1454" s="1">
        <v>43951.470347222225</v>
      </c>
      <c r="K1454" cm="1">
        <f t="array" ref="K1454" xml:space="preserve"> sentimentCalc(C1454)</f>
        <v>-2</v>
      </c>
      <c r="L1454" t="str" cm="1">
        <f t="array" ref="L1454" xml:space="preserve"> sentimentCategory(K1454)</f>
        <v>Negative</v>
      </c>
    </row>
    <row r="1455" spans="1:12">
      <c r="A1455" t="s">
        <v>247</v>
      </c>
      <c r="B1455" t="s">
        <v>2979</v>
      </c>
      <c r="C1455" t="str" cm="1">
        <f t="array" ref="C1455" xml:space="preserve"> CleanText(B1455)</f>
        <v>they nailed everything except they didnt show one thing is sokka humorous</v>
      </c>
      <c r="D1455">
        <v>1</v>
      </c>
      <c r="E1455">
        <v>1</v>
      </c>
      <c r="F1455" t="s">
        <v>98</v>
      </c>
      <c r="G1455" t="str" cm="1">
        <f t="array" ref="G1455" xml:space="preserve"> FindCountryName(F1455)</f>
        <v>India</v>
      </c>
      <c r="H1455" s="1">
        <v>45295.255185185182</v>
      </c>
      <c r="I1455" s="1">
        <v>45295.255185185182</v>
      </c>
      <c r="J1455" s="1">
        <v>41231.098391203705</v>
      </c>
      <c r="K1455" cm="1">
        <f t="array" ref="K1455" xml:space="preserve"> sentimentCalc(C1455)</f>
        <v>2</v>
      </c>
      <c r="L1455" t="str" cm="1">
        <f t="array" ref="L1455" xml:space="preserve"> sentimentCategory(K1455)</f>
        <v>Positive</v>
      </c>
    </row>
    <row r="1456" spans="1:12">
      <c r="A1456" t="s">
        <v>2978</v>
      </c>
      <c r="B1456" t="s">
        <v>2977</v>
      </c>
      <c r="C1456" t="str" cm="1">
        <f t="array" ref="C1456" xml:space="preserve"> CleanText(B1456)</f>
        <v>finally something worth watching on netflix</v>
      </c>
      <c r="D1456">
        <v>1</v>
      </c>
      <c r="E1456">
        <v>1</v>
      </c>
      <c r="F1456" t="s">
        <v>0</v>
      </c>
      <c r="G1456" t="str" cm="1">
        <f t="array" ref="G1456" xml:space="preserve"> FindCountryName(F1456)</f>
        <v>None</v>
      </c>
      <c r="H1456" s="1">
        <v>45295.201770833337</v>
      </c>
      <c r="I1456" s="1">
        <v>45295.201770833337</v>
      </c>
      <c r="J1456" s="1">
        <v>42357.281817129631</v>
      </c>
      <c r="K1456" cm="1">
        <f t="array" ref="K1456" xml:space="preserve"> sentimentCalc(C1456)</f>
        <v>2</v>
      </c>
      <c r="L1456" t="str" cm="1">
        <f t="array" ref="L1456" xml:space="preserve"> sentimentCategory(K1456)</f>
        <v>Positive</v>
      </c>
    </row>
    <row r="1457" spans="1:12">
      <c r="A1457" t="s">
        <v>1112</v>
      </c>
      <c r="B1457" t="s">
        <v>2976</v>
      </c>
      <c r="C1457" t="str" cm="1">
        <f t="array" ref="C1457" xml:space="preserve"> CleanText(B1457)</f>
        <v>netflix is there any news about the final trailer</v>
      </c>
      <c r="D1457">
        <v>0</v>
      </c>
      <c r="E1457">
        <v>1</v>
      </c>
      <c r="F1457" t="s">
        <v>0</v>
      </c>
      <c r="G1457" t="str" cm="1">
        <f t="array" ref="G1457" xml:space="preserve"> FindCountryName(F1457)</f>
        <v>None</v>
      </c>
      <c r="H1457" s="1">
        <v>45295.118113425924</v>
      </c>
      <c r="I1457" s="1">
        <v>45295.118518518517</v>
      </c>
      <c r="J1457" s="1">
        <v>44780.166967592595</v>
      </c>
      <c r="K1457" cm="1">
        <f t="array" ref="K1457" xml:space="preserve"> sentimentCalc(C1457)</f>
        <v>0</v>
      </c>
      <c r="L1457" t="str" cm="1">
        <f t="array" ref="L1457" xml:space="preserve"> sentimentCategory(K1457)</f>
        <v>Neutral</v>
      </c>
    </row>
    <row r="1458" spans="1:12">
      <c r="A1458" t="s">
        <v>86</v>
      </c>
      <c r="B1458" t="s">
        <v>2975</v>
      </c>
      <c r="C1458" t="str" cm="1">
        <f t="array" ref="C1458" xml:space="preserve"> CleanText(B1458)</f>
        <v>ive loved the animation for my whole life you are ruining it</v>
      </c>
      <c r="D1458">
        <v>0</v>
      </c>
      <c r="E1458">
        <v>0</v>
      </c>
      <c r="F1458" t="s">
        <v>0</v>
      </c>
      <c r="G1458" t="str" cm="1">
        <f t="array" ref="G1458" xml:space="preserve"> FindCountryName(F1458)</f>
        <v>None</v>
      </c>
      <c r="H1458" s="1">
        <v>45295.103993055556</v>
      </c>
      <c r="I1458" s="1">
        <v>45295.103993055556</v>
      </c>
      <c r="J1458" s="1">
        <v>45264.655185185184</v>
      </c>
      <c r="K1458" cm="1">
        <f t="array" ref="K1458" xml:space="preserve"> sentimentCalc(C1458)</f>
        <v>1</v>
      </c>
      <c r="L1458" t="str" cm="1">
        <f t="array" ref="L1458" xml:space="preserve"> sentimentCategory(K1458)</f>
        <v>Positive</v>
      </c>
    </row>
    <row r="1459" spans="1:12">
      <c r="A1459" t="s">
        <v>86</v>
      </c>
      <c r="B1459" t="s">
        <v>2974</v>
      </c>
      <c r="C1459" t="str" cm="1">
        <f t="array" ref="C1459" xml:space="preserve"> CleanText(B1459)</f>
        <v>please do not waste your energy on doing such shit</v>
      </c>
      <c r="D1459">
        <v>0</v>
      </c>
      <c r="E1459">
        <v>2</v>
      </c>
      <c r="F1459" t="s">
        <v>0</v>
      </c>
      <c r="G1459" t="str" cm="1">
        <f t="array" ref="G1459" xml:space="preserve"> FindCountryName(F1459)</f>
        <v>None</v>
      </c>
      <c r="H1459" s="1">
        <v>45295.103159722225</v>
      </c>
      <c r="I1459" s="1">
        <v>45295.103159722225</v>
      </c>
      <c r="J1459" s="1">
        <v>45264.655185185184</v>
      </c>
      <c r="K1459" cm="1">
        <f t="array" ref="K1459" xml:space="preserve"> sentimentCalc(C1459)</f>
        <v>0</v>
      </c>
      <c r="L1459" t="str" cm="1">
        <f t="array" ref="L1459" xml:space="preserve"> sentimentCategory(K1459)</f>
        <v>Neutral</v>
      </c>
    </row>
    <row r="1460" spans="1:12">
      <c r="A1460" t="s">
        <v>2973</v>
      </c>
      <c r="B1460" t="s">
        <v>2972</v>
      </c>
      <c r="C1460" t="str" cm="1">
        <f t="array" ref="C1460" xml:space="preserve"> CleanText(B1460)</f>
        <v>as the long as the woke  the message  stays out this show stays faithful to the source then it will be easy money and views trailer looks real good too and characters look like the shows characters</v>
      </c>
      <c r="D1460">
        <v>0</v>
      </c>
      <c r="E1460">
        <v>2</v>
      </c>
      <c r="F1460" t="s">
        <v>0</v>
      </c>
      <c r="G1460" t="str" cm="1">
        <f t="array" ref="G1460" xml:space="preserve"> FindCountryName(F1460)</f>
        <v>None</v>
      </c>
      <c r="H1460" s="1">
        <v>45294.981527777774</v>
      </c>
      <c r="I1460" s="1">
        <v>45294.981527777774</v>
      </c>
      <c r="J1460" s="1">
        <v>41821.882465277777</v>
      </c>
      <c r="K1460" cm="1">
        <f t="array" ref="K1460" xml:space="preserve"> sentimentCalc(C1460)</f>
        <v>9</v>
      </c>
      <c r="L1460" t="str" cm="1">
        <f t="array" ref="L1460" xml:space="preserve"> sentimentCategory(K1460)</f>
        <v>Positive</v>
      </c>
    </row>
    <row r="1461" spans="1:12">
      <c r="A1461" t="s">
        <v>1345</v>
      </c>
      <c r="B1461" t="s">
        <v>2971</v>
      </c>
      <c r="C1461" t="str" cm="1">
        <f t="array" ref="C1461" xml:space="preserve"> CleanText(B1461)</f>
        <v>netflix im gonna trust you on this one and i better not regret it</v>
      </c>
      <c r="D1461">
        <v>1</v>
      </c>
      <c r="E1461">
        <v>1</v>
      </c>
      <c r="F1461" t="s">
        <v>0</v>
      </c>
      <c r="G1461" t="str" cm="1">
        <f t="array" ref="G1461" xml:space="preserve"> FindCountryName(F1461)</f>
        <v>None</v>
      </c>
      <c r="H1461" s="1">
        <v>45294.878252314818</v>
      </c>
      <c r="I1461" s="1">
        <v>45294.878252314818</v>
      </c>
      <c r="J1461" s="1">
        <v>44210.711967592593</v>
      </c>
      <c r="K1461" cm="1">
        <f t="array" ref="K1461" xml:space="preserve"> sentimentCalc(C1461)</f>
        <v>1</v>
      </c>
      <c r="L1461" t="str" cm="1">
        <f t="array" ref="L1461" xml:space="preserve"> sentimentCategory(K1461)</f>
        <v>Positive</v>
      </c>
    </row>
    <row r="1462" spans="1:12">
      <c r="A1462" t="s">
        <v>749</v>
      </c>
      <c r="B1462" t="s">
        <v>2970</v>
      </c>
      <c r="C1462" t="str" cm="1">
        <f t="array" ref="C1462" xml:space="preserve"> CleanText(B1462)</f>
        <v>the last airbendog</v>
      </c>
      <c r="D1462">
        <v>0</v>
      </c>
      <c r="E1462">
        <v>0</v>
      </c>
      <c r="F1462" t="s">
        <v>0</v>
      </c>
      <c r="G1462" t="str" cm="1">
        <f t="array" ref="G1462" xml:space="preserve"> FindCountryName(F1462)</f>
        <v>None</v>
      </c>
      <c r="H1462" s="1">
        <v>45294.82503472222</v>
      </c>
      <c r="I1462" s="1">
        <v>45294.82503472222</v>
      </c>
      <c r="J1462" s="1">
        <v>45035.78701388889</v>
      </c>
      <c r="K1462" cm="1">
        <f t="array" ref="K1462" xml:space="preserve"> sentimentCalc(C1462)</f>
        <v>0</v>
      </c>
      <c r="L1462" t="str" cm="1">
        <f t="array" ref="L1462" xml:space="preserve"> sentimentCategory(K1462)</f>
        <v>Neutral</v>
      </c>
    </row>
    <row r="1463" spans="1:12">
      <c r="A1463" t="s">
        <v>2969</v>
      </c>
      <c r="B1463" t="s">
        <v>2968</v>
      </c>
      <c r="C1463" t="str" cm="1">
        <f t="array" ref="C1463" xml:space="preserve"> CleanText(B1463)</f>
        <v>ese si es un live action_xDE0D_</v>
      </c>
      <c r="D1463">
        <v>1</v>
      </c>
      <c r="E1463">
        <v>3</v>
      </c>
      <c r="F1463" t="s">
        <v>0</v>
      </c>
      <c r="G1463" t="str" cm="1">
        <f t="array" ref="G1463" xml:space="preserve"> FindCountryName(F1463)</f>
        <v>None</v>
      </c>
      <c r="H1463" s="1">
        <v>45294.811793981484</v>
      </c>
      <c r="I1463" s="1">
        <v>45294.811793981484</v>
      </c>
      <c r="J1463" s="1">
        <v>41726.147407407407</v>
      </c>
      <c r="K1463" cm="1">
        <f t="array" ref="K1463" xml:space="preserve"> sentimentCalc(C1463)</f>
        <v>0</v>
      </c>
      <c r="L1463" t="str" cm="1">
        <f t="array" ref="L1463" xml:space="preserve"> sentimentCategory(K1463)</f>
        <v>Neutral</v>
      </c>
    </row>
    <row r="1464" spans="1:12">
      <c r="A1464" t="s">
        <v>299</v>
      </c>
      <c r="B1464" t="s">
        <v>2967</v>
      </c>
      <c r="C1464" t="str" cm="1">
        <f t="array" ref="C1464" xml:space="preserve"> CleanText(B1464)</f>
        <v>like only remastered soundtracks on the background 5</v>
      </c>
      <c r="D1464">
        <v>1</v>
      </c>
      <c r="E1464">
        <v>0</v>
      </c>
      <c r="F1464" t="s">
        <v>0</v>
      </c>
      <c r="G1464" t="str" cm="1">
        <f t="array" ref="G1464" xml:space="preserve"> FindCountryName(F1464)</f>
        <v>None</v>
      </c>
      <c r="H1464" s="1">
        <v>45294.805775462963</v>
      </c>
      <c r="I1464" s="1">
        <v>45294.806354166663</v>
      </c>
      <c r="J1464" s="1">
        <v>43662.390347222223</v>
      </c>
      <c r="K1464" cm="1">
        <f t="array" ref="K1464" xml:space="preserve"> sentimentCalc(C1464)</f>
        <v>2</v>
      </c>
      <c r="L1464" t="str" cm="1">
        <f t="array" ref="L1464" xml:space="preserve"> sentimentCategory(K1464)</f>
        <v>Positive</v>
      </c>
    </row>
    <row r="1465" spans="1:12">
      <c r="A1465" t="s">
        <v>2966</v>
      </c>
      <c r="B1465" t="s">
        <v>2965</v>
      </c>
      <c r="C1465" t="str" cm="1">
        <f t="array" ref="C1465" xml:space="preserve"> CleanText(B1465)</f>
        <v>looks like shiiwill end like everything avatar related except the original series</v>
      </c>
      <c r="D1465">
        <v>1</v>
      </c>
      <c r="E1465">
        <v>1</v>
      </c>
      <c r="F1465" t="s">
        <v>0</v>
      </c>
      <c r="G1465" t="str" cm="1">
        <f t="array" ref="G1465" xml:space="preserve"> FindCountryName(F1465)</f>
        <v>None</v>
      </c>
      <c r="H1465" s="1">
        <v>45294.803148148145</v>
      </c>
      <c r="I1465" s="1">
        <v>45294.803148148145</v>
      </c>
      <c r="J1465" s="1">
        <v>40819.50204861111</v>
      </c>
      <c r="K1465" cm="1">
        <f t="array" ref="K1465" xml:space="preserve"> sentimentCalc(C1465)</f>
        <v>4</v>
      </c>
      <c r="L1465" t="str" cm="1">
        <f t="array" ref="L1465" xml:space="preserve"> sentimentCategory(K1465)</f>
        <v>Positive</v>
      </c>
    </row>
    <row r="1466" spans="1:12">
      <c r="A1466" t="s">
        <v>902</v>
      </c>
      <c r="B1466" t="s">
        <v>2964</v>
      </c>
      <c r="C1466" t="str" cm="1">
        <f t="array" ref="C1466" xml:space="preserve"> CleanText(B1466)</f>
        <v>hello my name is ismail i am  years old and i have an idea that i feel could be turned into a series</v>
      </c>
      <c r="D1466">
        <v>0</v>
      </c>
      <c r="E1466">
        <v>0</v>
      </c>
      <c r="F1466" t="s">
        <v>0</v>
      </c>
      <c r="G1466" t="str" cm="1">
        <f t="array" ref="G1466" xml:space="preserve"> FindCountryName(F1466)</f>
        <v>None</v>
      </c>
      <c r="H1466" s="1">
        <v>45294.738981481481</v>
      </c>
      <c r="I1466" s="1">
        <v>45294.738981481481</v>
      </c>
      <c r="J1466" s="1">
        <v>44635.272962962961</v>
      </c>
      <c r="K1466" cm="1">
        <f t="array" ref="K1466" xml:space="preserve"> sentimentCalc(C1466)</f>
        <v>0</v>
      </c>
      <c r="L1466" t="str" cm="1">
        <f t="array" ref="L1466" xml:space="preserve"> sentimentCategory(K1466)</f>
        <v>Neutral</v>
      </c>
    </row>
    <row r="1467" spans="1:12">
      <c r="A1467" t="s">
        <v>47</v>
      </c>
      <c r="B1467" t="s">
        <v>2963</v>
      </c>
      <c r="C1467" t="str" cm="1">
        <f t="array" ref="C1467" xml:space="preserve"> CleanText(B1467)</f>
        <v>оьо  ови с n</v>
      </c>
      <c r="D1467">
        <v>1</v>
      </c>
      <c r="E1467">
        <v>1</v>
      </c>
      <c r="F1467" t="s">
        <v>0</v>
      </c>
      <c r="G1467" t="str" cm="1">
        <f t="array" ref="G1467" xml:space="preserve"> FindCountryName(F1467)</f>
        <v>None</v>
      </c>
      <c r="H1467" s="1">
        <v>45294.710439814815</v>
      </c>
      <c r="I1467" s="1">
        <v>45294.710439814815</v>
      </c>
      <c r="J1467" s="1">
        <v>41157.720567129632</v>
      </c>
      <c r="K1467" cm="1">
        <f t="array" ref="K1467" xml:space="preserve"> sentimentCalc(C1467)</f>
        <v>0</v>
      </c>
      <c r="L1467" t="str" cm="1">
        <f t="array" ref="L1467" xml:space="preserve"> sentimentCategory(K1467)</f>
        <v>Neutral</v>
      </c>
    </row>
    <row r="1468" spans="1:12">
      <c r="A1468" t="s">
        <v>255</v>
      </c>
      <c r="B1468" t="s">
        <v>2962</v>
      </c>
      <c r="C1468" t="str" cm="1">
        <f t="array" ref="C1468" xml:space="preserve"> CleanText(B1468)</f>
        <v>please dont be bad</v>
      </c>
      <c r="D1468">
        <v>2</v>
      </c>
      <c r="E1468">
        <v>0</v>
      </c>
      <c r="F1468" t="s">
        <v>0</v>
      </c>
      <c r="G1468" t="str" cm="1">
        <f t="array" ref="G1468" xml:space="preserve"> FindCountryName(F1468)</f>
        <v>None</v>
      </c>
      <c r="H1468" s="1">
        <v>45294.690694444442</v>
      </c>
      <c r="I1468" s="1">
        <v>45294.690694444442</v>
      </c>
      <c r="J1468" s="1">
        <v>42036.085358796299</v>
      </c>
      <c r="K1468" cm="1">
        <f t="array" ref="K1468" xml:space="preserve"> sentimentCalc(C1468)</f>
        <v>-2</v>
      </c>
      <c r="L1468" t="str" cm="1">
        <f t="array" ref="L1468" xml:space="preserve"> sentimentCategory(K1468)</f>
        <v>Negative</v>
      </c>
    </row>
    <row r="1469" spans="1:12">
      <c r="A1469" t="s">
        <v>310</v>
      </c>
      <c r="B1469" t="s">
        <v>2961</v>
      </c>
      <c r="C1469" t="str" cm="1">
        <f t="array" ref="C1469" xml:space="preserve"> CleanText(B1469)</f>
        <v>good god here we go again</v>
      </c>
      <c r="D1469">
        <v>1</v>
      </c>
      <c r="E1469">
        <v>0</v>
      </c>
      <c r="F1469" t="s">
        <v>0</v>
      </c>
      <c r="G1469" t="str" cm="1">
        <f t="array" ref="G1469" xml:space="preserve"> FindCountryName(F1469)</f>
        <v>None</v>
      </c>
      <c r="H1469" s="1">
        <v>45294.649212962962</v>
      </c>
      <c r="I1469" s="1">
        <v>45294.649212962962</v>
      </c>
      <c r="J1469" s="1">
        <v>44166.822557870371</v>
      </c>
      <c r="K1469" cm="1">
        <f t="array" ref="K1469" xml:space="preserve"> sentimentCalc(C1469)</f>
        <v>4</v>
      </c>
      <c r="L1469" t="str" cm="1">
        <f t="array" ref="L1469" xml:space="preserve"> sentimentCategory(K1469)</f>
        <v>Positive</v>
      </c>
    </row>
    <row r="1470" spans="1:12">
      <c r="A1470" t="s">
        <v>653</v>
      </c>
      <c r="B1470" t="s">
        <v>2960</v>
      </c>
      <c r="C1470" t="str" cm="1">
        <f t="array" ref="C1470" xml:space="preserve"> CleanText(B1470)</f>
        <v>oh the fck i was hoping they will not try to make an adaptation the most hurting truth to modern day apologisers is that the criticisers of the previous film were totally wrong we already saw asian faces in mulanatla was beautiful because in this amerime as well as in japanese cartoons there s no truly asian faces only whites that s because europeoid type is the most diversive in quantity of colours europeoids are more coloured then asians_xDE0A_</v>
      </c>
      <c r="D1470">
        <v>0</v>
      </c>
      <c r="E1470">
        <v>1</v>
      </c>
      <c r="F1470" t="s">
        <v>944</v>
      </c>
      <c r="G1470" t="str" cm="1">
        <f t="array" ref="G1470" xml:space="preserve"> FindCountryName(F1470)</f>
        <v>Russian Federation (the)</v>
      </c>
      <c r="H1470" s="1">
        <v>45294.637685185182</v>
      </c>
      <c r="I1470" s="1">
        <v>45294.637685185182</v>
      </c>
      <c r="J1470" s="1">
        <v>42521.394606481481</v>
      </c>
      <c r="K1470" cm="1">
        <f t="array" ref="K1470" xml:space="preserve"> sentimentCalc(C1470)</f>
        <v>0</v>
      </c>
      <c r="L1470" t="str" cm="1">
        <f t="array" ref="L1470" xml:space="preserve"> sentimentCategory(K1470)</f>
        <v>Neutral</v>
      </c>
    </row>
    <row r="1471" spans="1:12">
      <c r="A1471" t="s">
        <v>2959</v>
      </c>
      <c r="B1471" t="s">
        <v>2958</v>
      </c>
      <c r="C1471" t="str" cm="1">
        <f t="array" ref="C1471" xml:space="preserve"> CleanText(B1471)</f>
        <v>awful casting already the air nomads in this trailer look like white people water tribe also looks like white people with tiny bit of indigenous ancestry earth kingdom and fire nation are mixed whatever asian</v>
      </c>
      <c r="D1471">
        <v>0</v>
      </c>
      <c r="E1471">
        <v>4</v>
      </c>
      <c r="F1471" t="s">
        <v>0</v>
      </c>
      <c r="G1471" t="str" cm="1">
        <f t="array" ref="G1471" xml:space="preserve"> FindCountryName(F1471)</f>
        <v>None</v>
      </c>
      <c r="H1471" s="1">
        <v>45294.636284722219</v>
      </c>
      <c r="I1471" s="1">
        <v>45298.739189814813</v>
      </c>
      <c r="J1471" s="1">
        <v>38946.602534722224</v>
      </c>
      <c r="K1471" cm="1">
        <f t="array" ref="K1471" xml:space="preserve"> sentimentCalc(C1471)</f>
        <v>-1</v>
      </c>
      <c r="L1471" t="str" cm="1">
        <f t="array" ref="L1471" xml:space="preserve"> sentimentCategory(K1471)</f>
        <v>Negative</v>
      </c>
    </row>
    <row r="1472" spans="1:12">
      <c r="A1472" t="s">
        <v>1185</v>
      </c>
      <c r="B1472" t="s">
        <v>2957</v>
      </c>
      <c r="C1472" t="str" cm="1">
        <f t="array" ref="C1472" xml:space="preserve"> CleanText(B1472)</f>
        <v>wise words if monk gyatso</v>
      </c>
      <c r="D1472">
        <v>1</v>
      </c>
      <c r="E1472">
        <v>2</v>
      </c>
      <c r="F1472" t="s">
        <v>0</v>
      </c>
      <c r="G1472" t="str" cm="1">
        <f t="array" ref="G1472" xml:space="preserve"> FindCountryName(F1472)</f>
        <v>None</v>
      </c>
      <c r="H1472" s="1">
        <v>45294.621990740743</v>
      </c>
      <c r="I1472" s="1">
        <v>45294.621990740743</v>
      </c>
      <c r="J1472" s="1">
        <v>41527.866215277776</v>
      </c>
      <c r="K1472" cm="1">
        <f t="array" ref="K1472" xml:space="preserve"> sentimentCalc(C1472)</f>
        <v>0</v>
      </c>
      <c r="L1472" t="str" cm="1">
        <f t="array" ref="L1472" xml:space="preserve"> sentimentCategory(K1472)</f>
        <v>Neutral</v>
      </c>
    </row>
    <row r="1473" spans="1:12">
      <c r="A1473" t="s">
        <v>2956</v>
      </c>
      <c r="B1473" t="s">
        <v>2955</v>
      </c>
      <c r="C1473" t="str" cm="1">
        <f t="array" ref="C1473" xml:space="preserve"> CleanText(B1473)</f>
        <v>looks promising</v>
      </c>
      <c r="D1473">
        <v>1</v>
      </c>
      <c r="E1473">
        <v>0</v>
      </c>
      <c r="F1473" t="s">
        <v>0</v>
      </c>
      <c r="G1473" t="str" cm="1">
        <f t="array" ref="G1473" xml:space="preserve"> FindCountryName(F1473)</f>
        <v>None</v>
      </c>
      <c r="H1473" s="1">
        <v>45294.549930555557</v>
      </c>
      <c r="I1473" s="1">
        <v>45294.549930555557</v>
      </c>
      <c r="J1473" s="1">
        <v>40860.27983796296</v>
      </c>
      <c r="K1473" cm="1">
        <f t="array" ref="K1473" xml:space="preserve"> sentimentCalc(C1473)</f>
        <v>0</v>
      </c>
      <c r="L1473" t="str" cm="1">
        <f t="array" ref="L1473" xml:space="preserve"> sentimentCategory(K1473)</f>
        <v>Neutral</v>
      </c>
    </row>
    <row r="1474" spans="1:12">
      <c r="A1474" t="s">
        <v>730</v>
      </c>
      <c r="B1474" t="s">
        <v>2954</v>
      </c>
      <c r="C1474" t="str" cm="1">
        <f t="array" ref="C1474" xml:space="preserve"> CleanText(B1474)</f>
        <v>pls netflix u cant mess up the best kids show of this earth dont make random people gay or weird</v>
      </c>
      <c r="D1474">
        <v>0</v>
      </c>
      <c r="E1474">
        <v>0</v>
      </c>
      <c r="F1474" t="s">
        <v>0</v>
      </c>
      <c r="G1474" t="str" cm="1">
        <f t="array" ref="G1474" xml:space="preserve"> FindCountryName(F1474)</f>
        <v>None</v>
      </c>
      <c r="H1474" s="1">
        <v>45294.543391203704</v>
      </c>
      <c r="I1474" s="1">
        <v>45294.543391203704</v>
      </c>
      <c r="J1474" s="1">
        <v>42489.412245370368</v>
      </c>
      <c r="K1474" cm="1">
        <f t="array" ref="K1474" xml:space="preserve"> sentimentCalc(C1474)</f>
        <v>-1</v>
      </c>
      <c r="L1474" t="str" cm="1">
        <f t="array" ref="L1474" xml:space="preserve"> sentimentCategory(K1474)</f>
        <v>Negative</v>
      </c>
    </row>
    <row r="1475" spans="1:12">
      <c r="A1475" t="s">
        <v>2953</v>
      </c>
      <c r="B1475" t="s">
        <v>2952</v>
      </c>
      <c r="C1475" t="str" cm="1">
        <f t="array" ref="C1475" xml:space="preserve"> CleanText(B1475)</f>
        <v>wowwow wow</v>
      </c>
      <c r="D1475">
        <v>1</v>
      </c>
      <c r="E1475">
        <v>0</v>
      </c>
      <c r="F1475" t="s">
        <v>0</v>
      </c>
      <c r="G1475" t="str" cm="1">
        <f t="array" ref="G1475" xml:space="preserve"> FindCountryName(F1475)</f>
        <v>None</v>
      </c>
      <c r="H1475" s="1">
        <v>45294.467418981483</v>
      </c>
      <c r="I1475" s="1">
        <v>45294.467418981483</v>
      </c>
      <c r="J1475" s="1">
        <v>45246.012604166666</v>
      </c>
      <c r="K1475" cm="1">
        <f t="array" ref="K1475" xml:space="preserve"> sentimentCalc(C1475)</f>
        <v>4</v>
      </c>
      <c r="L1475" t="str" cm="1">
        <f t="array" ref="L1475" xml:space="preserve"> sentimentCategory(K1475)</f>
        <v>Positive</v>
      </c>
    </row>
    <row r="1476" spans="1:12">
      <c r="A1476" t="s">
        <v>30</v>
      </c>
      <c r="B1476" t="s">
        <v>2951</v>
      </c>
      <c r="C1476" t="str" cm="1">
        <f t="array" ref="C1476" xml:space="preserve"> CleanText(B1476)</f>
        <v>im not watching something ive already seen</v>
      </c>
      <c r="D1476">
        <v>0</v>
      </c>
      <c r="E1476">
        <v>2</v>
      </c>
      <c r="F1476" t="s">
        <v>39</v>
      </c>
      <c r="G1476" t="str" cm="1">
        <f t="array" ref="G1476" xml:space="preserve"> FindCountryName(F1476)</f>
        <v>United Kingdom of Great Britain and Northern Ireland (the)</v>
      </c>
      <c r="H1476" s="1">
        <v>45294.433923611112</v>
      </c>
      <c r="I1476" s="1">
        <v>45294.433923611112</v>
      </c>
      <c r="J1476" s="1">
        <v>42330.600127314814</v>
      </c>
      <c r="K1476" cm="1">
        <f t="array" ref="K1476" xml:space="preserve"> sentimentCalc(C1476)</f>
        <v>0</v>
      </c>
      <c r="L1476" t="str" cm="1">
        <f t="array" ref="L1476" xml:space="preserve"> sentimentCategory(K1476)</f>
        <v>Neutral</v>
      </c>
    </row>
    <row r="1477" spans="1:12">
      <c r="A1477" t="s">
        <v>2950</v>
      </c>
      <c r="B1477" t="s">
        <v>2949</v>
      </c>
      <c r="C1477" t="str" cm="1">
        <f t="array" ref="C1477" xml:space="preserve"> CleanText(B1477)</f>
        <v>i hope netflix wont fck this up like m night symalan did with the movie</v>
      </c>
      <c r="D1477">
        <v>3</v>
      </c>
      <c r="E1477">
        <v>1</v>
      </c>
      <c r="F1477" t="s">
        <v>0</v>
      </c>
      <c r="G1477" t="str" cm="1">
        <f t="array" ref="G1477" xml:space="preserve"> FindCountryName(F1477)</f>
        <v>None</v>
      </c>
      <c r="H1477" s="1">
        <v>45294.427800925929</v>
      </c>
      <c r="I1477" s="1">
        <v>45294.427800925929</v>
      </c>
      <c r="J1477" s="1">
        <v>39255.750011574077</v>
      </c>
      <c r="K1477" cm="1">
        <f t="array" ref="K1477" xml:space="preserve"> sentimentCalc(C1477)</f>
        <v>4</v>
      </c>
      <c r="L1477" t="str" cm="1">
        <f t="array" ref="L1477" xml:space="preserve"> sentimentCategory(K1477)</f>
        <v>Positive</v>
      </c>
    </row>
    <row r="1478" spans="1:12">
      <c r="A1478" t="s">
        <v>1378</v>
      </c>
      <c r="B1478" t="s">
        <v>1353</v>
      </c>
      <c r="C1478" t="str" cm="1">
        <f t="array" ref="C1478" xml:space="preserve"> CleanText(B1478)</f>
        <v>wow</v>
      </c>
      <c r="D1478">
        <v>1</v>
      </c>
      <c r="E1478">
        <v>0</v>
      </c>
      <c r="F1478" t="s">
        <v>0</v>
      </c>
      <c r="G1478" t="str" cm="1">
        <f t="array" ref="G1478" xml:space="preserve"> FindCountryName(F1478)</f>
        <v>None</v>
      </c>
      <c r="H1478" s="1">
        <v>45294.401018518518</v>
      </c>
      <c r="I1478" s="1">
        <v>45294.401018518518</v>
      </c>
      <c r="J1478" s="1">
        <v>43439.516284722224</v>
      </c>
      <c r="K1478" cm="1">
        <f t="array" ref="K1478" xml:space="preserve"> sentimentCalc(C1478)</f>
        <v>4</v>
      </c>
      <c r="L1478" t="str" cm="1">
        <f t="array" ref="L1478" xml:space="preserve"> sentimentCategory(K1478)</f>
        <v>Positive</v>
      </c>
    </row>
    <row r="1479" spans="1:12">
      <c r="A1479" t="s">
        <v>76</v>
      </c>
      <c r="B1479" t="s">
        <v>2948</v>
      </c>
      <c r="C1479" t="str" cm="1">
        <f t="array" ref="C1479" xml:space="preserve"> CleanText(B1479)</f>
        <v>ае м тощй  n</v>
      </c>
      <c r="D1479">
        <v>1</v>
      </c>
      <c r="E1479">
        <v>0</v>
      </c>
      <c r="F1479" t="s">
        <v>944</v>
      </c>
      <c r="G1479" t="str" cm="1">
        <f t="array" ref="G1479" xml:space="preserve"> FindCountryName(F1479)</f>
        <v>Russian Federation (the)</v>
      </c>
      <c r="H1479" s="1">
        <v>45294.330740740741</v>
      </c>
      <c r="I1479" s="1">
        <v>45294.330740740741</v>
      </c>
      <c r="J1479" s="1">
        <v>41810.259722222225</v>
      </c>
      <c r="K1479" cm="1">
        <f t="array" ref="K1479" xml:space="preserve"> sentimentCalc(C1479)</f>
        <v>0</v>
      </c>
      <c r="L1479" t="str" cm="1">
        <f t="array" ref="L1479" xml:space="preserve"> sentimentCategory(K1479)</f>
        <v>Neutral</v>
      </c>
    </row>
    <row r="1480" spans="1:12">
      <c r="A1480" t="s">
        <v>2947</v>
      </c>
      <c r="B1480" t="s">
        <v>2946</v>
      </c>
      <c r="C1480" t="str" cm="1">
        <f t="array" ref="C1480" xml:space="preserve"> CleanText(B1480)</f>
        <v>original ost</v>
      </c>
      <c r="D1480">
        <v>1</v>
      </c>
      <c r="E1480">
        <v>0</v>
      </c>
      <c r="F1480" t="s">
        <v>0</v>
      </c>
      <c r="G1480" t="str" cm="1">
        <f t="array" ref="G1480" xml:space="preserve"> FindCountryName(F1480)</f>
        <v>None</v>
      </c>
      <c r="H1480" s="1">
        <v>45294.287453703706</v>
      </c>
      <c r="I1480" s="1">
        <v>45294.287453703706</v>
      </c>
      <c r="J1480" s="1">
        <v>41285.718518518515</v>
      </c>
      <c r="K1480" cm="1">
        <f t="array" ref="K1480" xml:space="preserve"> sentimentCalc(C1480)</f>
        <v>0</v>
      </c>
      <c r="L1480" t="str" cm="1">
        <f t="array" ref="L1480" xml:space="preserve"> sentimentCategory(K1480)</f>
        <v>Neutral</v>
      </c>
    </row>
    <row r="1481" spans="1:12">
      <c r="A1481" t="s">
        <v>175</v>
      </c>
      <c r="B1481" t="s">
        <v>2945</v>
      </c>
      <c r="C1481" t="str" cm="1">
        <f t="array" ref="C1481" xml:space="preserve"> CleanText(B1481)</f>
        <v>for me the fact that they seem to be really following the animated series and trying to be as pure to the animated series as possible shows that we never needed a different adaptation in the first place the original is all well ever need but im still going to watch the shit out of this show</v>
      </c>
      <c r="D1481">
        <v>3</v>
      </c>
      <c r="E1481">
        <v>2</v>
      </c>
      <c r="F1481" t="s">
        <v>0</v>
      </c>
      <c r="G1481" t="str" cm="1">
        <f t="array" ref="G1481" xml:space="preserve"> FindCountryName(F1481)</f>
        <v>None</v>
      </c>
      <c r="H1481" s="1">
        <v>45294.267627314817</v>
      </c>
      <c r="I1481" s="1">
        <v>45294.267627314817</v>
      </c>
      <c r="J1481" s="1">
        <v>41422.783900462964</v>
      </c>
      <c r="K1481" cm="1">
        <f t="array" ref="K1481" xml:space="preserve"> sentimentCalc(C1481)</f>
        <v>0</v>
      </c>
      <c r="L1481" t="str" cm="1">
        <f t="array" ref="L1481" xml:space="preserve"> sentimentCategory(K1481)</f>
        <v>Neutral</v>
      </c>
    </row>
    <row r="1482" spans="1:12">
      <c r="A1482" t="s">
        <v>870</v>
      </c>
      <c r="B1482" t="s">
        <v>2944</v>
      </c>
      <c r="C1482" t="str" cm="1">
        <f t="array" ref="C1482" xml:space="preserve"> CleanText(B1482)</f>
        <v>i am both excited and terrified</v>
      </c>
      <c r="D1482">
        <v>1</v>
      </c>
      <c r="E1482">
        <v>1</v>
      </c>
      <c r="F1482" t="s">
        <v>0</v>
      </c>
      <c r="G1482" t="str" cm="1">
        <f t="array" ref="G1482" xml:space="preserve"> FindCountryName(F1482)</f>
        <v>None</v>
      </c>
      <c r="H1482" s="1">
        <v>45294.243831018517</v>
      </c>
      <c r="I1482" s="1">
        <v>45294.243831018517</v>
      </c>
      <c r="J1482" s="1">
        <v>42303.951793981483</v>
      </c>
      <c r="K1482" cm="1">
        <f t="array" ref="K1482" xml:space="preserve"> sentimentCalc(C1482)</f>
        <v>0</v>
      </c>
      <c r="L1482" t="str" cm="1">
        <f t="array" ref="L1482" xml:space="preserve"> sentimentCategory(K1482)</f>
        <v>Neutral</v>
      </c>
    </row>
    <row r="1483" spans="1:12">
      <c r="A1483" t="s">
        <v>789</v>
      </c>
      <c r="B1483" t="s">
        <v>2943</v>
      </c>
      <c r="C1483" t="str" cm="1">
        <f t="array" ref="C1483" xml:space="preserve"> CleanText(B1483)</f>
        <v>my name is ong</v>
      </c>
      <c r="D1483">
        <v>1</v>
      </c>
      <c r="E1483">
        <v>1</v>
      </c>
      <c r="F1483" t="s">
        <v>0</v>
      </c>
      <c r="G1483" t="str" cm="1">
        <f t="array" ref="G1483" xml:space="preserve"> FindCountryName(F1483)</f>
        <v>None</v>
      </c>
      <c r="H1483" s="1">
        <v>45294.232106481482</v>
      </c>
      <c r="I1483" s="1">
        <v>45294.232106481482</v>
      </c>
      <c r="J1483" s="1">
        <v>42231.328020833331</v>
      </c>
      <c r="K1483" cm="1">
        <f t="array" ref="K1483" xml:space="preserve"> sentimentCalc(C1483)</f>
        <v>0</v>
      </c>
      <c r="L1483" t="str" cm="1">
        <f t="array" ref="L1483" xml:space="preserve"> sentimentCategory(K1483)</f>
        <v>Neutral</v>
      </c>
    </row>
    <row r="1484" spans="1:12">
      <c r="A1484" t="s">
        <v>150</v>
      </c>
      <c r="B1484" t="s">
        <v>2942</v>
      </c>
      <c r="C1484" t="str" cm="1">
        <f t="array" ref="C1484" xml:space="preserve"> CleanText(B1484)</f>
        <v>cg 화다 씬 고 스 쁘않듯</v>
      </c>
      <c r="D1484">
        <v>1</v>
      </c>
      <c r="E1484">
        <v>1</v>
      </c>
      <c r="F1484" t="s">
        <v>0</v>
      </c>
      <c r="G1484" t="str" cm="1">
        <f t="array" ref="G1484" xml:space="preserve"> FindCountryName(F1484)</f>
        <v>None</v>
      </c>
      <c r="H1484" s="1">
        <v>45294.223576388889</v>
      </c>
      <c r="I1484" s="1">
        <v>45294.225416666668</v>
      </c>
      <c r="J1484" s="1">
        <v>41898.35428240741</v>
      </c>
      <c r="K1484" cm="1">
        <f t="array" ref="K1484" xml:space="preserve"> sentimentCalc(C1484)</f>
        <v>0</v>
      </c>
      <c r="L1484" t="str" cm="1">
        <f t="array" ref="L1484" xml:space="preserve"> sentimentCategory(K1484)</f>
        <v>Neutral</v>
      </c>
    </row>
    <row r="1485" spans="1:12">
      <c r="A1485" t="s">
        <v>357</v>
      </c>
      <c r="B1485" t="s">
        <v>2941</v>
      </c>
      <c r="C1485" t="str" cm="1">
        <f t="array" ref="C1485" xml:space="preserve"> CleanText(B1485)</f>
        <v>this looks way better than the other film that was made more closely related to the anime series shut up and take my money haha books ,, please</v>
      </c>
      <c r="D1485">
        <v>1</v>
      </c>
      <c r="E1485">
        <v>1</v>
      </c>
      <c r="F1485" t="s">
        <v>0</v>
      </c>
      <c r="G1485" t="str" cm="1">
        <f t="array" ref="G1485" xml:space="preserve"> FindCountryName(F1485)</f>
        <v>None</v>
      </c>
      <c r="H1485" s="1">
        <v>45294.220254629632</v>
      </c>
      <c r="I1485" s="1">
        <v>45294.220254629632</v>
      </c>
      <c r="J1485" s="1">
        <v>41663.03224537037</v>
      </c>
      <c r="K1485" cm="1">
        <f t="array" ref="K1485" xml:space="preserve"> sentimentCalc(C1485)</f>
        <v>3</v>
      </c>
      <c r="L1485" t="str" cm="1">
        <f t="array" ref="L1485" xml:space="preserve"> sentimentCategory(K1485)</f>
        <v>Positive</v>
      </c>
    </row>
    <row r="1486" spans="1:12">
      <c r="A1486" t="s">
        <v>926</v>
      </c>
      <c r="B1486" t="s">
        <v>2940</v>
      </c>
      <c r="C1486" t="str" cm="1">
        <f t="array" ref="C1486" xml:space="preserve"> CleanText(B1486)</f>
        <v>this looks just like the last one</v>
      </c>
      <c r="D1486">
        <v>0</v>
      </c>
      <c r="E1486">
        <v>0</v>
      </c>
      <c r="F1486" t="s">
        <v>0</v>
      </c>
      <c r="G1486" t="str" cm="1">
        <f t="array" ref="G1486" xml:space="preserve"> FindCountryName(F1486)</f>
        <v>None</v>
      </c>
      <c r="H1486" s="1">
        <v>45294.217199074075</v>
      </c>
      <c r="I1486" s="1">
        <v>45294.217199074075</v>
      </c>
      <c r="J1486" s="1">
        <v>42287.050358796296</v>
      </c>
      <c r="K1486" cm="1">
        <f t="array" ref="K1486" xml:space="preserve"> sentimentCalc(C1486)</f>
        <v>2</v>
      </c>
      <c r="L1486" t="str" cm="1">
        <f t="array" ref="L1486" xml:space="preserve"> sentimentCategory(K1486)</f>
        <v>Positive</v>
      </c>
    </row>
    <row r="1487" spans="1:12">
      <c r="A1487" t="s">
        <v>2939</v>
      </c>
      <c r="B1487" t="s">
        <v>2938</v>
      </c>
      <c r="C1487" t="str" cm="1">
        <f t="array" ref="C1487" xml:space="preserve"> CleanText(B1487)</f>
        <v>well it will suck i am certain of it based on the trailer alone avatar is way more than just visual experience</v>
      </c>
      <c r="D1487">
        <v>0</v>
      </c>
      <c r="E1487">
        <v>2</v>
      </c>
      <c r="F1487" t="s">
        <v>0</v>
      </c>
      <c r="G1487" t="str" cm="1">
        <f t="array" ref="G1487" xml:space="preserve"> FindCountryName(F1487)</f>
        <v>None</v>
      </c>
      <c r="H1487" s="1">
        <v>45294.182523148149</v>
      </c>
      <c r="I1487" s="1">
        <v>45294.182523148149</v>
      </c>
      <c r="J1487" s="1">
        <v>44885.539131944446</v>
      </c>
      <c r="K1487" cm="1">
        <f t="array" ref="K1487" xml:space="preserve"> sentimentCalc(C1487)</f>
        <v>-4</v>
      </c>
      <c r="L1487" t="str" cm="1">
        <f t="array" ref="L1487" xml:space="preserve"> sentimentCategory(K1487)</f>
        <v>Negative</v>
      </c>
    </row>
    <row r="1488" spans="1:12">
      <c r="A1488" t="s">
        <v>2842</v>
      </c>
      <c r="B1488" t="s">
        <v>2937</v>
      </c>
      <c r="C1488" t="str" cm="1">
        <f t="array" ref="C1488" xml:space="preserve"> CleanText(B1488)</f>
        <v>leave the fcking cartoons of our childhood alone first the death note then the vanpeace whats next naruto evangelion get your dirty sticky capitalist hands off other peoples achievements  do your own thing no need to get into peoples souls and shit there with your obnoxious agenda mediocre shit</v>
      </c>
      <c r="D1488">
        <v>0</v>
      </c>
      <c r="E1488">
        <v>7</v>
      </c>
      <c r="F1488" t="s">
        <v>0</v>
      </c>
      <c r="G1488" t="str" cm="1">
        <f t="array" ref="G1488" xml:space="preserve"> FindCountryName(F1488)</f>
        <v>None</v>
      </c>
      <c r="H1488" s="1">
        <v>45294.162719907406</v>
      </c>
      <c r="I1488" s="1">
        <v>45294.162719907406</v>
      </c>
      <c r="J1488" s="1">
        <v>44445.597245370373</v>
      </c>
      <c r="K1488" cm="1">
        <f t="array" ref="K1488" xml:space="preserve"> sentimentCalc(C1488)</f>
        <v>-11</v>
      </c>
      <c r="L1488" t="str" cm="1">
        <f t="array" ref="L1488" xml:space="preserve"> sentimentCategory(K1488)</f>
        <v>Negative</v>
      </c>
    </row>
    <row r="1489" spans="1:12">
      <c r="A1489" t="s">
        <v>340</v>
      </c>
      <c r="B1489" t="s">
        <v>2936</v>
      </c>
      <c r="C1489" t="str" cm="1">
        <f t="array" ref="C1489" xml:space="preserve"> CleanText(B1489)</f>
        <v>oh my god whats up with the perfect casting in avatar and one piece every character is spot on</v>
      </c>
      <c r="D1489">
        <v>3</v>
      </c>
      <c r="E1489">
        <v>1</v>
      </c>
      <c r="F1489" t="s">
        <v>0</v>
      </c>
      <c r="G1489" t="str" cm="1">
        <f t="array" ref="G1489" xml:space="preserve"> FindCountryName(F1489)</f>
        <v>None</v>
      </c>
      <c r="H1489" s="1">
        <v>45294.15184027778</v>
      </c>
      <c r="I1489" s="1">
        <v>45294.15184027778</v>
      </c>
      <c r="J1489" s="1">
        <v>42255.215613425928</v>
      </c>
      <c r="K1489" cm="1">
        <f t="array" ref="K1489" xml:space="preserve"> sentimentCalc(C1489)</f>
        <v>4</v>
      </c>
      <c r="L1489" t="str" cm="1">
        <f t="array" ref="L1489" xml:space="preserve"> sentimentCategory(K1489)</f>
        <v>Positive</v>
      </c>
    </row>
    <row r="1490" spans="1:12">
      <c r="A1490" t="s">
        <v>2935</v>
      </c>
      <c r="B1490" t="s">
        <v>2934</v>
      </c>
      <c r="C1490" t="str" cm="1">
        <f t="array" ref="C1490" xml:space="preserve"> CleanText(B1490)</f>
        <v>oh no here we go again</v>
      </c>
      <c r="D1490">
        <v>1</v>
      </c>
      <c r="E1490">
        <v>0</v>
      </c>
      <c r="F1490" t="s">
        <v>0</v>
      </c>
      <c r="G1490" t="str" cm="1">
        <f t="array" ref="G1490" xml:space="preserve"> FindCountryName(F1490)</f>
        <v>None</v>
      </c>
      <c r="H1490" s="1">
        <v>45294.142604166664</v>
      </c>
      <c r="I1490" s="1">
        <v>45294.142604166664</v>
      </c>
      <c r="J1490" s="1">
        <v>40062.541550925926</v>
      </c>
      <c r="K1490" cm="1">
        <f t="array" ref="K1490" xml:space="preserve"> sentimentCalc(C1490)</f>
        <v>-1</v>
      </c>
      <c r="L1490" t="str" cm="1">
        <f t="array" ref="L1490" xml:space="preserve"> sentimentCategory(K1490)</f>
        <v>Negative</v>
      </c>
    </row>
    <row r="1491" spans="1:12">
      <c r="A1491" t="s">
        <v>472</v>
      </c>
      <c r="B1491" t="s">
        <v>2933</v>
      </c>
      <c r="C1491" t="str" cm="1">
        <f t="array" ref="C1491" xml:space="preserve"> CleanText(B1491)</f>
        <v>0 is the coming</v>
      </c>
      <c r="D1491">
        <v>1</v>
      </c>
      <c r="E1491">
        <v>0</v>
      </c>
      <c r="F1491" t="s">
        <v>0</v>
      </c>
      <c r="G1491" t="str" cm="1">
        <f t="array" ref="G1491" xml:space="preserve"> FindCountryName(F1491)</f>
        <v>None</v>
      </c>
      <c r="H1491" s="1">
        <v>45294.113298611112</v>
      </c>
      <c r="I1491" s="1">
        <v>45294.113298611112</v>
      </c>
      <c r="J1491" s="1">
        <v>45035.350821759261</v>
      </c>
      <c r="K1491" cm="1">
        <f t="array" ref="K1491" xml:space="preserve"> sentimentCalc(C1491)</f>
        <v>0</v>
      </c>
      <c r="L1491" t="str" cm="1">
        <f t="array" ref="L1491" xml:space="preserve"> sentimentCategory(K1491)</f>
        <v>Neutral</v>
      </c>
    </row>
    <row r="1492" spans="1:12">
      <c r="A1492" t="s">
        <v>1112</v>
      </c>
      <c r="B1492" t="s">
        <v>2932</v>
      </c>
      <c r="C1492" t="str" cm="1">
        <f t="array" ref="C1492" xml:space="preserve"> CleanText(B1492)</f>
        <v>ive been waiting for this for years since i was a child i am of the water element</v>
      </c>
      <c r="D1492">
        <v>1</v>
      </c>
      <c r="E1492">
        <v>1</v>
      </c>
      <c r="F1492" t="s">
        <v>0</v>
      </c>
      <c r="G1492" t="str" cm="1">
        <f t="array" ref="G1492" xml:space="preserve"> FindCountryName(F1492)</f>
        <v>None</v>
      </c>
      <c r="H1492" s="1">
        <v>45294.095775462964</v>
      </c>
      <c r="I1492" s="1">
        <v>45294.095775462964</v>
      </c>
      <c r="J1492" s="1">
        <v>45278.845868055556</v>
      </c>
      <c r="K1492" cm="1">
        <f t="array" ref="K1492" xml:space="preserve"> sentimentCalc(C1492)</f>
        <v>0</v>
      </c>
      <c r="L1492" t="str" cm="1">
        <f t="array" ref="L1492" xml:space="preserve"> sentimentCategory(K1492)</f>
        <v>Neutral</v>
      </c>
    </row>
    <row r="1493" spans="1:12">
      <c r="A1493" t="s">
        <v>251</v>
      </c>
      <c r="B1493" t="s">
        <v>2931</v>
      </c>
      <c r="C1493" t="str" cm="1">
        <f t="array" ref="C1493" xml:space="preserve"> CleanText(B1493)</f>
        <v>oh boi hearing that music is doing something to me man_xDD2F__xDE2E__xDCA8_</v>
      </c>
      <c r="D1493">
        <v>3</v>
      </c>
      <c r="E1493">
        <v>1</v>
      </c>
      <c r="F1493" t="s">
        <v>0</v>
      </c>
      <c r="G1493" t="str" cm="1">
        <f t="array" ref="G1493" xml:space="preserve"> FindCountryName(F1493)</f>
        <v>None</v>
      </c>
      <c r="H1493" s="1">
        <v>45294.020219907405</v>
      </c>
      <c r="I1493" s="1">
        <v>45294.020219907405</v>
      </c>
      <c r="J1493" s="1">
        <v>42675.314328703702</v>
      </c>
      <c r="K1493" cm="1">
        <f t="array" ref="K1493" xml:space="preserve"> sentimentCalc(C1493)</f>
        <v>0</v>
      </c>
      <c r="L1493" t="str" cm="1">
        <f t="array" ref="L1493" xml:space="preserve"> sentimentCategory(K1493)</f>
        <v>Neutral</v>
      </c>
    </row>
    <row r="1494" spans="1:12">
      <c r="A1494" t="s">
        <v>2930</v>
      </c>
      <c r="B1494" t="s">
        <v>2929</v>
      </c>
      <c r="C1494" t="str" cm="1">
        <f t="array" ref="C1494" xml:space="preserve"> CleanText(B1494)</f>
        <v>been waiting for the series to come back since a kid man</v>
      </c>
      <c r="D1494">
        <v>1</v>
      </c>
      <c r="E1494">
        <v>0</v>
      </c>
      <c r="F1494" t="s">
        <v>19</v>
      </c>
      <c r="G1494" t="str" cm="1">
        <f t="array" ref="G1494" xml:space="preserve"> FindCountryName(F1494)</f>
        <v>United States of America (the)</v>
      </c>
      <c r="H1494" s="1">
        <v>45294.002847222226</v>
      </c>
      <c r="I1494" s="1">
        <v>45294.002847222226</v>
      </c>
      <c r="J1494" s="1">
        <v>43943.720231481479</v>
      </c>
      <c r="K1494" cm="1">
        <f t="array" ref="K1494" xml:space="preserve"> sentimentCalc(C1494)</f>
        <v>0</v>
      </c>
      <c r="L1494" t="str" cm="1">
        <f t="array" ref="L1494" xml:space="preserve"> sentimentCategory(K1494)</f>
        <v>Neutral</v>
      </c>
    </row>
    <row r="1495" spans="1:12">
      <c r="A1495" t="s">
        <v>2928</v>
      </c>
      <c r="B1495" t="s">
        <v>2927</v>
      </c>
      <c r="C1495" t="str" cm="1">
        <f t="array" ref="C1495" xml:space="preserve"> CleanText(B1495)</f>
        <v>best animation series film i hope it will be best</v>
      </c>
      <c r="D1495">
        <v>2</v>
      </c>
      <c r="E1495">
        <v>0</v>
      </c>
      <c r="F1495" t="s">
        <v>0</v>
      </c>
      <c r="G1495" t="str" cm="1">
        <f t="array" ref="G1495" xml:space="preserve"> FindCountryName(F1495)</f>
        <v>None</v>
      </c>
      <c r="H1495" s="1">
        <v>45294.000034722223</v>
      </c>
      <c r="I1495" s="1">
        <v>45294.000034722223</v>
      </c>
      <c r="J1495" s="1">
        <v>42607.709606481483</v>
      </c>
      <c r="K1495" cm="1">
        <f t="array" ref="K1495" xml:space="preserve"> sentimentCalc(C1495)</f>
        <v>8</v>
      </c>
      <c r="L1495" t="str" cm="1">
        <f t="array" ref="L1495" xml:space="preserve"> sentimentCategory(K1495)</f>
        <v>Positive</v>
      </c>
    </row>
    <row r="1496" spans="1:12">
      <c r="A1496" t="s">
        <v>719</v>
      </c>
      <c r="B1496" t="s">
        <v>2926</v>
      </c>
      <c r="C1496" t="str" cm="1">
        <f t="array" ref="C1496" xml:space="preserve"> CleanText(B1496)</f>
        <v>hmm did they really needed to reveal ozais face in the trailer _xDD14_</v>
      </c>
      <c r="D1496">
        <v>1</v>
      </c>
      <c r="E1496">
        <v>1</v>
      </c>
      <c r="F1496" t="s">
        <v>19</v>
      </c>
      <c r="G1496" t="str" cm="1">
        <f t="array" ref="G1496" xml:space="preserve"> FindCountryName(F1496)</f>
        <v>United States of America (the)</v>
      </c>
      <c r="H1496" s="1">
        <v>45293.987013888887</v>
      </c>
      <c r="I1496" s="1">
        <v>45293.987013888887</v>
      </c>
      <c r="J1496" s="1">
        <v>40472.659270833334</v>
      </c>
      <c r="K1496" cm="1">
        <f t="array" ref="K1496" xml:space="preserve"> sentimentCalc(C1496)</f>
        <v>0</v>
      </c>
      <c r="L1496" t="str" cm="1">
        <f t="array" ref="L1496" xml:space="preserve"> sentimentCategory(K1496)</f>
        <v>Neutral</v>
      </c>
    </row>
    <row r="1497" spans="1:12">
      <c r="A1497" t="s">
        <v>1386</v>
      </c>
      <c r="B1497" t="s">
        <v>2925</v>
      </c>
      <c r="C1497" t="str" cm="1">
        <f t="array" ref="C1497" xml:space="preserve"> CleanText(B1497)</f>
        <v>i just hope they release each episode weekly to maintain weekly hype</v>
      </c>
      <c r="D1497">
        <v>1</v>
      </c>
      <c r="E1497">
        <v>1</v>
      </c>
      <c r="F1497" t="s">
        <v>0</v>
      </c>
      <c r="G1497" t="str" cm="1">
        <f t="array" ref="G1497" xml:space="preserve"> FindCountryName(F1497)</f>
        <v>None</v>
      </c>
      <c r="H1497" s="1">
        <v>45293.972939814812</v>
      </c>
      <c r="I1497" s="1">
        <v>45293.972939814812</v>
      </c>
      <c r="J1497" s="1">
        <v>42499.473877314813</v>
      </c>
      <c r="K1497" cm="1">
        <f t="array" ref="K1497" xml:space="preserve"> sentimentCalc(C1497)</f>
        <v>2</v>
      </c>
      <c r="L1497" t="str" cm="1">
        <f t="array" ref="L1497" xml:space="preserve"> sentimentCategory(K1497)</f>
        <v>Positive</v>
      </c>
    </row>
    <row r="1498" spans="1:12">
      <c r="A1498" t="s">
        <v>612</v>
      </c>
      <c r="B1498" t="s">
        <v>2924</v>
      </c>
      <c r="C1498" t="str" cm="1">
        <f t="array" ref="C1498" xml:space="preserve"> CleanText(B1498)</f>
        <v>we are almost there boys</v>
      </c>
      <c r="D1498">
        <v>3</v>
      </c>
      <c r="E1498">
        <v>1</v>
      </c>
      <c r="F1498" t="s">
        <v>0</v>
      </c>
      <c r="G1498" t="str" cm="1">
        <f t="array" ref="G1498" xml:space="preserve"> FindCountryName(F1498)</f>
        <v>None</v>
      </c>
      <c r="H1498" s="1">
        <v>45293.957060185188</v>
      </c>
      <c r="I1498" s="1">
        <v>45293.957060185188</v>
      </c>
      <c r="J1498" s="1">
        <v>41567.209641203706</v>
      </c>
      <c r="K1498" cm="1">
        <f t="array" ref="K1498" xml:space="preserve"> sentimentCalc(C1498)</f>
        <v>0</v>
      </c>
      <c r="L1498" t="str" cm="1">
        <f t="array" ref="L1498" xml:space="preserve"> sentimentCategory(K1498)</f>
        <v>Neutral</v>
      </c>
    </row>
    <row r="1499" spans="1:12">
      <c r="A1499" t="s">
        <v>26</v>
      </c>
      <c r="B1499" t="s">
        <v>2923</v>
      </c>
      <c r="C1499" t="str" cm="1">
        <f t="array" ref="C1499" xml:space="preserve"> CleanText(B1499)</f>
        <v>this is coming out on my birthday best gift ever</v>
      </c>
      <c r="D1499">
        <v>1</v>
      </c>
      <c r="E1499">
        <v>1</v>
      </c>
      <c r="F1499" t="s">
        <v>19</v>
      </c>
      <c r="G1499" t="str" cm="1">
        <f t="array" ref="G1499" xml:space="preserve"> FindCountryName(F1499)</f>
        <v>United States of America (the)</v>
      </c>
      <c r="H1499" s="1">
        <v>45293.870266203703</v>
      </c>
      <c r="I1499" s="1">
        <v>45293.870266203703</v>
      </c>
      <c r="J1499" s="1">
        <v>42232.861273148148</v>
      </c>
      <c r="K1499" cm="1">
        <f t="array" ref="K1499" xml:space="preserve"> sentimentCalc(C1499)</f>
        <v>5</v>
      </c>
      <c r="L1499" t="str" cm="1">
        <f t="array" ref="L1499" xml:space="preserve"> sentimentCategory(K1499)</f>
        <v>Positive</v>
      </c>
    </row>
    <row r="1500" spans="1:12">
      <c r="A1500" t="s">
        <v>1424</v>
      </c>
      <c r="B1500" t="s">
        <v>2922</v>
      </c>
      <c r="C1500" t="str" cm="1">
        <f t="array" ref="C1500" xml:space="preserve"> CleanText(B1500)</f>
        <v>this has reached 9m views already i feel like i wasnt the only one who watch this everyday please give us the new trailer</v>
      </c>
      <c r="D1500">
        <v>5</v>
      </c>
      <c r="E1500">
        <v>2</v>
      </c>
      <c r="F1500" t="s">
        <v>0</v>
      </c>
      <c r="G1500" t="str" cm="1">
        <f t="array" ref="G1500" xml:space="preserve"> FindCountryName(F1500)</f>
        <v>None</v>
      </c>
      <c r="H1500" s="1">
        <v>45293.858738425923</v>
      </c>
      <c r="I1500" s="1">
        <v>45293.858738425923</v>
      </c>
      <c r="J1500" s="1">
        <v>41288.031134259261</v>
      </c>
      <c r="K1500" cm="1">
        <f t="array" ref="K1500" xml:space="preserve"> sentimentCalc(C1500)</f>
        <v>4</v>
      </c>
      <c r="L1500" t="str" cm="1">
        <f t="array" ref="L1500" xml:space="preserve"> sentimentCategory(K1500)</f>
        <v>Positive</v>
      </c>
    </row>
    <row r="1501" spans="1:12">
      <c r="A1501" t="s">
        <v>2921</v>
      </c>
      <c r="B1501" t="s">
        <v>2920</v>
      </c>
      <c r="C1501" t="str" cm="1">
        <f t="array" ref="C1501" xml:space="preserve"> CleanText(B1501)</f>
        <v>this has to be better then the last live action right the scenery looks great tho</v>
      </c>
      <c r="D1501">
        <v>4</v>
      </c>
      <c r="E1501">
        <v>1</v>
      </c>
      <c r="F1501" t="s">
        <v>0</v>
      </c>
      <c r="G1501" t="str" cm="1">
        <f t="array" ref="G1501" xml:space="preserve"> FindCountryName(F1501)</f>
        <v>None</v>
      </c>
      <c r="H1501" s="1">
        <v>45293.805844907409</v>
      </c>
      <c r="I1501" s="1">
        <v>45293.805844907409</v>
      </c>
      <c r="J1501" s="1">
        <v>44354.604537037034</v>
      </c>
      <c r="K1501" cm="1">
        <f t="array" ref="K1501" xml:space="preserve"> sentimentCalc(C1501)</f>
        <v>5</v>
      </c>
      <c r="L1501" t="str" cm="1">
        <f t="array" ref="L1501" xml:space="preserve"> sentimentCategory(K1501)</f>
        <v>Positive</v>
      </c>
    </row>
    <row r="1502" spans="1:12">
      <c r="A1502" t="s">
        <v>2919</v>
      </c>
      <c r="B1502" t="s">
        <v>2918</v>
      </c>
      <c r="C1502" t="str" cm="1">
        <f t="array" ref="C1502" xml:space="preserve"> CleanText(B1502)</f>
        <v>im not sure if there will be the ember island play episode but they should get the cast of the atla movie to play the ember island cast members</v>
      </c>
      <c r="D1502">
        <v>1</v>
      </c>
      <c r="E1502">
        <v>1</v>
      </c>
      <c r="F1502" t="s">
        <v>0</v>
      </c>
      <c r="G1502" t="str" cm="1">
        <f t="array" ref="G1502" xml:space="preserve"> FindCountryName(F1502)</f>
        <v>None</v>
      </c>
      <c r="H1502" s="1">
        <v>45293.780486111114</v>
      </c>
      <c r="I1502" s="1">
        <v>45293.780486111114</v>
      </c>
      <c r="J1502" s="1">
        <v>40701.838923611111</v>
      </c>
      <c r="K1502" cm="1">
        <f t="array" ref="K1502" xml:space="preserve"> sentimentCalc(C1502)</f>
        <v>0</v>
      </c>
      <c r="L1502" t="str" cm="1">
        <f t="array" ref="L1502" xml:space="preserve"> sentimentCategory(K1502)</f>
        <v>Neutral</v>
      </c>
    </row>
    <row r="1503" spans="1:12">
      <c r="A1503" t="s">
        <v>2917</v>
      </c>
      <c r="B1503" t="s">
        <v>2916</v>
      </c>
      <c r="C1503" t="str" cm="1">
        <f t="array" ref="C1503" xml:space="preserve"> CleanText(B1503)</f>
        <v>directed by m night shamalan</v>
      </c>
      <c r="D1503">
        <v>2</v>
      </c>
      <c r="E1503">
        <v>2</v>
      </c>
      <c r="F1503" t="s">
        <v>0</v>
      </c>
      <c r="G1503" t="str" cm="1">
        <f t="array" ref="G1503" xml:space="preserve"> FindCountryName(F1503)</f>
        <v>None</v>
      </c>
      <c r="H1503" s="1">
        <v>45293.77138888889</v>
      </c>
      <c r="I1503" s="1">
        <v>45293.77138888889</v>
      </c>
      <c r="J1503" s="1">
        <v>45148.291967592595</v>
      </c>
      <c r="K1503" cm="1">
        <f t="array" ref="K1503" xml:space="preserve"> sentimentCalc(C1503)</f>
        <v>0</v>
      </c>
      <c r="L1503" t="str" cm="1">
        <f t="array" ref="L1503" xml:space="preserve"> sentimentCategory(K1503)</f>
        <v>Neutral</v>
      </c>
    </row>
    <row r="1504" spans="1:12">
      <c r="A1504" t="s">
        <v>969</v>
      </c>
      <c r="B1504" t="s">
        <v>2915</v>
      </c>
      <c r="C1504" t="str" cm="1">
        <f t="array" ref="C1504" xml:space="preserve"> CleanText(B1504)</f>
        <v>the bendingappa and the representation of each character is the three pillars this must stand on if its to succeed</v>
      </c>
      <c r="D1504">
        <v>1</v>
      </c>
      <c r="E1504">
        <v>0</v>
      </c>
      <c r="F1504" t="s">
        <v>0</v>
      </c>
      <c r="G1504" t="str" cm="1">
        <f t="array" ref="G1504" xml:space="preserve"> FindCountryName(F1504)</f>
        <v>None</v>
      </c>
      <c r="H1504" s="1">
        <v>45293.751574074071</v>
      </c>
      <c r="I1504" s="1">
        <v>45293.751574074071</v>
      </c>
      <c r="J1504" s="1">
        <v>42007.86986111111</v>
      </c>
      <c r="K1504" cm="1">
        <f t="array" ref="K1504" xml:space="preserve"> sentimentCalc(C1504)</f>
        <v>0</v>
      </c>
      <c r="L1504" t="str" cm="1">
        <f t="array" ref="L1504" xml:space="preserve"> sentimentCategory(K1504)</f>
        <v>Neutral</v>
      </c>
    </row>
    <row r="1505" spans="1:12">
      <c r="A1505" t="s">
        <v>2914</v>
      </c>
      <c r="B1505" t="s">
        <v>2913</v>
      </c>
      <c r="C1505" t="str" cm="1">
        <f t="array" ref="C1505" xml:space="preserve"> CleanText(B1505)</f>
        <v>this actually looks like it might be good it looks pretty true to the original show</v>
      </c>
      <c r="D1505">
        <v>0</v>
      </c>
      <c r="E1505">
        <v>0</v>
      </c>
      <c r="F1505" t="s">
        <v>0</v>
      </c>
      <c r="G1505" t="str" cm="1">
        <f t="array" ref="G1505" xml:space="preserve"> FindCountryName(F1505)</f>
        <v>None</v>
      </c>
      <c r="H1505" s="1">
        <v>45293.712199074071</v>
      </c>
      <c r="I1505" s="1">
        <v>45293.712199074071</v>
      </c>
      <c r="J1505" s="1">
        <v>43448.610219907408</v>
      </c>
      <c r="K1505" cm="1">
        <f t="array" ref="K1505" xml:space="preserve"> sentimentCalc(C1505)</f>
        <v>8</v>
      </c>
      <c r="L1505" t="str" cm="1">
        <f t="array" ref="L1505" xml:space="preserve"> sentimentCategory(K1505)</f>
        <v>Positive</v>
      </c>
    </row>
    <row r="1506" spans="1:12">
      <c r="A1506" t="s">
        <v>1525</v>
      </c>
      <c r="B1506" t="s">
        <v>2912</v>
      </c>
      <c r="C1506" t="str" cm="1">
        <f t="array" ref="C1506" xml:space="preserve"> CleanText(B1506)</f>
        <v>trailer</v>
      </c>
      <c r="D1506">
        <v>0</v>
      </c>
      <c r="E1506">
        <v>0</v>
      </c>
      <c r="F1506" t="s">
        <v>0</v>
      </c>
      <c r="G1506" t="str" cm="1">
        <f t="array" ref="G1506" xml:space="preserve"> FindCountryName(F1506)</f>
        <v>None</v>
      </c>
      <c r="H1506" s="1">
        <v>45293.706967592596</v>
      </c>
      <c r="I1506" s="1">
        <v>45293.706967592596</v>
      </c>
      <c r="J1506" s="1">
        <v>44637.783877314818</v>
      </c>
      <c r="K1506" cm="1">
        <f t="array" ref="K1506" xml:space="preserve"> sentimentCalc(C1506)</f>
        <v>0</v>
      </c>
      <c r="L1506" t="str" cm="1">
        <f t="array" ref="L1506" xml:space="preserve"> sentimentCategory(K1506)</f>
        <v>Neutral</v>
      </c>
    </row>
    <row r="1507" spans="1:12">
      <c r="A1507" t="s">
        <v>460</v>
      </c>
      <c r="B1507" t="s">
        <v>2911</v>
      </c>
      <c r="C1507" t="str" cm="1">
        <f t="array" ref="C1507" xml:space="preserve"> CleanText(B1507)</f>
        <v>as long they are not calling the main character ong in this one at least it looks like the person who wrote this actually watched the show this time</v>
      </c>
      <c r="D1507">
        <v>0</v>
      </c>
      <c r="E1507">
        <v>2</v>
      </c>
      <c r="F1507" t="s">
        <v>0</v>
      </c>
      <c r="G1507" t="str" cm="1">
        <f t="array" ref="G1507" xml:space="preserve"> FindCountryName(F1507)</f>
        <v>None</v>
      </c>
      <c r="H1507" s="1">
        <v>45293.672731481478</v>
      </c>
      <c r="I1507" s="1">
        <v>45293.672731481478</v>
      </c>
      <c r="J1507" s="1">
        <v>44661.949074074073</v>
      </c>
      <c r="K1507" cm="1">
        <f t="array" ref="K1507" xml:space="preserve"> sentimentCalc(C1507)</f>
        <v>2</v>
      </c>
      <c r="L1507" t="str" cm="1">
        <f t="array" ref="L1507" xml:space="preserve"> sentimentCategory(K1507)</f>
        <v>Positive</v>
      </c>
    </row>
    <row r="1508" spans="1:12">
      <c r="A1508" t="s">
        <v>1112</v>
      </c>
      <c r="B1508" t="s">
        <v>2910</v>
      </c>
      <c r="C1508" t="str" cm="1">
        <f t="array" ref="C1508" xml:space="preserve"> CleanText(B1508)</f>
        <v>cant wait for the final trailer _xDE22_</v>
      </c>
      <c r="D1508">
        <v>0</v>
      </c>
      <c r="E1508">
        <v>0</v>
      </c>
      <c r="F1508" t="s">
        <v>0</v>
      </c>
      <c r="G1508" t="str" cm="1">
        <f t="array" ref="G1508" xml:space="preserve"> FindCountryName(F1508)</f>
        <v>None</v>
      </c>
      <c r="H1508" s="1">
        <v>45293.667604166665</v>
      </c>
      <c r="I1508" s="1">
        <v>45293.667604166665</v>
      </c>
      <c r="J1508" s="1">
        <v>44780.166967592595</v>
      </c>
      <c r="K1508" cm="1">
        <f t="array" ref="K1508" xml:space="preserve"> sentimentCalc(C1508)</f>
        <v>0</v>
      </c>
      <c r="L1508" t="str" cm="1">
        <f t="array" ref="L1508" xml:space="preserve"> sentimentCategory(K1508)</f>
        <v>Neutral</v>
      </c>
    </row>
    <row r="1509" spans="1:12">
      <c r="A1509" t="s">
        <v>483</v>
      </c>
      <c r="B1509" t="s">
        <v>2909</v>
      </c>
      <c r="C1509" t="str" cm="1">
        <f t="array" ref="C1509" xml:space="preserve"> CleanText(B1509)</f>
        <v>yip yipp_xDE03_</v>
      </c>
      <c r="D1509">
        <v>0</v>
      </c>
      <c r="E1509">
        <v>0</v>
      </c>
      <c r="F1509" t="s">
        <v>0</v>
      </c>
      <c r="G1509" t="str" cm="1">
        <f t="array" ref="G1509" xml:space="preserve"> FindCountryName(F1509)</f>
        <v>None</v>
      </c>
      <c r="H1509" s="1">
        <v>45293.650393518517</v>
      </c>
      <c r="I1509" s="1">
        <v>45293.650393518517</v>
      </c>
      <c r="J1509" s="1">
        <v>40687.523784722223</v>
      </c>
      <c r="K1509" cm="1">
        <f t="array" ref="K1509" xml:space="preserve"> sentimentCalc(C1509)</f>
        <v>0</v>
      </c>
      <c r="L1509" t="str" cm="1">
        <f t="array" ref="L1509" xml:space="preserve"> sentimentCategory(K1509)</f>
        <v>Neutral</v>
      </c>
    </row>
    <row r="1510" spans="1:12">
      <c r="A1510" t="s">
        <v>2908</v>
      </c>
      <c r="B1510" t="s">
        <v>2907</v>
      </c>
      <c r="C1510" t="str" cm="1">
        <f t="array" ref="C1510" xml:space="preserve"> CleanText(B1510)</f>
        <v>monk gyatso talking</v>
      </c>
      <c r="D1510">
        <v>0</v>
      </c>
      <c r="E1510">
        <v>0</v>
      </c>
      <c r="F1510" t="s">
        <v>0</v>
      </c>
      <c r="G1510" t="str" cm="1">
        <f t="array" ref="G1510" xml:space="preserve"> FindCountryName(F1510)</f>
        <v>None</v>
      </c>
      <c r="H1510" s="1">
        <v>45293.622534722221</v>
      </c>
      <c r="I1510" s="1">
        <v>45293.622534722221</v>
      </c>
      <c r="J1510" s="1">
        <v>41199.899421296293</v>
      </c>
      <c r="K1510" cm="1">
        <f t="array" ref="K1510" xml:space="preserve"> sentimentCalc(C1510)</f>
        <v>0</v>
      </c>
      <c r="L1510" t="str" cm="1">
        <f t="array" ref="L1510" xml:space="preserve"> sentimentCategory(K1510)</f>
        <v>Neutral</v>
      </c>
    </row>
    <row r="1511" spans="1:12">
      <c r="A1511" t="s">
        <v>2906</v>
      </c>
      <c r="B1511" t="s">
        <v>2905</v>
      </c>
      <c r="C1511" t="str" cm="1">
        <f t="array" ref="C1511" xml:space="preserve"> CleanText(B1511)</f>
        <v>no me gust el actor de suko</v>
      </c>
      <c r="D1511">
        <v>0</v>
      </c>
      <c r="E1511">
        <v>2</v>
      </c>
      <c r="F1511" t="s">
        <v>0</v>
      </c>
      <c r="G1511" t="str" cm="1">
        <f t="array" ref="G1511" xml:space="preserve"> FindCountryName(F1511)</f>
        <v>None</v>
      </c>
      <c r="H1511" s="1">
        <v>45293.62</v>
      </c>
      <c r="I1511" s="1">
        <v>45293.62</v>
      </c>
      <c r="J1511" s="1">
        <v>45177.6952662037</v>
      </c>
      <c r="K1511" cm="1">
        <f t="array" ref="K1511" xml:space="preserve"> sentimentCalc(C1511)</f>
        <v>-1</v>
      </c>
      <c r="L1511" t="str" cm="1">
        <f t="array" ref="L1511" xml:space="preserve"> sentimentCategory(K1511)</f>
        <v>Negative</v>
      </c>
    </row>
    <row r="1512" spans="1:12">
      <c r="A1512" t="s">
        <v>1554</v>
      </c>
      <c r="B1512" t="s">
        <v>2904</v>
      </c>
      <c r="C1512" t="str" cm="1">
        <f t="array" ref="C1512" xml:space="preserve"> CleanText(B1512)</f>
        <v>looks great but of all the times for skin color to take part in film i would like to have seen even better casting for sokka and katara still looks better than its predecessor _xDE2C_</v>
      </c>
      <c r="D1512">
        <v>1</v>
      </c>
      <c r="E1512">
        <v>1</v>
      </c>
      <c r="F1512" t="s">
        <v>0</v>
      </c>
      <c r="G1512" t="str" cm="1">
        <f t="array" ref="G1512" xml:space="preserve"> FindCountryName(F1512)</f>
        <v>None</v>
      </c>
      <c r="H1512" s="1">
        <v>45293.610046296293</v>
      </c>
      <c r="I1512" s="1">
        <v>45293.610046296293</v>
      </c>
      <c r="J1512" s="1">
        <v>43504.631168981483</v>
      </c>
      <c r="K1512" cm="1">
        <f t="array" ref="K1512" xml:space="preserve"> sentimentCalc(C1512)</f>
        <v>9</v>
      </c>
      <c r="L1512" t="str" cm="1">
        <f t="array" ref="L1512" xml:space="preserve"> sentimentCategory(K1512)</f>
        <v>Positive</v>
      </c>
    </row>
    <row r="1513" spans="1:12">
      <c r="A1513" t="s">
        <v>591</v>
      </c>
      <c r="B1513" t="s">
        <v>2903</v>
      </c>
      <c r="C1513" t="str" cm="1">
        <f t="array" ref="C1513" xml:space="preserve"> CleanText(B1513)</f>
        <v>lets gooo bbjjjjjjiujij</v>
      </c>
      <c r="D1513">
        <v>0</v>
      </c>
      <c r="E1513">
        <v>0</v>
      </c>
      <c r="F1513" t="s">
        <v>633</v>
      </c>
      <c r="G1513" t="str" cm="1">
        <f t="array" ref="G1513" xml:space="preserve"> FindCountryName(F1513)</f>
        <v>Indonesia</v>
      </c>
      <c r="H1513" s="1">
        <v>45293.552789351852</v>
      </c>
      <c r="I1513" s="1">
        <v>45293.552789351852</v>
      </c>
      <c r="J1513" s="1">
        <v>44124.361250000002</v>
      </c>
      <c r="K1513" cm="1">
        <f t="array" ref="K1513" xml:space="preserve"> sentimentCalc(C1513)</f>
        <v>0</v>
      </c>
      <c r="L1513" t="str" cm="1">
        <f t="array" ref="L1513" xml:space="preserve"> sentimentCategory(K1513)</f>
        <v>Neutral</v>
      </c>
    </row>
    <row r="1514" spans="1:12">
      <c r="A1514" t="s">
        <v>415</v>
      </c>
      <c r="B1514" t="s">
        <v>2902</v>
      </c>
      <c r="C1514" t="str" cm="1">
        <f t="array" ref="C1514" xml:space="preserve"> CleanText(B1514)</f>
        <v>this looks dope af_xDD25_</v>
      </c>
      <c r="D1514">
        <v>0</v>
      </c>
      <c r="E1514">
        <v>0</v>
      </c>
      <c r="F1514" t="s">
        <v>0</v>
      </c>
      <c r="G1514" t="str" cm="1">
        <f t="array" ref="G1514" xml:space="preserve"> FindCountryName(F1514)</f>
        <v>None</v>
      </c>
      <c r="H1514" s="1">
        <v>45293.548009259262</v>
      </c>
      <c r="I1514" s="1">
        <v>45293.548009259262</v>
      </c>
      <c r="J1514" s="1">
        <v>43953.059629629628</v>
      </c>
      <c r="K1514" cm="1">
        <f t="array" ref="K1514" xml:space="preserve"> sentimentCalc(C1514)</f>
        <v>0</v>
      </c>
      <c r="L1514" t="str" cm="1">
        <f t="array" ref="L1514" xml:space="preserve"> sentimentCategory(K1514)</f>
        <v>Neutral</v>
      </c>
    </row>
    <row r="1515" spans="1:12">
      <c r="A1515" t="s">
        <v>2901</v>
      </c>
      <c r="B1515" t="s">
        <v>2900</v>
      </c>
      <c r="C1515" t="str" cm="1">
        <f t="array" ref="C1515" xml:space="preserve"> CleanText(B1515)</f>
        <v>well one piece kinda suck they deleted some of the characters skiped fight between don krieg vs luffy and changed some character into womanwhen i watched one piece be like i saw some american doing cosplay playing fanfiction of one piecei dont think this series gonna make it to season  if they keep doing same mistake like one piece</v>
      </c>
      <c r="D1515">
        <v>0</v>
      </c>
      <c r="E1515">
        <v>0</v>
      </c>
      <c r="F1515" t="s">
        <v>633</v>
      </c>
      <c r="G1515" t="str" cm="1">
        <f t="array" ref="G1515" xml:space="preserve"> FindCountryName(F1515)</f>
        <v>Indonesia</v>
      </c>
      <c r="H1515" s="1">
        <v>45293.536249999997</v>
      </c>
      <c r="I1515" s="1">
        <v>45293.536249999997</v>
      </c>
      <c r="J1515" s="1">
        <v>41114.481215277781</v>
      </c>
      <c r="K1515" cm="1">
        <f t="array" ref="K1515" xml:space="preserve"> sentimentCalc(C1515)</f>
        <v>-2</v>
      </c>
      <c r="L1515" t="str" cm="1">
        <f t="array" ref="L1515" xml:space="preserve"> sentimentCategory(K1515)</f>
        <v>Negative</v>
      </c>
    </row>
    <row r="1516" spans="1:12">
      <c r="A1516" t="s">
        <v>1080</v>
      </c>
      <c r="B1516" t="s">
        <v>2899</v>
      </c>
      <c r="C1516" t="str" cm="1">
        <f t="array" ref="C1516" xml:space="preserve"> CleanText(B1516)</f>
        <v>perfecta y entretenida</v>
      </c>
      <c r="D1516">
        <v>0</v>
      </c>
      <c r="E1516">
        <v>0</v>
      </c>
      <c r="F1516" t="s">
        <v>0</v>
      </c>
      <c r="G1516" t="str" cm="1">
        <f t="array" ref="G1516" xml:space="preserve"> FindCountryName(F1516)</f>
        <v>None</v>
      </c>
      <c r="H1516" s="1">
        <v>45293.532175925924</v>
      </c>
      <c r="I1516" s="1">
        <v>45293.532175925924</v>
      </c>
      <c r="J1516" s="1">
        <v>44006.365312499998</v>
      </c>
      <c r="K1516" cm="1">
        <f t="array" ref="K1516" xml:space="preserve"> sentimentCalc(C1516)</f>
        <v>0</v>
      </c>
      <c r="L1516" t="str" cm="1">
        <f t="array" ref="L1516" xml:space="preserve"> sentimentCategory(K1516)</f>
        <v>Neutral</v>
      </c>
    </row>
    <row r="1517" spans="1:12">
      <c r="A1517" t="s">
        <v>1069</v>
      </c>
      <c r="B1517" t="s">
        <v>2898</v>
      </c>
      <c r="C1517" t="str" cm="1">
        <f t="array" ref="C1517" xml:space="preserve"> CleanText(B1517)</f>
        <v>please dont nerf kataratoph also give sokka his character development please</v>
      </c>
      <c r="D1517">
        <v>0</v>
      </c>
      <c r="E1517">
        <v>0</v>
      </c>
      <c r="F1517" t="s">
        <v>0</v>
      </c>
      <c r="G1517" t="str" cm="1">
        <f t="array" ref="G1517" xml:space="preserve"> FindCountryName(F1517)</f>
        <v>None</v>
      </c>
      <c r="H1517" s="1">
        <v>45293.515972222223</v>
      </c>
      <c r="I1517" s="1">
        <v>45293.515972222223</v>
      </c>
      <c r="J1517" s="1">
        <v>41261.852384259262</v>
      </c>
      <c r="K1517" cm="1">
        <f t="array" ref="K1517" xml:space="preserve"> sentimentCalc(C1517)</f>
        <v>2</v>
      </c>
      <c r="L1517" t="str" cm="1">
        <f t="array" ref="L1517" xml:space="preserve"> sentimentCategory(K1517)</f>
        <v>Positive</v>
      </c>
    </row>
    <row r="1518" spans="1:12">
      <c r="A1518" t="s">
        <v>1156</v>
      </c>
      <c r="B1518" t="s">
        <v>2897</v>
      </c>
      <c r="C1518" t="str" cm="1">
        <f t="array" ref="C1518" xml:space="preserve"> CleanText(B1518)</f>
        <v>yep chills</v>
      </c>
      <c r="D1518">
        <v>0</v>
      </c>
      <c r="E1518">
        <v>0</v>
      </c>
      <c r="F1518" t="s">
        <v>0</v>
      </c>
      <c r="G1518" t="str" cm="1">
        <f t="array" ref="G1518" xml:space="preserve"> FindCountryName(F1518)</f>
        <v>None</v>
      </c>
      <c r="H1518" s="1">
        <v>45293.498599537037</v>
      </c>
      <c r="I1518" s="1">
        <v>45293.498599537037</v>
      </c>
      <c r="J1518" s="1">
        <v>41167.578240740739</v>
      </c>
      <c r="K1518" cm="1">
        <f t="array" ref="K1518" xml:space="preserve"> sentimentCalc(C1518)</f>
        <v>0</v>
      </c>
      <c r="L1518" t="str" cm="1">
        <f t="array" ref="L1518" xml:space="preserve"> sentimentCategory(K1518)</f>
        <v>Neutral</v>
      </c>
    </row>
    <row r="1519" spans="1:12">
      <c r="A1519" t="s">
        <v>796</v>
      </c>
      <c r="B1519" t="s">
        <v>2896</v>
      </c>
      <c r="C1519" t="str" cm="1">
        <f t="array" ref="C1519" xml:space="preserve"> CleanText(B1519)</f>
        <v>but i believenetflix can revive the show</v>
      </c>
      <c r="D1519">
        <v>1</v>
      </c>
      <c r="E1519">
        <v>0</v>
      </c>
      <c r="F1519" t="s">
        <v>0</v>
      </c>
      <c r="G1519" t="str" cm="1">
        <f t="array" ref="G1519" xml:space="preserve"> FindCountryName(F1519)</f>
        <v>None</v>
      </c>
      <c r="H1519" s="1">
        <v>45293.463182870371</v>
      </c>
      <c r="I1519" s="1">
        <v>45293.463182870371</v>
      </c>
      <c r="J1519" s="1">
        <v>43649.590138888889</v>
      </c>
      <c r="K1519" cm="1">
        <f t="array" ref="K1519" xml:space="preserve"> sentimentCalc(C1519)</f>
        <v>2</v>
      </c>
      <c r="L1519" t="str" cm="1">
        <f t="array" ref="L1519" xml:space="preserve"> sentimentCategory(K1519)</f>
        <v>Positive</v>
      </c>
    </row>
    <row r="1520" spans="1:12">
      <c r="A1520" t="s">
        <v>291</v>
      </c>
      <c r="B1520" t="s">
        <v>2895</v>
      </c>
      <c r="C1520" t="str" cm="1">
        <f t="array" ref="C1520" xml:space="preserve"> CleanText(B1520)</f>
        <v>wait for korra her series will be so dominant i wonder who they would use for that</v>
      </c>
      <c r="D1520">
        <v>0</v>
      </c>
      <c r="E1520">
        <v>1</v>
      </c>
      <c r="F1520" t="s">
        <v>0</v>
      </c>
      <c r="G1520" t="str" cm="1">
        <f t="array" ref="G1520" xml:space="preserve"> FindCountryName(F1520)</f>
        <v>None</v>
      </c>
      <c r="H1520" s="1">
        <v>45293.429120370369</v>
      </c>
      <c r="I1520" s="1">
        <v>45293.429120370369</v>
      </c>
      <c r="J1520" s="1">
        <v>42976.476956018516</v>
      </c>
      <c r="K1520" cm="1">
        <f t="array" ref="K1520" xml:space="preserve"> sentimentCalc(C1520)</f>
        <v>0</v>
      </c>
      <c r="L1520" t="str" cm="1">
        <f t="array" ref="L1520" xml:space="preserve"> sentimentCategory(K1520)</f>
        <v>Neutral</v>
      </c>
    </row>
    <row r="1521" spans="1:12">
      <c r="A1521" t="s">
        <v>291</v>
      </c>
      <c r="B1521" t="s">
        <v>2894</v>
      </c>
      <c r="C1521" t="str" cm="1">
        <f t="array" ref="C1521" xml:space="preserve"> CleanText(B1521)</f>
        <v>whos in the last month we watched the cartoon of aang and korra and then almost collapsed when they saw this _xDE02_</v>
      </c>
      <c r="D1521">
        <v>0</v>
      </c>
      <c r="E1521">
        <v>0</v>
      </c>
      <c r="F1521" t="s">
        <v>0</v>
      </c>
      <c r="G1521" t="str" cm="1">
        <f t="array" ref="G1521" xml:space="preserve"> FindCountryName(F1521)</f>
        <v>None</v>
      </c>
      <c r="H1521" s="1">
        <v>45293.42863425926</v>
      </c>
      <c r="I1521" s="1">
        <v>45293.42863425926</v>
      </c>
      <c r="J1521" s="1">
        <v>42976.476956018516</v>
      </c>
      <c r="K1521" cm="1">
        <f t="array" ref="K1521" xml:space="preserve"> sentimentCalc(C1521)</f>
        <v>-2</v>
      </c>
      <c r="L1521" t="str" cm="1">
        <f t="array" ref="L1521" xml:space="preserve"> sentimentCategory(K1521)</f>
        <v>Negative</v>
      </c>
    </row>
    <row r="1522" spans="1:12">
      <c r="A1522" t="s">
        <v>291</v>
      </c>
      <c r="B1522" t="s">
        <v>2893</v>
      </c>
      <c r="C1522" t="str" cm="1">
        <f t="array" ref="C1522" xml:space="preserve"> CleanText(B1522)</f>
        <v>i just hope everyone in it is excellent with martial arts or it wont live up to the cartoon standard this has to be bang on or not even made</v>
      </c>
      <c r="D1522">
        <v>0</v>
      </c>
      <c r="E1522">
        <v>0</v>
      </c>
      <c r="F1522" t="s">
        <v>0</v>
      </c>
      <c r="G1522" t="str" cm="1">
        <f t="array" ref="G1522" xml:space="preserve"> FindCountryName(F1522)</f>
        <v>None</v>
      </c>
      <c r="H1522" s="1">
        <v>45293.428043981483</v>
      </c>
      <c r="I1522" s="1">
        <v>45293.428043981483</v>
      </c>
      <c r="J1522" s="1">
        <v>42976.476956018516</v>
      </c>
      <c r="K1522" cm="1">
        <f t="array" ref="K1522" xml:space="preserve"> sentimentCalc(C1522)</f>
        <v>5</v>
      </c>
      <c r="L1522" t="str" cm="1">
        <f t="array" ref="L1522" xml:space="preserve"> sentimentCategory(K1522)</f>
        <v>Positive</v>
      </c>
    </row>
    <row r="1523" spans="1:12">
      <c r="A1523" t="s">
        <v>710</v>
      </c>
      <c r="B1523" t="s">
        <v>2892</v>
      </c>
      <c r="C1523" t="str" cm="1">
        <f t="array" ref="C1523" xml:space="preserve"> CleanText(B1523)</f>
        <v>i hope they at least pronounce the names right in this one _xDE05_</v>
      </c>
      <c r="D1523">
        <v>0</v>
      </c>
      <c r="E1523">
        <v>1</v>
      </c>
      <c r="F1523" t="s">
        <v>0</v>
      </c>
      <c r="G1523" t="str" cm="1">
        <f t="array" ref="G1523" xml:space="preserve"> FindCountryName(F1523)</f>
        <v>None</v>
      </c>
      <c r="H1523" s="1">
        <v>45293.36818287037</v>
      </c>
      <c r="I1523" s="1">
        <v>45293.36818287037</v>
      </c>
      <c r="J1523" s="1">
        <v>43031.708761574075</v>
      </c>
      <c r="K1523" cm="1">
        <f t="array" ref="K1523" xml:space="preserve"> sentimentCalc(C1523)</f>
        <v>2</v>
      </c>
      <c r="L1523" t="str" cm="1">
        <f t="array" ref="L1523" xml:space="preserve"> sentimentCategory(K1523)</f>
        <v>Positive</v>
      </c>
    </row>
    <row r="1524" spans="1:12">
      <c r="A1524" t="s">
        <v>2891</v>
      </c>
      <c r="B1524" t="s">
        <v>2890</v>
      </c>
      <c r="C1524" t="str" cm="1">
        <f t="array" ref="C1524" xml:space="preserve"> CleanText(B1524)</f>
        <v>aangantichrist</v>
      </c>
      <c r="D1524">
        <v>1</v>
      </c>
      <c r="E1524">
        <v>0</v>
      </c>
      <c r="F1524" t="s">
        <v>944</v>
      </c>
      <c r="G1524" t="str" cm="1">
        <f t="array" ref="G1524" xml:space="preserve"> FindCountryName(F1524)</f>
        <v>Russian Federation (the)</v>
      </c>
      <c r="H1524" s="1">
        <v>45293.362407407411</v>
      </c>
      <c r="I1524" s="1">
        <v>45293.362407407411</v>
      </c>
      <c r="J1524" s="1">
        <v>40731.938310185185</v>
      </c>
      <c r="K1524" cm="1">
        <f t="array" ref="K1524" xml:space="preserve"> sentimentCalc(C1524)</f>
        <v>0</v>
      </c>
      <c r="L1524" t="str" cm="1">
        <f t="array" ref="L1524" xml:space="preserve"> sentimentCategory(K1524)</f>
        <v>Neutral</v>
      </c>
    </row>
    <row r="1525" spans="1:12">
      <c r="A1525" t="s">
        <v>2889</v>
      </c>
      <c r="B1525" t="s">
        <v>2888</v>
      </c>
      <c r="C1525" t="str" cm="1">
        <f t="array" ref="C1525" xml:space="preserve"> CleanText(B1525)</f>
        <v>am i the only one who kinda liked the movie lol it had some good moments and my expectations were low anyway as i dont really watch the cartoon atleast it wasnt as bad as dragonball haha this one looks alot better tho</v>
      </c>
      <c r="D1525">
        <v>0</v>
      </c>
      <c r="E1525">
        <v>0</v>
      </c>
      <c r="F1525" t="s">
        <v>0</v>
      </c>
      <c r="G1525" t="str" cm="1">
        <f t="array" ref="G1525" xml:space="preserve"> FindCountryName(F1525)</f>
        <v>None</v>
      </c>
      <c r="H1525" s="1">
        <v>45293.340509259258</v>
      </c>
      <c r="I1525" s="1">
        <v>45293.341331018521</v>
      </c>
      <c r="J1525" s="1">
        <v>41567.970289351855</v>
      </c>
      <c r="K1525" cm="1">
        <f t="array" ref="K1525" xml:space="preserve"> sentimentCalc(C1525)</f>
        <v>4</v>
      </c>
      <c r="L1525" t="str" cm="1">
        <f t="array" ref="L1525" xml:space="preserve"> sentimentCategory(K1525)</f>
        <v>Positive</v>
      </c>
    </row>
    <row r="1526" spans="1:12">
      <c r="A1526" t="s">
        <v>38</v>
      </c>
      <c r="B1526" t="s">
        <v>2887</v>
      </c>
      <c r="C1526" t="str" cm="1">
        <f t="array" ref="C1526" xml:space="preserve"> CleanText(B1526)</f>
        <v>dont ruin it please</v>
      </c>
      <c r="D1526">
        <v>0</v>
      </c>
      <c r="E1526">
        <v>0</v>
      </c>
      <c r="F1526" t="s">
        <v>39</v>
      </c>
      <c r="G1526" t="str" cm="1">
        <f t="array" ref="G1526" xml:space="preserve"> FindCountryName(F1526)</f>
        <v>United Kingdom of Great Britain and Northern Ireland (the)</v>
      </c>
      <c r="H1526" s="1">
        <v>45293.295601851853</v>
      </c>
      <c r="I1526" s="1">
        <v>45293.295601851853</v>
      </c>
      <c r="J1526" s="1">
        <v>41739.606180555558</v>
      </c>
      <c r="K1526" cm="1">
        <f t="array" ref="K1526" xml:space="preserve"> sentimentCalc(C1526)</f>
        <v>-1</v>
      </c>
      <c r="L1526" t="str" cm="1">
        <f t="array" ref="L1526" xml:space="preserve"> sentimentCategory(K1526)</f>
        <v>Negative</v>
      </c>
    </row>
    <row r="1527" spans="1:12">
      <c r="A1527" t="s">
        <v>320</v>
      </c>
      <c r="B1527" t="s">
        <v>2886</v>
      </c>
      <c r="C1527" t="str" cm="1">
        <f t="array" ref="C1527" xml:space="preserve"> CleanText(B1527)</f>
        <v>why is zuko fighting back on his agni kai the whole point is that he refused to fight</v>
      </c>
      <c r="D1527">
        <v>0</v>
      </c>
      <c r="E1527">
        <v>1</v>
      </c>
      <c r="F1527" t="s">
        <v>0</v>
      </c>
      <c r="G1527" t="str" cm="1">
        <f t="array" ref="G1527" xml:space="preserve"> FindCountryName(F1527)</f>
        <v>None</v>
      </c>
      <c r="H1527" s="1">
        <v>45293.291967592595</v>
      </c>
      <c r="I1527" s="1">
        <v>45293.291967592595</v>
      </c>
      <c r="J1527" s="1">
        <v>42174.42082175926</v>
      </c>
      <c r="K1527" cm="1">
        <f t="array" ref="K1527" xml:space="preserve"> sentimentCalc(C1527)</f>
        <v>-3</v>
      </c>
      <c r="L1527" t="str" cm="1">
        <f t="array" ref="L1527" xml:space="preserve"> sentimentCategory(K1527)</f>
        <v>Negative</v>
      </c>
    </row>
    <row r="1528" spans="1:12">
      <c r="A1528" t="s">
        <v>1295</v>
      </c>
      <c r="B1528" t="s">
        <v>2885</v>
      </c>
      <c r="C1528" t="str" cm="1">
        <f t="array" ref="C1528" xml:space="preserve"> CleanText(B1528)</f>
        <v>will the be the exact same story as the original series or a new plot</v>
      </c>
      <c r="D1528">
        <v>1</v>
      </c>
      <c r="E1528">
        <v>2</v>
      </c>
      <c r="F1528" t="s">
        <v>0</v>
      </c>
      <c r="G1528" t="str" cm="1">
        <f t="array" ref="G1528" xml:space="preserve"> FindCountryName(F1528)</f>
        <v>None</v>
      </c>
      <c r="H1528" s="1">
        <v>45293.192789351851</v>
      </c>
      <c r="I1528" s="1">
        <v>45293.192789351851</v>
      </c>
      <c r="J1528" s="1">
        <v>40954.578483796293</v>
      </c>
      <c r="K1528" cm="1">
        <f t="array" ref="K1528" xml:space="preserve"> sentimentCalc(C1528)</f>
        <v>0</v>
      </c>
      <c r="L1528" t="str" cm="1">
        <f t="array" ref="L1528" xml:space="preserve"> sentimentCategory(K1528)</f>
        <v>Neutral</v>
      </c>
    </row>
    <row r="1529" spans="1:12">
      <c r="A1529" t="s">
        <v>566</v>
      </c>
      <c r="B1529" t="s">
        <v>2884</v>
      </c>
      <c r="C1529" t="str" cm="1">
        <f t="array" ref="C1529" xml:space="preserve"> CleanText(B1529)</f>
        <v>hope it wasnt like the other movie</v>
      </c>
      <c r="D1529">
        <v>1</v>
      </c>
      <c r="E1529">
        <v>0</v>
      </c>
      <c r="F1529" t="s">
        <v>0</v>
      </c>
      <c r="G1529" t="str" cm="1">
        <f t="array" ref="G1529" xml:space="preserve"> FindCountryName(F1529)</f>
        <v>None</v>
      </c>
      <c r="H1529" s="1">
        <v>45293.189895833333</v>
      </c>
      <c r="I1529" s="1">
        <v>45293.189895833333</v>
      </c>
      <c r="J1529" s="1">
        <v>44571.765428240738</v>
      </c>
      <c r="K1529" cm="1">
        <f t="array" ref="K1529" xml:space="preserve"> sentimentCalc(C1529)</f>
        <v>4</v>
      </c>
      <c r="L1529" t="str" cm="1">
        <f t="array" ref="L1529" xml:space="preserve"> sentimentCategory(K1529)</f>
        <v>Positive</v>
      </c>
    </row>
    <row r="1530" spans="1:12">
      <c r="A1530" t="s">
        <v>603</v>
      </c>
      <c r="B1530" t="s">
        <v>2883</v>
      </c>
      <c r="C1530" t="str" cm="1">
        <f t="array" ref="C1530" xml:space="preserve"> CleanText(B1530)</f>
        <v>the scar is on the wrong side</v>
      </c>
      <c r="D1530">
        <v>2</v>
      </c>
      <c r="E1530">
        <v>3</v>
      </c>
      <c r="F1530" t="s">
        <v>0</v>
      </c>
      <c r="G1530" t="str" cm="1">
        <f t="array" ref="G1530" xml:space="preserve"> FindCountryName(F1530)</f>
        <v>None</v>
      </c>
      <c r="H1530" s="1">
        <v>45293.091145833336</v>
      </c>
      <c r="I1530" s="1">
        <v>45293.091145833336</v>
      </c>
      <c r="J1530" s="1">
        <v>42660.889027777775</v>
      </c>
      <c r="K1530" cm="1">
        <f t="array" ref="K1530" xml:space="preserve"> sentimentCalc(C1530)</f>
        <v>-2</v>
      </c>
      <c r="L1530" t="str" cm="1">
        <f t="array" ref="L1530" xml:space="preserve"> sentimentCategory(K1530)</f>
        <v>Negative</v>
      </c>
    </row>
    <row r="1531" spans="1:12">
      <c r="A1531" t="s">
        <v>86</v>
      </c>
      <c r="B1531" t="s">
        <v>2882</v>
      </c>
      <c r="C1531" t="str" cm="1">
        <f t="array" ref="C1531" xml:space="preserve"> CleanText(B1531)</f>
        <v>time aint that funny</v>
      </c>
      <c r="D1531">
        <v>0</v>
      </c>
      <c r="E1531">
        <v>0</v>
      </c>
      <c r="F1531" t="s">
        <v>0</v>
      </c>
      <c r="G1531" t="str" cm="1">
        <f t="array" ref="G1531" xml:space="preserve"> FindCountryName(F1531)</f>
        <v>None</v>
      </c>
      <c r="H1531" s="1">
        <v>45293.090162037035</v>
      </c>
      <c r="I1531" s="1">
        <v>45293.090162037035</v>
      </c>
      <c r="J1531" s="1">
        <v>44822.477037037039</v>
      </c>
      <c r="K1531" cm="1">
        <f t="array" ref="K1531" xml:space="preserve"> sentimentCalc(C1531)</f>
        <v>4</v>
      </c>
      <c r="L1531" t="str" cm="1">
        <f t="array" ref="L1531" xml:space="preserve"> sentimentCategory(K1531)</f>
        <v>Positive</v>
      </c>
    </row>
    <row r="1532" spans="1:12">
      <c r="A1532" t="s">
        <v>2881</v>
      </c>
      <c r="B1532" t="s">
        <v>2880</v>
      </c>
      <c r="C1532" t="str" cm="1">
        <f t="array" ref="C1532" xml:space="preserve"> CleanText(B1532)</f>
        <v>man im scared and excited</v>
      </c>
      <c r="D1532">
        <v>2</v>
      </c>
      <c r="E1532">
        <v>0</v>
      </c>
      <c r="F1532" t="s">
        <v>19</v>
      </c>
      <c r="G1532" t="str" cm="1">
        <f t="array" ref="G1532" xml:space="preserve"> FindCountryName(F1532)</f>
        <v>United States of America (the)</v>
      </c>
      <c r="H1532" s="1">
        <v>45293.046539351853</v>
      </c>
      <c r="I1532" s="1">
        <v>45293.046539351853</v>
      </c>
      <c r="J1532" s="1">
        <v>40052.643831018519</v>
      </c>
      <c r="K1532" cm="1">
        <f t="array" ref="K1532" xml:space="preserve"> sentimentCalc(C1532)</f>
        <v>1</v>
      </c>
      <c r="L1532" t="str" cm="1">
        <f t="array" ref="L1532" xml:space="preserve"> sentimentCategory(K1532)</f>
        <v>Positive</v>
      </c>
    </row>
    <row r="1533" spans="1:12">
      <c r="A1533" t="s">
        <v>2879</v>
      </c>
      <c r="B1533" t="s">
        <v>2878</v>
      </c>
      <c r="C1533" t="str" cm="1">
        <f t="array" ref="C1533" xml:space="preserve"> CleanText(B1533)</f>
        <v>n</v>
      </c>
      <c r="D1533">
        <v>0</v>
      </c>
      <c r="E1533">
        <v>0</v>
      </c>
      <c r="F1533" t="s">
        <v>892</v>
      </c>
      <c r="G1533" t="str" cm="1">
        <f t="array" ref="G1533" xml:space="preserve"> FindCountryName(F1533)</f>
        <v>Dominican Republic (the)</v>
      </c>
      <c r="H1533" s="1">
        <v>45293.031828703701</v>
      </c>
      <c r="I1533" s="1">
        <v>45293.031828703701</v>
      </c>
      <c r="J1533" s="1">
        <v>43149.672986111109</v>
      </c>
      <c r="K1533" cm="1">
        <f t="array" ref="K1533" xml:space="preserve"> sentimentCalc(C1533)</f>
        <v>0</v>
      </c>
      <c r="L1533" t="str" cm="1">
        <f t="array" ref="L1533" xml:space="preserve"> sentimentCategory(K1533)</f>
        <v>Neutral</v>
      </c>
    </row>
    <row r="1534" spans="1:12">
      <c r="A1534" t="s">
        <v>2877</v>
      </c>
      <c r="B1534" t="s">
        <v>2876</v>
      </c>
      <c r="C1534" t="str" cm="1">
        <f t="array" ref="C1534" xml:space="preserve"> CleanText(B1534)</f>
        <v>the thing that concerns me is the acting especially for aang thats gonna be a tough role to act in but he looks like hell forsure  fight like aang cuz hes a athletic actor sokka is gonna be tough aswell</v>
      </c>
      <c r="D1534">
        <v>1</v>
      </c>
      <c r="E1534">
        <v>0</v>
      </c>
      <c r="F1534" t="s">
        <v>0</v>
      </c>
      <c r="G1534" t="str" cm="1">
        <f t="array" ref="G1534" xml:space="preserve"> FindCountryName(F1534)</f>
        <v>None</v>
      </c>
      <c r="H1534" s="1">
        <v>45292.996678240743</v>
      </c>
      <c r="I1534" s="1">
        <v>45292.996678240743</v>
      </c>
      <c r="J1534" s="1">
        <v>41351.809814814813</v>
      </c>
      <c r="K1534" cm="1">
        <f t="array" ref="K1534" xml:space="preserve"> sentimentCalc(C1534)</f>
        <v>-1</v>
      </c>
      <c r="L1534" t="str" cm="1">
        <f t="array" ref="L1534" xml:space="preserve"> sentimentCategory(K1534)</f>
        <v>Negative</v>
      </c>
    </row>
    <row r="1535" spans="1:12">
      <c r="A1535" t="s">
        <v>139</v>
      </c>
      <c r="B1535" t="s">
        <v>2875</v>
      </c>
      <c r="C1535" t="str" cm="1">
        <f t="array" ref="C1535" xml:space="preserve"> CleanText(B1535)</f>
        <v>nonono stop please we beg you</v>
      </c>
      <c r="D1535">
        <v>1</v>
      </c>
      <c r="E1535">
        <v>1</v>
      </c>
      <c r="F1535" t="s">
        <v>0</v>
      </c>
      <c r="G1535" t="str" cm="1">
        <f t="array" ref="G1535" xml:space="preserve"> FindCountryName(F1535)</f>
        <v>None</v>
      </c>
      <c r="H1535" s="1">
        <v>45292.976377314815</v>
      </c>
      <c r="I1535" s="1">
        <v>45292.976377314815</v>
      </c>
      <c r="J1535" s="1">
        <v>42534.440925925926</v>
      </c>
      <c r="K1535" cm="1">
        <f t="array" ref="K1535" xml:space="preserve"> sentimentCalc(C1535)</f>
        <v>0</v>
      </c>
      <c r="L1535" t="str" cm="1">
        <f t="array" ref="L1535" xml:space="preserve"> sentimentCategory(K1535)</f>
        <v>Neutral</v>
      </c>
    </row>
    <row r="1536" spans="1:12">
      <c r="A1536" t="s">
        <v>26</v>
      </c>
      <c r="B1536" t="s">
        <v>2874</v>
      </c>
      <c r="C1536" t="str" cm="1">
        <f t="array" ref="C1536" xml:space="preserve"> CleanText(B1536)</f>
        <v>i wish can be better than first movie</v>
      </c>
      <c r="D1536">
        <v>0</v>
      </c>
      <c r="E1536">
        <v>0</v>
      </c>
      <c r="F1536" t="s">
        <v>0</v>
      </c>
      <c r="G1536" t="str" cm="1">
        <f t="array" ref="G1536" xml:space="preserve"> FindCountryName(F1536)</f>
        <v>None</v>
      </c>
      <c r="H1536" s="1">
        <v>45292.942094907405</v>
      </c>
      <c r="I1536" s="1">
        <v>45292.942094907405</v>
      </c>
      <c r="J1536" s="1">
        <v>43232.550856481481</v>
      </c>
      <c r="K1536" cm="1">
        <f t="array" ref="K1536" xml:space="preserve"> sentimentCalc(C1536)</f>
        <v>3</v>
      </c>
      <c r="L1536" t="str" cm="1">
        <f t="array" ref="L1536" xml:space="preserve"> sentimentCategory(K1536)</f>
        <v>Positive</v>
      </c>
    </row>
    <row r="1537" spans="1:12">
      <c r="A1537" t="s">
        <v>2873</v>
      </c>
      <c r="B1537" t="s">
        <v>2872</v>
      </c>
      <c r="C1537" t="str" cm="1">
        <f t="array" ref="C1537" xml:space="preserve"> CleanText(B1537)</f>
        <v>ohm omg omg log omg log omg ️</v>
      </c>
      <c r="D1537">
        <v>0</v>
      </c>
      <c r="E1537">
        <v>0</v>
      </c>
      <c r="F1537" t="s">
        <v>19</v>
      </c>
      <c r="G1537" t="str" cm="1">
        <f t="array" ref="G1537" xml:space="preserve"> FindCountryName(F1537)</f>
        <v>United States of America (the)</v>
      </c>
      <c r="H1537" s="1">
        <v>45292.915358796294</v>
      </c>
      <c r="I1537" s="1">
        <v>45292.915358796294</v>
      </c>
      <c r="J1537" s="1">
        <v>43167.520995370367</v>
      </c>
      <c r="K1537" cm="1">
        <f t="array" ref="K1537" xml:space="preserve"> sentimentCalc(C1537)</f>
        <v>0</v>
      </c>
      <c r="L1537" t="str" cm="1">
        <f t="array" ref="L1537" xml:space="preserve"> sentimentCategory(K1537)</f>
        <v>Neutral</v>
      </c>
    </row>
    <row r="1538" spans="1:12">
      <c r="A1538" t="s">
        <v>2871</v>
      </c>
      <c r="B1538" t="s">
        <v>2870</v>
      </c>
      <c r="C1538" t="str" cm="1">
        <f t="array" ref="C1538" xml:space="preserve"> CleanText(B1538)</f>
        <v>lol i was so angry when they made zuko indian im finally happy when they finally adapted to the source material</v>
      </c>
      <c r="D1538">
        <v>0</v>
      </c>
      <c r="E1538">
        <v>0</v>
      </c>
      <c r="F1538" t="s">
        <v>19</v>
      </c>
      <c r="G1538" t="str" cm="1">
        <f t="array" ref="G1538" xml:space="preserve"> FindCountryName(F1538)</f>
        <v>United States of America (the)</v>
      </c>
      <c r="H1538" s="1">
        <v>45292.908993055556</v>
      </c>
      <c r="I1538" s="1">
        <v>45292.908993055556</v>
      </c>
      <c r="J1538" s="1">
        <v>45069.62572916667</v>
      </c>
      <c r="K1538" cm="1">
        <f t="array" ref="K1538" xml:space="preserve"> sentimentCalc(C1538)</f>
        <v>0</v>
      </c>
      <c r="L1538" t="str" cm="1">
        <f t="array" ref="L1538" xml:space="preserve"> sentimentCategory(K1538)</f>
        <v>Neutral</v>
      </c>
    </row>
    <row r="1539" spans="1:12">
      <c r="A1539" t="s">
        <v>1432</v>
      </c>
      <c r="B1539" t="s">
        <v>2869</v>
      </c>
      <c r="C1539" t="str" cm="1">
        <f t="array" ref="C1539" xml:space="preserve"> CleanText(B1539)</f>
        <v>i cant believe where gonna see the air temples burn i wont be ready for that even when i was kid i hated the scene of the geatos skeleton</v>
      </c>
      <c r="D1539">
        <v>0</v>
      </c>
      <c r="E1539">
        <v>0</v>
      </c>
      <c r="F1539" t="s">
        <v>0</v>
      </c>
      <c r="G1539" t="str" cm="1">
        <f t="array" ref="G1539" xml:space="preserve"> FindCountryName(F1539)</f>
        <v>None</v>
      </c>
      <c r="H1539" s="1">
        <v>45292.87091435185</v>
      </c>
      <c r="I1539" s="1">
        <v>45292.87091435185</v>
      </c>
      <c r="J1539" s="1">
        <v>43759.896516203706</v>
      </c>
      <c r="K1539" cm="1">
        <f t="array" ref="K1539" xml:space="preserve"> sentimentCalc(C1539)</f>
        <v>-3</v>
      </c>
      <c r="L1539" t="str" cm="1">
        <f t="array" ref="L1539" xml:space="preserve"> sentimentCategory(K1539)</f>
        <v>Negative</v>
      </c>
    </row>
    <row r="1540" spans="1:12">
      <c r="A1540" t="s">
        <v>1195</v>
      </c>
      <c r="B1540" t="s">
        <v>2868</v>
      </c>
      <c r="C1540" t="str" cm="1">
        <f t="array" ref="C1540" xml:space="preserve"> CleanText(B1540)</f>
        <v>ya que sea  de febrero _xDDF2__xDFFC_equipo boomeraang _xDCAA__xDFFC_</v>
      </c>
      <c r="D1540">
        <v>0</v>
      </c>
      <c r="E1540">
        <v>0</v>
      </c>
      <c r="F1540" t="s">
        <v>1093</v>
      </c>
      <c r="G1540" t="str" cm="1">
        <f t="array" ref="G1540" xml:space="preserve"> FindCountryName(F1540)</f>
        <v>Mexico</v>
      </c>
      <c r="H1540" s="1">
        <v>45292.805972222224</v>
      </c>
      <c r="I1540" s="1">
        <v>45292.805972222224</v>
      </c>
      <c r="J1540" s="1">
        <v>42731.635879629626</v>
      </c>
      <c r="K1540" cm="1">
        <f t="array" ref="K1540" xml:space="preserve"> sentimentCalc(C1540)</f>
        <v>0</v>
      </c>
      <c r="L1540" t="str" cm="1">
        <f t="array" ref="L1540" xml:space="preserve"> sentimentCategory(K1540)</f>
        <v>Neutral</v>
      </c>
    </row>
    <row r="1541" spans="1:12">
      <c r="A1541" t="s">
        <v>2867</v>
      </c>
      <c r="B1541" t="s">
        <v>2866</v>
      </c>
      <c r="C1541" t="str" cm="1">
        <f t="array" ref="C1541" xml:space="preserve"> CleanText(B1541)</f>
        <v>why</v>
      </c>
      <c r="D1541">
        <v>0</v>
      </c>
      <c r="E1541">
        <v>3</v>
      </c>
      <c r="F1541" t="s">
        <v>0</v>
      </c>
      <c r="G1541" t="str" cm="1">
        <f t="array" ref="G1541" xml:space="preserve"> FindCountryName(F1541)</f>
        <v>None</v>
      </c>
      <c r="H1541" s="1">
        <v>45292.770358796297</v>
      </c>
      <c r="I1541" s="1">
        <v>45292.770358796297</v>
      </c>
      <c r="J1541" s="1">
        <v>41678.408391203702</v>
      </c>
      <c r="K1541" cm="1">
        <f t="array" ref="K1541" xml:space="preserve"> sentimentCalc(C1541)</f>
        <v>0</v>
      </c>
      <c r="L1541" t="str" cm="1">
        <f t="array" ref="L1541" xml:space="preserve"> sentimentCategory(K1541)</f>
        <v>Neutral</v>
      </c>
    </row>
    <row r="1542" spans="1:12">
      <c r="A1542" t="s">
        <v>47</v>
      </c>
      <c r="B1542" t="s">
        <v>2865</v>
      </c>
      <c r="C1542" t="str" cm="1">
        <f t="array" ref="C1542" xml:space="preserve"> CleanText(B1542)</f>
        <v>you show me avatar  ill show you the next beloved ip big business will strategically destroy</v>
      </c>
      <c r="D1542">
        <v>0</v>
      </c>
      <c r="E1542">
        <v>0</v>
      </c>
      <c r="F1542" t="s">
        <v>0</v>
      </c>
      <c r="G1542" t="str" cm="1">
        <f t="array" ref="G1542" xml:space="preserve"> FindCountryName(F1542)</f>
        <v>None</v>
      </c>
      <c r="H1542" s="1">
        <v>45292.722291666665</v>
      </c>
      <c r="I1542" s="1">
        <v>45292.722291666665</v>
      </c>
      <c r="J1542" s="1">
        <v>43919.326828703706</v>
      </c>
      <c r="K1542" cm="1">
        <f t="array" ref="K1542" xml:space="preserve"> sentimentCalc(C1542)</f>
        <v>-1</v>
      </c>
      <c r="L1542" t="str" cm="1">
        <f t="array" ref="L1542" xml:space="preserve"> sentimentCategory(K1542)</f>
        <v>Negative</v>
      </c>
    </row>
    <row r="1543" spans="1:12">
      <c r="A1543" t="s">
        <v>2067</v>
      </c>
      <c r="B1543" t="s">
        <v>2864</v>
      </c>
      <c r="C1543" t="str" cm="1">
        <f t="array" ref="C1543" xml:space="preserve"> CleanText(B1543)</f>
        <v>everything looks good except for appa and momo they look too much like cgi</v>
      </c>
      <c r="D1543">
        <v>0</v>
      </c>
      <c r="E1543">
        <v>2</v>
      </c>
      <c r="F1543" t="s">
        <v>0</v>
      </c>
      <c r="G1543" t="str" cm="1">
        <f t="array" ref="G1543" xml:space="preserve"> FindCountryName(F1543)</f>
        <v>None</v>
      </c>
      <c r="H1543" s="1">
        <v>45292.721053240741</v>
      </c>
      <c r="I1543" s="1">
        <v>45292.721053240741</v>
      </c>
      <c r="J1543" s="1">
        <v>41734.762881944444</v>
      </c>
      <c r="K1543" cm="1">
        <f t="array" ref="K1543" xml:space="preserve"> sentimentCalc(C1543)</f>
        <v>5</v>
      </c>
      <c r="L1543" t="str" cm="1">
        <f t="array" ref="L1543" xml:space="preserve"> sentimentCategory(K1543)</f>
        <v>Positive</v>
      </c>
    </row>
    <row r="1544" spans="1:12">
      <c r="A1544" t="s">
        <v>2863</v>
      </c>
      <c r="B1544" t="s">
        <v>2862</v>
      </c>
      <c r="C1544" t="str" cm="1">
        <f t="array" ref="C1544" xml:space="preserve"> CleanText(B1544)</f>
        <v>i cant fathom how beautiful this is</v>
      </c>
      <c r="D1544">
        <v>0</v>
      </c>
      <c r="E1544">
        <v>0</v>
      </c>
      <c r="F1544" t="s">
        <v>0</v>
      </c>
      <c r="G1544" t="str" cm="1">
        <f t="array" ref="G1544" xml:space="preserve"> FindCountryName(F1544)</f>
        <v>None</v>
      </c>
      <c r="H1544" s="1">
        <v>45292.707372685189</v>
      </c>
      <c r="I1544" s="1">
        <v>45292.707372685189</v>
      </c>
      <c r="J1544" s="1">
        <v>43572.268564814818</v>
      </c>
      <c r="K1544" cm="1">
        <f t="array" ref="K1544" xml:space="preserve"> sentimentCalc(C1544)</f>
        <v>3</v>
      </c>
      <c r="L1544" t="str" cm="1">
        <f t="array" ref="L1544" xml:space="preserve"> sentimentCategory(K1544)</f>
        <v>Positive</v>
      </c>
    </row>
    <row r="1545" spans="1:12">
      <c r="A1545" t="s">
        <v>56</v>
      </c>
      <c r="B1545" t="s">
        <v>2861</v>
      </c>
      <c r="C1545" t="str" cm="1">
        <f t="array" ref="C1545" xml:space="preserve"> CleanText(B1545)</f>
        <v>that coming on my birthday lets gooooo</v>
      </c>
      <c r="D1545">
        <v>0</v>
      </c>
      <c r="E1545">
        <v>0</v>
      </c>
      <c r="F1545" t="s">
        <v>0</v>
      </c>
      <c r="G1545" t="str" cm="1">
        <f t="array" ref="G1545" xml:space="preserve"> FindCountryName(F1545)</f>
        <v>None</v>
      </c>
      <c r="H1545" s="1">
        <v>45292.707002314812</v>
      </c>
      <c r="I1545" s="1">
        <v>45292.707002314812</v>
      </c>
      <c r="J1545" s="1">
        <v>44114.856412037036</v>
      </c>
      <c r="K1545" cm="1">
        <f t="array" ref="K1545" xml:space="preserve"> sentimentCalc(C1545)</f>
        <v>0</v>
      </c>
      <c r="L1545" t="str" cm="1">
        <f t="array" ref="L1545" xml:space="preserve"> sentimentCategory(K1545)</f>
        <v>Neutral</v>
      </c>
    </row>
    <row r="1546" spans="1:12">
      <c r="A1546" t="s">
        <v>2860</v>
      </c>
      <c r="B1546" t="s">
        <v>2859</v>
      </c>
      <c r="C1546" t="str" cm="1">
        <f t="array" ref="C1546" xml:space="preserve"> CleanText(B1546)</f>
        <v>you just know its gonna be shitmaybe not everything needs a live action remake</v>
      </c>
      <c r="D1546">
        <v>2</v>
      </c>
      <c r="E1546">
        <v>3</v>
      </c>
      <c r="F1546" t="s">
        <v>0</v>
      </c>
      <c r="G1546" t="str" cm="1">
        <f t="array" ref="G1546" xml:space="preserve"> FindCountryName(F1546)</f>
        <v>None</v>
      </c>
      <c r="H1546" s="1">
        <v>45292.701597222222</v>
      </c>
      <c r="I1546" s="1">
        <v>45292.701597222222</v>
      </c>
      <c r="J1546" s="1">
        <v>40544.366886574076</v>
      </c>
      <c r="K1546" cm="1">
        <f t="array" ref="K1546" xml:space="preserve"> sentimentCalc(C1546)</f>
        <v>0</v>
      </c>
      <c r="L1546" t="str" cm="1">
        <f t="array" ref="L1546" xml:space="preserve"> sentimentCategory(K1546)</f>
        <v>Neutral</v>
      </c>
    </row>
    <row r="1547" spans="1:12">
      <c r="A1547" t="s">
        <v>21</v>
      </c>
      <c r="B1547" t="s">
        <v>2858</v>
      </c>
      <c r="C1547" t="str" cm="1">
        <f t="array" ref="C1547" xml:space="preserve"> CleanText(B1547)</f>
        <v>is this going to be a single movie or series</v>
      </c>
      <c r="D1547">
        <v>0</v>
      </c>
      <c r="E1547">
        <v>1</v>
      </c>
      <c r="F1547" t="s">
        <v>0</v>
      </c>
      <c r="G1547" t="str" cm="1">
        <f t="array" ref="G1547" xml:space="preserve"> FindCountryName(F1547)</f>
        <v>None</v>
      </c>
      <c r="H1547" s="1">
        <v>45292.693657407406</v>
      </c>
      <c r="I1547" s="1">
        <v>45292.693657407406</v>
      </c>
      <c r="J1547" s="1">
        <v>43162.536516203705</v>
      </c>
      <c r="K1547" cm="1">
        <f t="array" ref="K1547" xml:space="preserve"> sentimentCalc(C1547)</f>
        <v>0</v>
      </c>
      <c r="L1547" t="str" cm="1">
        <f t="array" ref="L1547" xml:space="preserve"> sentimentCategory(K1547)</f>
        <v>Neutral</v>
      </c>
    </row>
    <row r="1548" spans="1:12">
      <c r="A1548" t="s">
        <v>870</v>
      </c>
      <c r="B1548" t="s">
        <v>2857</v>
      </c>
      <c r="C1548" t="str" cm="1">
        <f t="array" ref="C1548" xml:space="preserve"> CleanText(B1548)</f>
        <v>finally no more ultra kungfu bendings</v>
      </c>
      <c r="D1548">
        <v>0</v>
      </c>
      <c r="E1548">
        <v>0</v>
      </c>
      <c r="F1548" t="s">
        <v>0</v>
      </c>
      <c r="G1548" t="str" cm="1">
        <f t="array" ref="G1548" xml:space="preserve"> FindCountryName(F1548)</f>
        <v>None</v>
      </c>
      <c r="H1548" s="1">
        <v>45292.692893518521</v>
      </c>
      <c r="I1548" s="1">
        <v>45292.692893518521</v>
      </c>
      <c r="J1548" s="1">
        <v>39387.949004629627</v>
      </c>
      <c r="K1548" cm="1">
        <f t="array" ref="K1548" xml:space="preserve"> sentimentCalc(C1548)</f>
        <v>-1</v>
      </c>
      <c r="L1548" t="str" cm="1">
        <f t="array" ref="L1548" xml:space="preserve"> sentimentCategory(K1548)</f>
        <v>Negative</v>
      </c>
    </row>
    <row r="1549" spans="1:12">
      <c r="A1549" t="s">
        <v>343</v>
      </c>
      <c r="B1549" t="s">
        <v>2856</v>
      </c>
      <c r="C1549" t="str" cm="1">
        <f t="array" ref="C1549" xml:space="preserve"> CleanText(B1549)</f>
        <v>look at me im hollywood i cant come up with an original idea</v>
      </c>
      <c r="D1549">
        <v>0</v>
      </c>
      <c r="E1549">
        <v>1</v>
      </c>
      <c r="F1549" t="s">
        <v>0</v>
      </c>
      <c r="G1549" t="str" cm="1">
        <f t="array" ref="G1549" xml:space="preserve"> FindCountryName(F1549)</f>
        <v>None</v>
      </c>
      <c r="H1549" s="1">
        <v>45292.655277777776</v>
      </c>
      <c r="I1549" s="1">
        <v>45292.655277777776</v>
      </c>
      <c r="J1549" s="1">
        <v>40259.878969907404</v>
      </c>
      <c r="K1549" cm="1">
        <f t="array" ref="K1549" xml:space="preserve"> sentimentCalc(C1549)</f>
        <v>0</v>
      </c>
      <c r="L1549" t="str" cm="1">
        <f t="array" ref="L1549" xml:space="preserve"> sentimentCategory(K1549)</f>
        <v>Neutral</v>
      </c>
    </row>
    <row r="1550" spans="1:12">
      <c r="A1550" t="s">
        <v>2855</v>
      </c>
      <c r="B1550" t="s">
        <v>2854</v>
      </c>
      <c r="C1550" t="str" cm="1">
        <f t="array" ref="C1550" xml:space="preserve"> CleanText(B1550)</f>
        <v>is it gonna be a movie or serie</v>
      </c>
      <c r="D1550">
        <v>0</v>
      </c>
      <c r="E1550">
        <v>1</v>
      </c>
      <c r="F1550" t="s">
        <v>0</v>
      </c>
      <c r="G1550" t="str" cm="1">
        <f t="array" ref="G1550" xml:space="preserve"> FindCountryName(F1550)</f>
        <v>None</v>
      </c>
      <c r="H1550" s="1">
        <v>45292.642800925925</v>
      </c>
      <c r="I1550" s="1">
        <v>45292.642800925925</v>
      </c>
      <c r="J1550" s="1">
        <v>41046.806018518517</v>
      </c>
      <c r="K1550" cm="1">
        <f t="array" ref="K1550" xml:space="preserve"> sentimentCalc(C1550)</f>
        <v>0</v>
      </c>
      <c r="L1550" t="str" cm="1">
        <f t="array" ref="L1550" xml:space="preserve"> sentimentCategory(K1550)</f>
        <v>Neutral</v>
      </c>
    </row>
    <row r="1551" spans="1:12">
      <c r="A1551" t="s">
        <v>2231</v>
      </c>
      <c r="B1551" t="s">
        <v>2853</v>
      </c>
      <c r="C1551" t="str" cm="1">
        <f t="array" ref="C1551" xml:space="preserve"> CleanText(B1551)</f>
        <v>holy f it actually looks good</v>
      </c>
      <c r="D1551">
        <v>0</v>
      </c>
      <c r="E1551">
        <v>0</v>
      </c>
      <c r="F1551" t="s">
        <v>0</v>
      </c>
      <c r="G1551" t="str" cm="1">
        <f t="array" ref="G1551" xml:space="preserve"> FindCountryName(F1551)</f>
        <v>None</v>
      </c>
      <c r="H1551" s="1">
        <v>45292.554131944446</v>
      </c>
      <c r="I1551" s="1">
        <v>45292.554131944446</v>
      </c>
      <c r="J1551" s="1">
        <v>39044.964780092596</v>
      </c>
      <c r="K1551" cm="1">
        <f t="array" ref="K1551" xml:space="preserve"> sentimentCalc(C1551)</f>
        <v>3</v>
      </c>
      <c r="L1551" t="str" cm="1">
        <f t="array" ref="L1551" xml:space="preserve"> sentimentCategory(K1551)</f>
        <v>Positive</v>
      </c>
    </row>
    <row r="1552" spans="1:12">
      <c r="A1552" t="s">
        <v>1957</v>
      </c>
      <c r="B1552" t="s">
        <v>2852</v>
      </c>
      <c r="C1552" t="str" cm="1">
        <f t="array" ref="C1552" xml:space="preserve"> CleanText(B1552)</f>
        <v>man i cant wait for uncle iroh hes my favorite character and convinced me to give tea a try_xDE02_</v>
      </c>
      <c r="D1552">
        <v>0</v>
      </c>
      <c r="E1552">
        <v>0</v>
      </c>
      <c r="F1552" t="s">
        <v>0</v>
      </c>
      <c r="G1552" t="str" cm="1">
        <f t="array" ref="G1552" xml:space="preserve"> FindCountryName(F1552)</f>
        <v>None</v>
      </c>
      <c r="H1552" s="1">
        <v>45292.533750000002</v>
      </c>
      <c r="I1552" s="1">
        <v>45292.533750000002</v>
      </c>
      <c r="J1552" s="1">
        <v>45271.862071759257</v>
      </c>
      <c r="K1552" cm="1">
        <f t="array" ref="K1552" xml:space="preserve"> sentimentCalc(C1552)</f>
        <v>3</v>
      </c>
      <c r="L1552" t="str" cm="1">
        <f t="array" ref="L1552" xml:space="preserve"> sentimentCategory(K1552)</f>
        <v>Positive</v>
      </c>
    </row>
    <row r="1553" spans="1:12">
      <c r="A1553" t="s">
        <v>47</v>
      </c>
      <c r="B1553" t="s">
        <v>2851</v>
      </c>
      <c r="C1553" t="str" cm="1">
        <f t="array" ref="C1553" xml:space="preserve"> CleanText(B1553)</f>
        <v>oh god it looks so much better then the media that shall not be named _xDE05_</v>
      </c>
      <c r="D1553">
        <v>2</v>
      </c>
      <c r="E1553">
        <v>0</v>
      </c>
      <c r="F1553" t="s">
        <v>19</v>
      </c>
      <c r="G1553" t="str" cm="1">
        <f t="array" ref="G1553" xml:space="preserve"> FindCountryName(F1553)</f>
        <v>United States of America (the)</v>
      </c>
      <c r="H1553" s="1">
        <v>45292.510150462964</v>
      </c>
      <c r="I1553" s="1">
        <v>45292.510150462964</v>
      </c>
      <c r="J1553" s="1">
        <v>44180.790289351855</v>
      </c>
      <c r="K1553" cm="1">
        <f t="array" ref="K1553" xml:space="preserve"> sentimentCalc(C1553)</f>
        <v>3</v>
      </c>
      <c r="L1553" t="str" cm="1">
        <f t="array" ref="L1553" xml:space="preserve"> sentimentCategory(K1553)</f>
        <v>Positive</v>
      </c>
    </row>
    <row r="1554" spans="1:12">
      <c r="A1554" t="s">
        <v>1150</v>
      </c>
      <c r="B1554" t="s">
        <v>2850</v>
      </c>
      <c r="C1554" t="str" cm="1">
        <f t="array" ref="C1554" xml:space="preserve"> CleanText(B1554)</f>
        <v>i hope they dont cram all of it into one season of  episodes like how they completely destroyed yu yu hakusho</v>
      </c>
      <c r="D1554">
        <v>0</v>
      </c>
      <c r="E1554">
        <v>0</v>
      </c>
      <c r="F1554" t="s">
        <v>0</v>
      </c>
      <c r="G1554" t="str" cm="1">
        <f t="array" ref="G1554" xml:space="preserve"> FindCountryName(F1554)</f>
        <v>None</v>
      </c>
      <c r="H1554" s="1">
        <v>45292.460486111115</v>
      </c>
      <c r="I1554" s="1">
        <v>45292.460486111115</v>
      </c>
      <c r="J1554" s="1">
        <v>41587.912731481483</v>
      </c>
      <c r="K1554" cm="1">
        <f t="array" ref="K1554" xml:space="preserve"> sentimentCalc(C1554)</f>
        <v>1</v>
      </c>
      <c r="L1554" t="str" cm="1">
        <f t="array" ref="L1554" xml:space="preserve"> sentimentCategory(K1554)</f>
        <v>Positive</v>
      </c>
    </row>
    <row r="1555" spans="1:12">
      <c r="A1555" t="s">
        <v>504</v>
      </c>
      <c r="B1555" t="s">
        <v>2849</v>
      </c>
      <c r="C1555" t="str" cm="1">
        <f t="array" ref="C1555" xml:space="preserve"> CleanText(B1555)</f>
        <v>fck the shippers and fck this fandom but i will still watch this series because of the fandom it makes me wanna hate some characters</v>
      </c>
      <c r="D1555">
        <v>0</v>
      </c>
      <c r="E1555">
        <v>1</v>
      </c>
      <c r="F1555" t="s">
        <v>98</v>
      </c>
      <c r="G1555" t="str" cm="1">
        <f t="array" ref="G1555" xml:space="preserve"> FindCountryName(F1555)</f>
        <v>India</v>
      </c>
      <c r="H1555" s="1">
        <v>45292.396805555552</v>
      </c>
      <c r="I1555" s="1">
        <v>45292.396805555552</v>
      </c>
      <c r="J1555" s="1">
        <v>43690.225474537037</v>
      </c>
      <c r="K1555" cm="1">
        <f t="array" ref="K1555" xml:space="preserve"> sentimentCalc(C1555)</f>
        <v>-3</v>
      </c>
      <c r="L1555" t="str" cm="1">
        <f t="array" ref="L1555" xml:space="preserve"> sentimentCategory(K1555)</f>
        <v>Negative</v>
      </c>
    </row>
    <row r="1556" spans="1:12">
      <c r="A1556" t="s">
        <v>710</v>
      </c>
      <c r="B1556" t="s">
        <v>2848</v>
      </c>
      <c r="C1556" t="str" cm="1">
        <f t="array" ref="C1556" xml:space="preserve"> CleanText(B1556)</f>
        <v>ok so the next flopatar is coming</v>
      </c>
      <c r="D1556">
        <v>1</v>
      </c>
      <c r="E1556">
        <v>2</v>
      </c>
      <c r="F1556" t="s">
        <v>0</v>
      </c>
      <c r="G1556" t="str" cm="1">
        <f t="array" ref="G1556" xml:space="preserve"> FindCountryName(F1556)</f>
        <v>None</v>
      </c>
      <c r="H1556" s="1">
        <v>45292.371747685182</v>
      </c>
      <c r="I1556" s="1">
        <v>45292.371747685182</v>
      </c>
      <c r="J1556" s="1">
        <v>43034.580046296294</v>
      </c>
      <c r="K1556" cm="1">
        <f t="array" ref="K1556" xml:space="preserve"> sentimentCalc(C1556)</f>
        <v>0</v>
      </c>
      <c r="L1556" t="str" cm="1">
        <f t="array" ref="L1556" xml:space="preserve"> sentimentCategory(K1556)</f>
        <v>Neutral</v>
      </c>
    </row>
    <row r="1557" spans="1:12">
      <c r="A1557" t="s">
        <v>108</v>
      </c>
      <c r="B1557" t="s">
        <v>2847</v>
      </c>
      <c r="C1557" t="str" cm="1">
        <f t="array" ref="C1557" xml:space="preserve"> CleanText(B1557)</f>
        <v>i didnt think they were going to pull it off but it looks better than i expected okay netflix im intrigued</v>
      </c>
      <c r="D1557">
        <v>0</v>
      </c>
      <c r="E1557">
        <v>0</v>
      </c>
      <c r="F1557" t="s">
        <v>0</v>
      </c>
      <c r="G1557" t="str" cm="1">
        <f t="array" ref="G1557" xml:space="preserve"> FindCountryName(F1557)</f>
        <v>None</v>
      </c>
      <c r="H1557" s="1">
        <v>45292.319074074076</v>
      </c>
      <c r="I1557" s="1">
        <v>45292.319074074076</v>
      </c>
      <c r="J1557" s="1">
        <v>42476.486273148148</v>
      </c>
      <c r="K1557" cm="1">
        <f t="array" ref="K1557" xml:space="preserve"> sentimentCalc(C1557)</f>
        <v>2</v>
      </c>
      <c r="L1557" t="str" cm="1">
        <f t="array" ref="L1557" xml:space="preserve"> sentimentCategory(K1557)</f>
        <v>Positive</v>
      </c>
    </row>
    <row r="1558" spans="1:12">
      <c r="A1558" t="s">
        <v>1213</v>
      </c>
      <c r="B1558" t="s">
        <v>2846</v>
      </c>
      <c r="C1558" t="str" cm="1">
        <f t="array" ref="C1558" xml:space="preserve"> CleanText(B1558)</f>
        <v>oh no not again</v>
      </c>
      <c r="D1558">
        <v>0</v>
      </c>
      <c r="E1558">
        <v>1</v>
      </c>
      <c r="F1558" t="s">
        <v>0</v>
      </c>
      <c r="G1558" t="str" cm="1">
        <f t="array" ref="G1558" xml:space="preserve"> FindCountryName(F1558)</f>
        <v>None</v>
      </c>
      <c r="H1558" s="1">
        <v>45292.281574074077</v>
      </c>
      <c r="I1558" s="1">
        <v>45292.281574074077</v>
      </c>
      <c r="J1558" s="1">
        <v>42579.599374999998</v>
      </c>
      <c r="K1558" cm="1">
        <f t="array" ref="K1558" xml:space="preserve"> sentimentCalc(C1558)</f>
        <v>-1</v>
      </c>
      <c r="L1558" t="str" cm="1">
        <f t="array" ref="L1558" xml:space="preserve"> sentimentCategory(K1558)</f>
        <v>Negative</v>
      </c>
    </row>
    <row r="1559" spans="1:12">
      <c r="A1559" t="s">
        <v>2845</v>
      </c>
      <c r="B1559" t="s">
        <v>2844</v>
      </c>
      <c r="C1559" t="str" cm="1">
        <f t="array" ref="C1559" xml:space="preserve"> CleanText(B1559)</f>
        <v>if absolutely nothing else this adaptation will at least look good</v>
      </c>
      <c r="D1559">
        <v>0</v>
      </c>
      <c r="E1559">
        <v>1</v>
      </c>
      <c r="F1559" t="s">
        <v>0</v>
      </c>
      <c r="G1559" t="str" cm="1">
        <f t="array" ref="G1559" xml:space="preserve"> FindCountryName(F1559)</f>
        <v>None</v>
      </c>
      <c r="H1559" s="1">
        <v>45292.260428240741</v>
      </c>
      <c r="I1559" s="1">
        <v>45292.260428240741</v>
      </c>
      <c r="J1559" s="1">
        <v>40888.382604166669</v>
      </c>
      <c r="K1559" cm="1">
        <f t="array" ref="K1559" xml:space="preserve"> sentimentCalc(C1559)</f>
        <v>3</v>
      </c>
      <c r="L1559" t="str" cm="1">
        <f t="array" ref="L1559" xml:space="preserve"> sentimentCategory(K1559)</f>
        <v>Positive</v>
      </c>
    </row>
    <row r="1560" spans="1:12">
      <c r="A1560" t="s">
        <v>1178</v>
      </c>
      <c r="B1560" t="s">
        <v>2843</v>
      </c>
      <c r="C1560" t="str" cm="1">
        <f t="array" ref="C1560" xml:space="preserve"> CleanText(B1560)</f>
        <v>lack luster casting bland color palette tv quality visual effects it reminds me of the first live action atla film</v>
      </c>
      <c r="D1560">
        <v>1</v>
      </c>
      <c r="E1560">
        <v>2</v>
      </c>
      <c r="F1560" t="s">
        <v>0</v>
      </c>
      <c r="G1560" t="str" cm="1">
        <f t="array" ref="G1560" xml:space="preserve"> FindCountryName(F1560)</f>
        <v>None</v>
      </c>
      <c r="H1560" s="1">
        <v>45292.172662037039</v>
      </c>
      <c r="I1560" s="1">
        <v>45292.172662037039</v>
      </c>
      <c r="J1560" s="1">
        <v>45230.466493055559</v>
      </c>
      <c r="K1560" cm="1">
        <f t="array" ref="K1560" xml:space="preserve"> sentimentCalc(C1560)</f>
        <v>-2</v>
      </c>
      <c r="L1560" t="str" cm="1">
        <f t="array" ref="L1560" xml:space="preserve"> sentimentCategory(K1560)</f>
        <v>Negative</v>
      </c>
    </row>
    <row r="1561" spans="1:12">
      <c r="A1561" t="s">
        <v>2842</v>
      </c>
      <c r="B1561" t="s">
        <v>2841</v>
      </c>
      <c r="C1561" t="str" cm="1">
        <f t="array" ref="C1561" xml:space="preserve"> CleanText(B1561)</f>
        <v>vemca esse e um filme ou so uma serie se for um filme fai ser de mais tou esperando acontinuaao do ultimo filme a anos</v>
      </c>
      <c r="D1561">
        <v>0</v>
      </c>
      <c r="E1561">
        <v>0</v>
      </c>
      <c r="F1561" t="s">
        <v>0</v>
      </c>
      <c r="G1561" t="str" cm="1">
        <f t="array" ref="G1561" xml:space="preserve"> FindCountryName(F1561)</f>
        <v>None</v>
      </c>
      <c r="H1561" s="1">
        <v>45292.16883101852</v>
      </c>
      <c r="I1561" s="1">
        <v>45292.16883101852</v>
      </c>
      <c r="J1561" s="1">
        <v>45273.083275462966</v>
      </c>
      <c r="K1561" cm="1">
        <f t="array" ref="K1561" xml:space="preserve"> sentimentCalc(C1561)</f>
        <v>0</v>
      </c>
      <c r="L1561" t="str" cm="1">
        <f t="array" ref="L1561" xml:space="preserve"> sentimentCategory(K1561)</f>
        <v>Neutral</v>
      </c>
    </row>
    <row r="1562" spans="1:12">
      <c r="A1562" t="s">
        <v>47</v>
      </c>
      <c r="B1562" t="s">
        <v>2840</v>
      </c>
      <c r="C1562" t="str" cm="1">
        <f t="array" ref="C1562" xml:space="preserve"> CleanText(B1562)</f>
        <v>vfx is done pretty well i will buy subscription for netflix if this series meets my expectations</v>
      </c>
      <c r="D1562">
        <v>1</v>
      </c>
      <c r="E1562">
        <v>0</v>
      </c>
      <c r="F1562" t="s">
        <v>0</v>
      </c>
      <c r="G1562" t="str" cm="1">
        <f t="array" ref="G1562" xml:space="preserve"> FindCountryName(F1562)</f>
        <v>None</v>
      </c>
      <c r="H1562" s="1">
        <v>45292.118171296293</v>
      </c>
      <c r="I1562" s="1">
        <v>45292.118171296293</v>
      </c>
      <c r="J1562" s="1">
        <v>44041.059571759259</v>
      </c>
      <c r="K1562" cm="1">
        <f t="array" ref="K1562" xml:space="preserve"> sentimentCalc(C1562)</f>
        <v>1</v>
      </c>
      <c r="L1562" t="str" cm="1">
        <f t="array" ref="L1562" xml:space="preserve"> sentimentCategory(K1562)</f>
        <v>Positive</v>
      </c>
    </row>
    <row r="1563" spans="1:12">
      <c r="A1563" t="s">
        <v>474</v>
      </c>
      <c r="B1563" t="s">
        <v>2839</v>
      </c>
      <c r="C1563" t="str" cm="1">
        <f t="array" ref="C1563" xml:space="preserve"> CleanText(B1563)</f>
        <v>i got goosebumps watching this</v>
      </c>
      <c r="D1563">
        <v>0</v>
      </c>
      <c r="E1563">
        <v>0</v>
      </c>
      <c r="F1563" t="s">
        <v>0</v>
      </c>
      <c r="G1563" t="str" cm="1">
        <f t="array" ref="G1563" xml:space="preserve"> FindCountryName(F1563)</f>
        <v>None</v>
      </c>
      <c r="H1563" s="1">
        <v>45292.116354166668</v>
      </c>
      <c r="I1563" s="1">
        <v>45292.116354166668</v>
      </c>
      <c r="J1563" s="1">
        <v>44977.728148148148</v>
      </c>
      <c r="K1563" cm="1">
        <f t="array" ref="K1563" xml:space="preserve"> sentimentCalc(C1563)</f>
        <v>0</v>
      </c>
      <c r="L1563" t="str" cm="1">
        <f t="array" ref="L1563" xml:space="preserve"> sentimentCategory(K1563)</f>
        <v>Neutral</v>
      </c>
    </row>
    <row r="1564" spans="1:12">
      <c r="A1564" t="s">
        <v>367</v>
      </c>
      <c r="B1564" t="s">
        <v>2838</v>
      </c>
      <c r="C1564" t="str" cm="1">
        <f t="array" ref="C1564" xml:space="preserve"> CleanText(B1564)</f>
        <v>i have some decently high hopes for this show looks like it may actually be worth watching</v>
      </c>
      <c r="D1564">
        <v>0</v>
      </c>
      <c r="E1564">
        <v>0</v>
      </c>
      <c r="F1564" t="s">
        <v>0</v>
      </c>
      <c r="G1564" t="str" cm="1">
        <f t="array" ref="G1564" xml:space="preserve"> FindCountryName(F1564)</f>
        <v>None</v>
      </c>
      <c r="H1564" s="1">
        <v>45292.09716435185</v>
      </c>
      <c r="I1564" s="1">
        <v>45292.09716435185</v>
      </c>
      <c r="J1564" s="1">
        <v>41391.824675925927</v>
      </c>
      <c r="K1564" cm="1">
        <f t="array" ref="K1564" xml:space="preserve"> sentimentCalc(C1564)</f>
        <v>6</v>
      </c>
      <c r="L1564" t="str" cm="1">
        <f t="array" ref="L1564" xml:space="preserve"> sentimentCategory(K1564)</f>
        <v>Positive</v>
      </c>
    </row>
    <row r="1565" spans="1:12">
      <c r="A1565" t="s">
        <v>93</v>
      </c>
      <c r="B1565" t="s">
        <v>2837</v>
      </c>
      <c r="C1565" t="str" cm="1">
        <f t="array" ref="C1565" xml:space="preserve"> CleanText(B1565)</f>
        <v>simba always remember who you are</v>
      </c>
      <c r="D1565">
        <v>1</v>
      </c>
      <c r="E1565">
        <v>0</v>
      </c>
      <c r="F1565" t="s">
        <v>2836</v>
      </c>
      <c r="G1565" t="str" cm="1">
        <f t="array" ref="G1565" xml:space="preserve"> FindCountryName(F1565)</f>
        <v>Hungary</v>
      </c>
      <c r="H1565" s="1">
        <v>45292.07372685185</v>
      </c>
      <c r="I1565" s="1">
        <v>45292.07372685185</v>
      </c>
      <c r="J1565" s="1">
        <v>41541.389120370368</v>
      </c>
      <c r="K1565" cm="1">
        <f t="array" ref="K1565" xml:space="preserve"> sentimentCalc(C1565)</f>
        <v>0</v>
      </c>
      <c r="L1565" t="str" cm="1">
        <f t="array" ref="L1565" xml:space="preserve"> sentimentCategory(K1565)</f>
        <v>Neutral</v>
      </c>
    </row>
    <row r="1566" spans="1:12">
      <c r="A1566" t="s">
        <v>2835</v>
      </c>
      <c r="B1566" t="s">
        <v>2834</v>
      </c>
      <c r="C1566" t="str" cm="1">
        <f t="array" ref="C1566" xml:space="preserve"> CleanText(B1566)</f>
        <v>ok so im officially hyped</v>
      </c>
      <c r="D1566">
        <v>0</v>
      </c>
      <c r="E1566">
        <v>0</v>
      </c>
      <c r="F1566" t="s">
        <v>0</v>
      </c>
      <c r="G1566" t="str" cm="1">
        <f t="array" ref="G1566" xml:space="preserve"> FindCountryName(F1566)</f>
        <v>None</v>
      </c>
      <c r="H1566" s="1">
        <v>45292.050196759257</v>
      </c>
      <c r="I1566" s="1">
        <v>45292.050196759257</v>
      </c>
      <c r="J1566" s="1">
        <v>41597.308344907404</v>
      </c>
      <c r="K1566" cm="1">
        <f t="array" ref="K1566" xml:space="preserve"> sentimentCalc(C1566)</f>
        <v>0</v>
      </c>
      <c r="L1566" t="str" cm="1">
        <f t="array" ref="L1566" xml:space="preserve"> sentimentCategory(K1566)</f>
        <v>Neutral</v>
      </c>
    </row>
    <row r="1567" spans="1:12">
      <c r="A1567" t="s">
        <v>547</v>
      </c>
      <c r="B1567" t="s">
        <v>2833</v>
      </c>
      <c r="C1567" t="str" cm="1">
        <f t="array" ref="C1567" xml:space="preserve"> CleanText(B1567)</f>
        <v>yoooo i was waiting for this sense i was like   79 years old</v>
      </c>
      <c r="D1567">
        <v>0</v>
      </c>
      <c r="E1567">
        <v>0</v>
      </c>
      <c r="F1567" t="s">
        <v>0</v>
      </c>
      <c r="G1567" t="str" cm="1">
        <f t="array" ref="G1567" xml:space="preserve"> FindCountryName(F1567)</f>
        <v>None</v>
      </c>
      <c r="H1567" s="1">
        <v>45292.033831018518</v>
      </c>
      <c r="I1567" s="1">
        <v>45292.033831018518</v>
      </c>
      <c r="J1567" s="1">
        <v>45285.165254629632</v>
      </c>
      <c r="K1567" cm="1">
        <f t="array" ref="K1567" xml:space="preserve"> sentimentCalc(C1567)</f>
        <v>2</v>
      </c>
      <c r="L1567" t="str" cm="1">
        <f t="array" ref="L1567" xml:space="preserve"> sentimentCategory(K1567)</f>
        <v>Positive</v>
      </c>
    </row>
    <row r="1568" spans="1:12">
      <c r="A1568" t="s">
        <v>308</v>
      </c>
      <c r="B1568" t="s">
        <v>2832</v>
      </c>
      <c r="C1568" t="str" cm="1">
        <f t="array" ref="C1568" xml:space="preserve"> CleanText(B1568)</f>
        <v>i saw the movie when it came out without ever watching the series i didnt think the movie was all that bad other than bad acting but its a kids movie now that ive watched the series the movie really is horrible in comparison fingers crossed for this bc it already looks better</v>
      </c>
      <c r="D1568">
        <v>0</v>
      </c>
      <c r="E1568">
        <v>0</v>
      </c>
      <c r="F1568" t="s">
        <v>0</v>
      </c>
      <c r="G1568" t="str" cm="1">
        <f t="array" ref="G1568" xml:space="preserve"> FindCountryName(F1568)</f>
        <v>None</v>
      </c>
      <c r="H1568" s="1">
        <v>45292.02716435185</v>
      </c>
      <c r="I1568" s="1">
        <v>45292.02716435185</v>
      </c>
      <c r="J1568" s="1">
        <v>42847.82953703704</v>
      </c>
      <c r="K1568" cm="1">
        <f t="array" ref="K1568" xml:space="preserve"> sentimentCalc(C1568)</f>
        <v>-7</v>
      </c>
      <c r="L1568" t="str" cm="1">
        <f t="array" ref="L1568" xml:space="preserve"> sentimentCategory(K1568)</f>
        <v>Negative</v>
      </c>
    </row>
    <row r="1569" spans="1:12">
      <c r="A1569" t="s">
        <v>2831</v>
      </c>
      <c r="B1569" t="s">
        <v>2830</v>
      </c>
      <c r="C1569" t="str" cm="1">
        <f t="array" ref="C1569" xml:space="preserve"> CleanText(B1569)</f>
        <v>because it went so well the first time</v>
      </c>
      <c r="D1569">
        <v>1</v>
      </c>
      <c r="E1569">
        <v>1</v>
      </c>
      <c r="F1569" t="s">
        <v>0</v>
      </c>
      <c r="G1569" t="str" cm="1">
        <f t="array" ref="G1569" xml:space="preserve"> FindCountryName(F1569)</f>
        <v>None</v>
      </c>
      <c r="H1569" s="1">
        <v>45291.75854166667</v>
      </c>
      <c r="I1569" s="1">
        <v>45291.75854166667</v>
      </c>
      <c r="J1569" s="1">
        <v>44302.977314814816</v>
      </c>
      <c r="K1569" cm="1">
        <f t="array" ref="K1569" xml:space="preserve"> sentimentCalc(C1569)</f>
        <v>0</v>
      </c>
      <c r="L1569" t="str" cm="1">
        <f t="array" ref="L1569" xml:space="preserve"> sentimentCategory(K1569)</f>
        <v>Neutral</v>
      </c>
    </row>
    <row r="1570" spans="1:12">
      <c r="A1570" t="s">
        <v>1154</v>
      </c>
      <c r="B1570" t="s">
        <v>2829</v>
      </c>
      <c r="C1570" t="str" cm="1">
        <f t="array" ref="C1570" xml:space="preserve"> CleanText(B1570)</f>
        <v>original creators left just have that in mind</v>
      </c>
      <c r="D1570">
        <v>0</v>
      </c>
      <c r="E1570">
        <v>1</v>
      </c>
      <c r="F1570" t="s">
        <v>0</v>
      </c>
      <c r="G1570" t="str" cm="1">
        <f t="array" ref="G1570" xml:space="preserve"> FindCountryName(F1570)</f>
        <v>None</v>
      </c>
      <c r="H1570" s="1">
        <v>45291.744131944448</v>
      </c>
      <c r="I1570" s="1">
        <v>45291.744131944448</v>
      </c>
      <c r="J1570" s="1">
        <v>42687.706886574073</v>
      </c>
      <c r="K1570" cm="1">
        <f t="array" ref="K1570" xml:space="preserve"> sentimentCalc(C1570)</f>
        <v>0</v>
      </c>
      <c r="L1570" t="str" cm="1">
        <f t="array" ref="L1570" xml:space="preserve"> sentimentCategory(K1570)</f>
        <v>Neutral</v>
      </c>
    </row>
    <row r="1571" spans="1:12">
      <c r="A1571" t="s">
        <v>1782</v>
      </c>
      <c r="B1571" t="s">
        <v>2828</v>
      </c>
      <c r="C1571" t="str" cm="1">
        <f t="array" ref="C1571" xml:space="preserve"> CleanText(B1571)</f>
        <v>my childhood review</v>
      </c>
      <c r="D1571">
        <v>0</v>
      </c>
      <c r="E1571">
        <v>0</v>
      </c>
      <c r="F1571" t="s">
        <v>0</v>
      </c>
      <c r="G1571" t="str" cm="1">
        <f t="array" ref="G1571" xml:space="preserve"> FindCountryName(F1571)</f>
        <v>None</v>
      </c>
      <c r="H1571" s="1">
        <v>45291.694560185184</v>
      </c>
      <c r="I1571" s="1">
        <v>45291.694560185184</v>
      </c>
      <c r="J1571" s="1">
        <v>42351.901782407411</v>
      </c>
      <c r="K1571" cm="1">
        <f t="array" ref="K1571" xml:space="preserve"> sentimentCalc(C1571)</f>
        <v>0</v>
      </c>
      <c r="L1571" t="str" cm="1">
        <f t="array" ref="L1571" xml:space="preserve"> sentimentCategory(K1571)</f>
        <v>Neutral</v>
      </c>
    </row>
    <row r="1572" spans="1:12">
      <c r="A1572" t="s">
        <v>30</v>
      </c>
      <c r="B1572" t="s">
        <v>2827</v>
      </c>
      <c r="C1572" t="str" cm="1">
        <f t="array" ref="C1572" xml:space="preserve"> CleanText(B1572)</f>
        <v>awesome _xDE03_</v>
      </c>
      <c r="D1572">
        <v>0</v>
      </c>
      <c r="E1572">
        <v>0</v>
      </c>
      <c r="F1572" t="s">
        <v>0</v>
      </c>
      <c r="G1572" t="str" cm="1">
        <f t="array" ref="G1572" xml:space="preserve"> FindCountryName(F1572)</f>
        <v>None</v>
      </c>
      <c r="H1572" s="1">
        <v>45291.685763888891</v>
      </c>
      <c r="I1572" s="1">
        <v>45291.685763888891</v>
      </c>
      <c r="J1572" s="1">
        <v>42543.869074074071</v>
      </c>
      <c r="K1572" cm="1">
        <f t="array" ref="K1572" xml:space="preserve"> sentimentCalc(C1572)</f>
        <v>4</v>
      </c>
      <c r="L1572" t="str" cm="1">
        <f t="array" ref="L1572" xml:space="preserve"> sentimentCategory(K1572)</f>
        <v>Positive</v>
      </c>
    </row>
    <row r="1573" spans="1:12">
      <c r="A1573" t="s">
        <v>2826</v>
      </c>
      <c r="B1573" t="s">
        <v>2825</v>
      </c>
      <c r="C1573" t="str" cm="1">
        <f t="array" ref="C1573" xml:space="preserve"> CleanText(B1573)</f>
        <v>please dont be bad please</v>
      </c>
      <c r="D1573">
        <v>0</v>
      </c>
      <c r="E1573">
        <v>0</v>
      </c>
      <c r="F1573" t="s">
        <v>0</v>
      </c>
      <c r="G1573" t="str" cm="1">
        <f t="array" ref="G1573" xml:space="preserve"> FindCountryName(F1573)</f>
        <v>None</v>
      </c>
      <c r="H1573" s="1">
        <v>45291.672939814816</v>
      </c>
      <c r="I1573" s="1">
        <v>45291.672939814816</v>
      </c>
      <c r="J1573" s="1">
        <v>44719.71665509259</v>
      </c>
      <c r="K1573" cm="1">
        <f t="array" ref="K1573" xml:space="preserve"> sentimentCalc(C1573)</f>
        <v>-1</v>
      </c>
      <c r="L1573" t="str" cm="1">
        <f t="array" ref="L1573" xml:space="preserve"> sentimentCategory(K1573)</f>
        <v>Negative</v>
      </c>
    </row>
    <row r="1574" spans="1:12">
      <c r="A1574" t="s">
        <v>2824</v>
      </c>
      <c r="B1574" t="s">
        <v>2823</v>
      </c>
      <c r="C1574" t="str" cm="1">
        <f t="array" ref="C1574" xml:space="preserve"> CleanText(B1574)</f>
        <v>its about time</v>
      </c>
      <c r="D1574">
        <v>0</v>
      </c>
      <c r="E1574">
        <v>0</v>
      </c>
      <c r="F1574" t="s">
        <v>0</v>
      </c>
      <c r="G1574" t="str" cm="1">
        <f t="array" ref="G1574" xml:space="preserve"> FindCountryName(F1574)</f>
        <v>None</v>
      </c>
      <c r="H1574" s="1">
        <v>45291.646157407406</v>
      </c>
      <c r="I1574" s="1">
        <v>45291.646157407406</v>
      </c>
      <c r="J1574" s="1">
        <v>39103.001099537039</v>
      </c>
      <c r="K1574" cm="1">
        <f t="array" ref="K1574" xml:space="preserve"> sentimentCalc(C1574)</f>
        <v>0</v>
      </c>
      <c r="L1574" t="str" cm="1">
        <f t="array" ref="L1574" xml:space="preserve"> sentimentCategory(K1574)</f>
        <v>Neutral</v>
      </c>
    </row>
    <row r="1575" spans="1:12">
      <c r="A1575" t="s">
        <v>2649</v>
      </c>
      <c r="B1575" t="s">
        <v>2822</v>
      </c>
      <c r="C1575" t="str" cm="1">
        <f t="array" ref="C1575" xml:space="preserve"> CleanText(B1575)</f>
        <v>this looks extremely accurate to the original nickelodeon cartoon just as how i remembered it when i was a kid</v>
      </c>
      <c r="D1575">
        <v>1</v>
      </c>
      <c r="E1575">
        <v>0</v>
      </c>
      <c r="F1575" t="s">
        <v>0</v>
      </c>
      <c r="G1575" t="str" cm="1">
        <f t="array" ref="G1575" xml:space="preserve"> FindCountryName(F1575)</f>
        <v>None</v>
      </c>
      <c r="H1575" s="1">
        <v>45291.63554398148</v>
      </c>
      <c r="I1575" s="1">
        <v>45291.63554398148</v>
      </c>
      <c r="J1575" s="1">
        <v>41809.509884259256</v>
      </c>
      <c r="K1575" cm="1">
        <f t="array" ref="K1575" xml:space="preserve"> sentimentCalc(C1575)</f>
        <v>0</v>
      </c>
      <c r="L1575" t="str" cm="1">
        <f t="array" ref="L1575" xml:space="preserve"> sentimentCategory(K1575)</f>
        <v>Neutral</v>
      </c>
    </row>
    <row r="1576" spans="1:12">
      <c r="A1576" t="s">
        <v>1108</v>
      </c>
      <c r="B1576" t="s">
        <v>2821</v>
      </c>
      <c r="C1576" t="str" cm="1">
        <f t="array" ref="C1576" xml:space="preserve"> CleanText(B1576)</f>
        <v>i cannot wait for this im so excited i feel like im gonna blow up</v>
      </c>
      <c r="D1576">
        <v>0</v>
      </c>
      <c r="E1576">
        <v>0</v>
      </c>
      <c r="F1576" t="s">
        <v>0</v>
      </c>
      <c r="G1576" t="str" cm="1">
        <f t="array" ref="G1576" xml:space="preserve"> FindCountryName(F1576)</f>
        <v>None</v>
      </c>
      <c r="H1576" s="1">
        <v>45291.605034722219</v>
      </c>
      <c r="I1576" s="1">
        <v>45291.605034722219</v>
      </c>
      <c r="J1576" s="1">
        <v>42648.831412037034</v>
      </c>
      <c r="K1576" cm="1">
        <f t="array" ref="K1576" xml:space="preserve"> sentimentCalc(C1576)</f>
        <v>5</v>
      </c>
      <c r="L1576" t="str" cm="1">
        <f t="array" ref="L1576" xml:space="preserve"> sentimentCategory(K1576)</f>
        <v>Positive</v>
      </c>
    </row>
    <row r="1577" spans="1:12">
      <c r="A1577" t="s">
        <v>2820</v>
      </c>
      <c r="B1577" t="s">
        <v>2819</v>
      </c>
      <c r="C1577" t="str" cm="1">
        <f t="array" ref="C1577" xml:space="preserve"> CleanText(B1577)</f>
        <v>_xDD22_ n</v>
      </c>
      <c r="D1577">
        <v>0</v>
      </c>
      <c r="E1577">
        <v>1</v>
      </c>
      <c r="F1577" t="s">
        <v>0</v>
      </c>
      <c r="G1577" t="str" cm="1">
        <f t="array" ref="G1577" xml:space="preserve"> FindCountryName(F1577)</f>
        <v>None</v>
      </c>
      <c r="H1577" s="1">
        <v>45291.57130787037</v>
      </c>
      <c r="I1577" s="1">
        <v>45291.57130787037</v>
      </c>
      <c r="J1577" s="1">
        <v>39825.414317129631</v>
      </c>
      <c r="K1577" cm="1">
        <f t="array" ref="K1577" xml:space="preserve"> sentimentCalc(C1577)</f>
        <v>0</v>
      </c>
      <c r="L1577" t="str" cm="1">
        <f t="array" ref="L1577" xml:space="preserve"> sentimentCategory(K1577)</f>
        <v>Neutral</v>
      </c>
    </row>
    <row r="1578" spans="1:12">
      <c r="A1578" t="s">
        <v>2731</v>
      </c>
      <c r="B1578" t="s">
        <v>2818</v>
      </c>
      <c r="C1578" t="str" cm="1">
        <f t="array" ref="C1578" xml:space="preserve"> CleanText(B1578)</f>
        <v>not sure who asked for this when the orifinal exists</v>
      </c>
      <c r="D1578">
        <v>0</v>
      </c>
      <c r="E1578">
        <v>0</v>
      </c>
      <c r="F1578" t="s">
        <v>0</v>
      </c>
      <c r="G1578" t="str" cm="1">
        <f t="array" ref="G1578" xml:space="preserve"> FindCountryName(F1578)</f>
        <v>None</v>
      </c>
      <c r="H1578" s="1">
        <v>45291.560763888891</v>
      </c>
      <c r="I1578" s="1">
        <v>45291.560763888891</v>
      </c>
      <c r="J1578" s="1">
        <v>40855.517928240741</v>
      </c>
      <c r="K1578" cm="1">
        <f t="array" ref="K1578" xml:space="preserve"> sentimentCalc(C1578)</f>
        <v>0</v>
      </c>
      <c r="L1578" t="str" cm="1">
        <f t="array" ref="L1578" xml:space="preserve"> sentimentCategory(K1578)</f>
        <v>Neutral</v>
      </c>
    </row>
    <row r="1579" spans="1:12">
      <c r="A1579" t="s">
        <v>2817</v>
      </c>
      <c r="B1579" t="s">
        <v>2816</v>
      </c>
      <c r="C1579" t="str" cm="1">
        <f t="array" ref="C1579" xml:space="preserve"> CleanText(B1579)</f>
        <v>porfavor aca los que quieren una cuarta temporada de la serie_xDC47_</v>
      </c>
      <c r="D1579">
        <v>0</v>
      </c>
      <c r="E1579">
        <v>0</v>
      </c>
      <c r="F1579" t="s">
        <v>0</v>
      </c>
      <c r="G1579" t="str" cm="1">
        <f t="array" ref="G1579" xml:space="preserve"> FindCountryName(F1579)</f>
        <v>None</v>
      </c>
      <c r="H1579" s="1">
        <v>45291.551863425928</v>
      </c>
      <c r="I1579" s="1">
        <v>45291.551863425928</v>
      </c>
      <c r="J1579" s="1">
        <v>45070.691666666666</v>
      </c>
      <c r="K1579" cm="1">
        <f t="array" ref="K1579" xml:space="preserve"> sentimentCalc(C1579)</f>
        <v>0</v>
      </c>
      <c r="L1579" t="str" cm="1">
        <f t="array" ref="L1579" xml:space="preserve"> sentimentCategory(K1579)</f>
        <v>Neutral</v>
      </c>
    </row>
    <row r="1580" spans="1:12">
      <c r="A1580" t="s">
        <v>1129</v>
      </c>
      <c r="B1580" t="s">
        <v>2815</v>
      </c>
      <c r="C1580" t="str" cm="1">
        <f t="array" ref="C1580" xml:space="preserve"> CleanText(B1580)</f>
        <v>oookay now i think its worth to buy netflix subscriptions</v>
      </c>
      <c r="D1580">
        <v>0</v>
      </c>
      <c r="E1580">
        <v>0</v>
      </c>
      <c r="F1580" t="s">
        <v>0</v>
      </c>
      <c r="G1580" t="str" cm="1">
        <f t="array" ref="G1580" xml:space="preserve"> FindCountryName(F1580)</f>
        <v>None</v>
      </c>
      <c r="H1580" s="1">
        <v>45291.539293981485</v>
      </c>
      <c r="I1580" s="1">
        <v>45291.539293981485</v>
      </c>
      <c r="J1580" s="1">
        <v>42851.097916666666</v>
      </c>
      <c r="K1580" cm="1">
        <f t="array" ref="K1580" xml:space="preserve"> sentimentCalc(C1580)</f>
        <v>2</v>
      </c>
      <c r="L1580" t="str" cm="1">
        <f t="array" ref="L1580" xml:space="preserve"> sentimentCategory(K1580)</f>
        <v>Positive</v>
      </c>
    </row>
    <row r="1581" spans="1:12">
      <c r="A1581" t="s">
        <v>447</v>
      </c>
      <c r="B1581" t="s">
        <v>2814</v>
      </c>
      <c r="C1581" t="str" cm="1">
        <f t="array" ref="C1581" xml:space="preserve"> CleanText(B1581)</f>
        <v>woah _xDD2F_</v>
      </c>
      <c r="D1581">
        <v>0</v>
      </c>
      <c r="E1581">
        <v>0</v>
      </c>
      <c r="F1581" t="s">
        <v>0</v>
      </c>
      <c r="G1581" t="str" cm="1">
        <f t="array" ref="G1581" xml:space="preserve"> FindCountryName(F1581)</f>
        <v>None</v>
      </c>
      <c r="H1581" s="1">
        <v>45291.489108796297</v>
      </c>
      <c r="I1581" s="1">
        <v>45291.489108796297</v>
      </c>
      <c r="J1581" s="1">
        <v>40271.000243055554</v>
      </c>
      <c r="K1581" cm="1">
        <f t="array" ref="K1581" xml:space="preserve"> sentimentCalc(C1581)</f>
        <v>0</v>
      </c>
      <c r="L1581" t="str" cm="1">
        <f t="array" ref="L1581" xml:space="preserve"> sentimentCategory(K1581)</f>
        <v>Neutral</v>
      </c>
    </row>
    <row r="1582" spans="1:12">
      <c r="A1582" t="s">
        <v>950</v>
      </c>
      <c r="B1582" t="s">
        <v>2813</v>
      </c>
      <c r="C1582" t="str" cm="1">
        <f t="array" ref="C1582" xml:space="preserve"> CleanText(B1582)</f>
        <v>i saw mr kim i clicked</v>
      </c>
      <c r="D1582">
        <v>0</v>
      </c>
      <c r="E1582">
        <v>0</v>
      </c>
      <c r="F1582" t="s">
        <v>0</v>
      </c>
      <c r="G1582" t="str" cm="1">
        <f t="array" ref="G1582" xml:space="preserve"> FindCountryName(F1582)</f>
        <v>None</v>
      </c>
      <c r="H1582" s="1">
        <v>45291.483229166668</v>
      </c>
      <c r="I1582" s="1">
        <v>45291.483229166668</v>
      </c>
      <c r="J1582" s="1">
        <v>44797.478726851848</v>
      </c>
      <c r="K1582" cm="1">
        <f t="array" ref="K1582" xml:space="preserve"> sentimentCalc(C1582)</f>
        <v>0</v>
      </c>
      <c r="L1582" t="str" cm="1">
        <f t="array" ref="L1582" xml:space="preserve"> sentimentCategory(K1582)</f>
        <v>Neutral</v>
      </c>
    </row>
    <row r="1583" spans="1:12">
      <c r="A1583" t="s">
        <v>72</v>
      </c>
      <c r="B1583" t="s">
        <v>2812</v>
      </c>
      <c r="C1583" t="str" cm="1">
        <f t="array" ref="C1583" xml:space="preserve"> CleanText(B1583)</f>
        <v>think the casting is great and the cgi is super great cant wait till the full show</v>
      </c>
      <c r="D1583">
        <v>0</v>
      </c>
      <c r="E1583">
        <v>0</v>
      </c>
      <c r="F1583" t="s">
        <v>0</v>
      </c>
      <c r="G1583" t="str" cm="1">
        <f t="array" ref="G1583" xml:space="preserve"> FindCountryName(F1583)</f>
        <v>None</v>
      </c>
      <c r="H1583" s="1">
        <v>45291.479872685188</v>
      </c>
      <c r="I1583" s="1">
        <v>45291.479872685188</v>
      </c>
      <c r="J1583" s="1">
        <v>43345.247569444444</v>
      </c>
      <c r="K1583" cm="1">
        <f t="array" ref="K1583" xml:space="preserve"> sentimentCalc(C1583)</f>
        <v>9</v>
      </c>
      <c r="L1583" t="str" cm="1">
        <f t="array" ref="L1583" xml:space="preserve"> sentimentCategory(K1583)</f>
        <v>Positive</v>
      </c>
    </row>
    <row r="1584" spans="1:12">
      <c r="A1584" t="s">
        <v>2811</v>
      </c>
      <c r="B1584" t="s">
        <v>2810</v>
      </c>
      <c r="C1584" t="str" cm="1">
        <f t="array" ref="C1584" xml:space="preserve"> CleanText(B1584)</f>
        <v>anyone seen toph yet</v>
      </c>
      <c r="D1584">
        <v>0</v>
      </c>
      <c r="E1584">
        <v>3</v>
      </c>
      <c r="F1584" t="s">
        <v>0</v>
      </c>
      <c r="G1584" t="str" cm="1">
        <f t="array" ref="G1584" xml:space="preserve"> FindCountryName(F1584)</f>
        <v>None</v>
      </c>
      <c r="H1584" s="1">
        <v>45291.455231481479</v>
      </c>
      <c r="I1584" s="1">
        <v>45291.455231481479</v>
      </c>
      <c r="J1584" s="1">
        <v>45159.866423611114</v>
      </c>
      <c r="K1584" cm="1">
        <f t="array" ref="K1584" xml:space="preserve"> sentimentCalc(C1584)</f>
        <v>0</v>
      </c>
      <c r="L1584" t="str" cm="1">
        <f t="array" ref="L1584" xml:space="preserve"> sentimentCategory(K1584)</f>
        <v>Neutral</v>
      </c>
    </row>
    <row r="1585" spans="1:12">
      <c r="A1585" t="s">
        <v>2809</v>
      </c>
      <c r="B1585" t="s">
        <v>2808</v>
      </c>
      <c r="C1585" t="str" cm="1">
        <f t="array" ref="C1585" xml:space="preserve"> CleanText(B1585)</f>
        <v>really excited for this  i honestly dont care about the quality its just really refreshing to see something from my childhood rebooted in such a fashion</v>
      </c>
      <c r="D1585">
        <v>3</v>
      </c>
      <c r="E1585">
        <v>2</v>
      </c>
      <c r="F1585" t="s">
        <v>19</v>
      </c>
      <c r="G1585" t="str" cm="1">
        <f t="array" ref="G1585" xml:space="preserve"> FindCountryName(F1585)</f>
        <v>United States of America (the)</v>
      </c>
      <c r="H1585" s="1">
        <v>45291.304027777776</v>
      </c>
      <c r="I1585" s="1">
        <v>45291.304027777776</v>
      </c>
      <c r="J1585" s="1">
        <v>41743.760289351849</v>
      </c>
      <c r="K1585" cm="1">
        <f t="array" ref="K1585" xml:space="preserve"> sentimentCalc(C1585)</f>
        <v>5</v>
      </c>
      <c r="L1585" t="str" cm="1">
        <f t="array" ref="L1585" xml:space="preserve"> sentimentCategory(K1585)</f>
        <v>Positive</v>
      </c>
    </row>
    <row r="1586" spans="1:12">
      <c r="A1586" t="s">
        <v>950</v>
      </c>
      <c r="B1586" t="s">
        <v>2807</v>
      </c>
      <c r="C1586" t="str" cm="1">
        <f t="array" ref="C1586" xml:space="preserve"> CleanText(B1586)</f>
        <v>they really be stingy on showing promotional stuff</v>
      </c>
      <c r="D1586">
        <v>0</v>
      </c>
      <c r="E1586">
        <v>1</v>
      </c>
      <c r="F1586" t="s">
        <v>0</v>
      </c>
      <c r="G1586" t="str" cm="1">
        <f t="array" ref="G1586" xml:space="preserve"> FindCountryName(F1586)</f>
        <v>None</v>
      </c>
      <c r="H1586" s="1">
        <v>45291.228622685187</v>
      </c>
      <c r="I1586" s="1">
        <v>45291.228622685187</v>
      </c>
      <c r="J1586" s="1">
        <v>41554.008611111109</v>
      </c>
      <c r="K1586" cm="1">
        <f t="array" ref="K1586" xml:space="preserve"> sentimentCalc(C1586)</f>
        <v>-2</v>
      </c>
      <c r="L1586" t="str" cm="1">
        <f t="array" ref="L1586" xml:space="preserve"> sentimentCategory(K1586)</f>
        <v>Negative</v>
      </c>
    </row>
    <row r="1587" spans="1:12">
      <c r="A1587" t="s">
        <v>2806</v>
      </c>
      <c r="B1587" t="s">
        <v>2805</v>
      </c>
      <c r="C1587" t="str" cm="1">
        <f t="array" ref="C1587" xml:space="preserve"> CleanText(B1587)</f>
        <v>ok slayyyy the casting is perfectcg is so good too appa cg is detailed well  firelord ozai looks literalky the same wtf and aang finally someone casted a kid who looks good in shaved head w arrow a girl who has read both manhwas and watched anime version is very proud and happyyyy finallyyyy i genuinely cannot wait omggg</v>
      </c>
      <c r="D1587">
        <v>2</v>
      </c>
      <c r="E1587">
        <v>0</v>
      </c>
      <c r="F1587" t="s">
        <v>0</v>
      </c>
      <c r="G1587" t="str" cm="1">
        <f t="array" ref="G1587" xml:space="preserve"> FindCountryName(F1587)</f>
        <v>None</v>
      </c>
      <c r="H1587" s="1">
        <v>45291.224918981483</v>
      </c>
      <c r="I1587" s="1">
        <v>45291.227187500001</v>
      </c>
      <c r="J1587" s="1">
        <v>43914.047569444447</v>
      </c>
      <c r="K1587" cm="1">
        <f t="array" ref="K1587" xml:space="preserve"> sentimentCalc(C1587)</f>
        <v>8</v>
      </c>
      <c r="L1587" t="str" cm="1">
        <f t="array" ref="L1587" xml:space="preserve"> sentimentCategory(K1587)</f>
        <v>Positive</v>
      </c>
    </row>
    <row r="1588" spans="1:12">
      <c r="A1588" t="s">
        <v>56</v>
      </c>
      <c r="B1588" t="s">
        <v>2804</v>
      </c>
      <c r="C1588" t="str" cm="1">
        <f t="array" ref="C1588" xml:space="preserve"> CleanText(B1588)</f>
        <v>its gonna be hard for me to like the live action because the voices wont be the same as what ive been used to for the last  decades not that it wont be good</v>
      </c>
      <c r="D1588">
        <v>1</v>
      </c>
      <c r="E1588">
        <v>0</v>
      </c>
      <c r="F1588" t="s">
        <v>0</v>
      </c>
      <c r="G1588" t="str" cm="1">
        <f t="array" ref="G1588" xml:space="preserve"> FindCountryName(F1588)</f>
        <v>None</v>
      </c>
      <c r="H1588" s="1">
        <v>45291.216238425928</v>
      </c>
      <c r="I1588" s="1">
        <v>45291.216238425928</v>
      </c>
      <c r="J1588" s="1">
        <v>41548.621030092596</v>
      </c>
      <c r="K1588" cm="1">
        <f t="array" ref="K1588" xml:space="preserve"> sentimentCalc(C1588)</f>
        <v>4</v>
      </c>
      <c r="L1588" t="str" cm="1">
        <f t="array" ref="L1588" xml:space="preserve"> sentimentCategory(K1588)</f>
        <v>Positive</v>
      </c>
    </row>
    <row r="1589" spans="1:12">
      <c r="A1589" t="s">
        <v>415</v>
      </c>
      <c r="B1589" t="s">
        <v>2803</v>
      </c>
      <c r="C1589" t="str" cm="1">
        <f t="array" ref="C1589" xml:space="preserve"> CleanText(B1589)</f>
        <v>oh god not again</v>
      </c>
      <c r="D1589">
        <v>0</v>
      </c>
      <c r="E1589">
        <v>0</v>
      </c>
      <c r="F1589" t="s">
        <v>0</v>
      </c>
      <c r="G1589" t="str" cm="1">
        <f t="array" ref="G1589" xml:space="preserve"> FindCountryName(F1589)</f>
        <v>None</v>
      </c>
      <c r="H1589" s="1">
        <v>45291.211574074077</v>
      </c>
      <c r="I1589" s="1">
        <v>45291.211574074077</v>
      </c>
      <c r="J1589" s="1">
        <v>43596.723240740743</v>
      </c>
      <c r="K1589" cm="1">
        <f t="array" ref="K1589" xml:space="preserve"> sentimentCalc(C1589)</f>
        <v>1</v>
      </c>
      <c r="L1589" t="str" cm="1">
        <f t="array" ref="L1589" xml:space="preserve"> sentimentCategory(K1589)</f>
        <v>Positive</v>
      </c>
    </row>
    <row r="1590" spans="1:12">
      <c r="A1590" t="s">
        <v>2799</v>
      </c>
      <c r="B1590" t="s">
        <v>2802</v>
      </c>
      <c r="C1590" t="str" cm="1">
        <f t="array" ref="C1590" xml:space="preserve"> CleanText(B1590)</f>
        <v>heres my issue even normal current kungfu we can do stuff you cant imagine is possible so if the effects are freakin slow and the martial arts is bad you lose the audience from the beginning no matter how good the special effects may bethe film was such a massive disappointment because the animated feature was so spot onim just saying if it isnt mind blowing youre in trouble</v>
      </c>
      <c r="D1590">
        <v>0</v>
      </c>
      <c r="E1590">
        <v>0</v>
      </c>
      <c r="F1590" t="s">
        <v>19</v>
      </c>
      <c r="G1590" t="str" cm="1">
        <f t="array" ref="G1590" xml:space="preserve"> FindCountryName(F1590)</f>
        <v>United States of America (the)</v>
      </c>
      <c r="H1590" s="1">
        <v>45291.206319444442</v>
      </c>
      <c r="I1590" s="1">
        <v>45291.206319444442</v>
      </c>
      <c r="J1590" s="1">
        <v>41546.375983796293</v>
      </c>
      <c r="K1590" cm="1">
        <f t="array" ref="K1590" xml:space="preserve"> sentimentCalc(C1590)</f>
        <v>-4</v>
      </c>
      <c r="L1590" t="str" cm="1">
        <f t="array" ref="L1590" xml:space="preserve"> sentimentCategory(K1590)</f>
        <v>Negative</v>
      </c>
    </row>
    <row r="1591" spans="1:12">
      <c r="A1591" t="s">
        <v>2801</v>
      </c>
      <c r="B1591" t="s">
        <v>2800</v>
      </c>
      <c r="C1591" t="str" cm="1">
        <f t="array" ref="C1591" xml:space="preserve"> CleanText(B1591)</f>
        <v>рф   ф     чш ч  шя n</v>
      </c>
      <c r="D1591">
        <v>0</v>
      </c>
      <c r="E1591">
        <v>0</v>
      </c>
      <c r="F1591" t="s">
        <v>0</v>
      </c>
      <c r="G1591" t="str" cm="1">
        <f t="array" ref="G1591" xml:space="preserve"> FindCountryName(F1591)</f>
        <v>None</v>
      </c>
      <c r="H1591" s="1">
        <v>45291.200266203705</v>
      </c>
      <c r="I1591" s="1">
        <v>45291.200266203705</v>
      </c>
      <c r="J1591" s="1">
        <v>44651.135347222225</v>
      </c>
      <c r="K1591" cm="1">
        <f t="array" ref="K1591" xml:space="preserve"> sentimentCalc(C1591)</f>
        <v>0</v>
      </c>
      <c r="L1591" t="str" cm="1">
        <f t="array" ref="L1591" xml:space="preserve"> sentimentCategory(K1591)</f>
        <v>Neutral</v>
      </c>
    </row>
    <row r="1592" spans="1:12">
      <c r="A1592" t="s">
        <v>2799</v>
      </c>
      <c r="B1592" t="s">
        <v>2798</v>
      </c>
      <c r="C1592" t="str" cm="1">
        <f t="array" ref="C1592" xml:space="preserve"> CleanText(B1592)</f>
        <v>this better be freakin awesome or there will be hell to pay none of this weak ass kung fu where theyre waiting for the easily dodgable and all the cultural references are horribly badscribbles on parchment are not chinese  a wave of the hand is not martial artsjust saying this must not suck like the live action film before</v>
      </c>
      <c r="D1592">
        <v>0</v>
      </c>
      <c r="E1592">
        <v>0</v>
      </c>
      <c r="F1592" t="s">
        <v>19</v>
      </c>
      <c r="G1592" t="str" cm="1">
        <f t="array" ref="G1592" xml:space="preserve"> FindCountryName(F1592)</f>
        <v>United States of America (the)</v>
      </c>
      <c r="H1592" s="1">
        <v>45291.200231481482</v>
      </c>
      <c r="I1592" s="1">
        <v>45291.200231481482</v>
      </c>
      <c r="J1592" s="1">
        <v>41546.375983796293</v>
      </c>
      <c r="K1592" cm="1">
        <f t="array" ref="K1592" xml:space="preserve"> sentimentCalc(C1592)</f>
        <v>-6</v>
      </c>
      <c r="L1592" t="str" cm="1">
        <f t="array" ref="L1592" xml:space="preserve"> sentimentCategory(K1592)</f>
        <v>Negative</v>
      </c>
    </row>
    <row r="1593" spans="1:12">
      <c r="A1593" t="s">
        <v>153</v>
      </c>
      <c r="B1593" t="s">
        <v>2797</v>
      </c>
      <c r="C1593" t="str" cm="1">
        <f t="array" ref="C1593" xml:space="preserve"> CleanText(B1593)</f>
        <v>firelord surgeon</v>
      </c>
      <c r="D1593">
        <v>1</v>
      </c>
      <c r="E1593">
        <v>0</v>
      </c>
      <c r="F1593" t="s">
        <v>2796</v>
      </c>
      <c r="G1593" t="str" cm="1">
        <f t="array" ref="G1593" xml:space="preserve"> FindCountryName(F1593)</f>
        <v>France</v>
      </c>
      <c r="H1593" s="1">
        <v>45291.128287037034</v>
      </c>
      <c r="I1593" s="1">
        <v>45291.128287037034</v>
      </c>
      <c r="J1593" s="1">
        <v>43405.124768518515</v>
      </c>
      <c r="K1593" cm="1">
        <f t="array" ref="K1593" xml:space="preserve"> sentimentCalc(C1593)</f>
        <v>0</v>
      </c>
      <c r="L1593" t="str" cm="1">
        <f t="array" ref="L1593" xml:space="preserve"> sentimentCategory(K1593)</f>
        <v>Neutral</v>
      </c>
    </row>
    <row r="1594" spans="1:12">
      <c r="A1594" t="s">
        <v>2795</v>
      </c>
      <c r="B1594" t="s">
        <v>2794</v>
      </c>
      <c r="C1594" t="str" cm="1">
        <f t="array" ref="C1594" xml:space="preserve"> CleanText(B1594)</f>
        <v>now thats more likely from the 00 production i tend to forget quite a lot hopefully netflix will readdress the franchise as it supposed to be crossing my fingers</v>
      </c>
      <c r="D1594">
        <v>2</v>
      </c>
      <c r="E1594">
        <v>0</v>
      </c>
      <c r="F1594" t="s">
        <v>0</v>
      </c>
      <c r="G1594" t="str" cm="1">
        <f t="array" ref="G1594" xml:space="preserve"> FindCountryName(F1594)</f>
        <v>None</v>
      </c>
      <c r="H1594" s="1">
        <v>45291.118935185186</v>
      </c>
      <c r="I1594" s="1">
        <v>45291.118935185186</v>
      </c>
      <c r="J1594" s="1">
        <v>40623.726493055554</v>
      </c>
      <c r="K1594" cm="1">
        <f t="array" ref="K1594" xml:space="preserve"> sentimentCalc(C1594)</f>
        <v>1</v>
      </c>
      <c r="L1594" t="str" cm="1">
        <f t="array" ref="L1594" xml:space="preserve"> sentimentCategory(K1594)</f>
        <v>Positive</v>
      </c>
    </row>
    <row r="1595" spans="1:12">
      <c r="A1595" t="s">
        <v>180</v>
      </c>
      <c r="B1595" t="s">
        <v>2793</v>
      </c>
      <c r="C1595" t="str" cm="1">
        <f t="array" ref="C1595" xml:space="preserve"> CleanText(B1595)</f>
        <v>with the results of netflixs live action remakes being more better than the movie i really hope this dose well i even hope it dose better than shamalans remake</v>
      </c>
      <c r="D1595">
        <v>0</v>
      </c>
      <c r="E1595">
        <v>0</v>
      </c>
      <c r="F1595" t="s">
        <v>0</v>
      </c>
      <c r="G1595" t="str" cm="1">
        <f t="array" ref="G1595" xml:space="preserve"> FindCountryName(F1595)</f>
        <v>None</v>
      </c>
      <c r="H1595" s="1">
        <v>45291.093229166669</v>
      </c>
      <c r="I1595" s="1">
        <v>45291.093229166669</v>
      </c>
      <c r="J1595" s="1">
        <v>44707.683912037035</v>
      </c>
      <c r="K1595" cm="1">
        <f t="array" ref="K1595" xml:space="preserve"> sentimentCalc(C1595)</f>
        <v>8</v>
      </c>
      <c r="L1595" t="str" cm="1">
        <f t="array" ref="L1595" xml:space="preserve"> sentimentCategory(K1595)</f>
        <v>Positive</v>
      </c>
    </row>
    <row r="1596" spans="1:12">
      <c r="A1596" t="s">
        <v>2792</v>
      </c>
      <c r="B1596" t="s">
        <v>2791</v>
      </c>
      <c r="C1596" t="str" cm="1">
        <f t="array" ref="C1596" xml:space="preserve"> CleanText(B1596)</f>
        <v>i really enjoyed the live action one piece and the casting in my opinion cant wait to watch this now</v>
      </c>
      <c r="D1596">
        <v>0</v>
      </c>
      <c r="E1596">
        <v>0</v>
      </c>
      <c r="F1596" t="s">
        <v>0</v>
      </c>
      <c r="G1596" t="str" cm="1">
        <f t="array" ref="G1596" xml:space="preserve"> FindCountryName(F1596)</f>
        <v>None</v>
      </c>
      <c r="H1596" s="1">
        <v>45291.091805555552</v>
      </c>
      <c r="I1596" s="1">
        <v>45291.091805555552</v>
      </c>
      <c r="J1596" s="1">
        <v>45060.917581018519</v>
      </c>
      <c r="K1596" cm="1">
        <f t="array" ref="K1596" xml:space="preserve"> sentimentCalc(C1596)</f>
        <v>0</v>
      </c>
      <c r="L1596" t="str" cm="1">
        <f t="array" ref="L1596" xml:space="preserve"> sentimentCategory(K1596)</f>
        <v>Neutral</v>
      </c>
    </row>
    <row r="1597" spans="1:12">
      <c r="A1597" t="s">
        <v>603</v>
      </c>
      <c r="B1597" t="s">
        <v>2790</v>
      </c>
      <c r="C1597" t="str" cm="1">
        <f t="array" ref="C1597" xml:space="preserve"> CleanText(B1597)</f>
        <v>wow this actually looks really good</v>
      </c>
      <c r="D1597">
        <v>0</v>
      </c>
      <c r="E1597">
        <v>0</v>
      </c>
      <c r="F1597" t="s">
        <v>0</v>
      </c>
      <c r="G1597" t="str" cm="1">
        <f t="array" ref="G1597" xml:space="preserve"> FindCountryName(F1597)</f>
        <v>None</v>
      </c>
      <c r="H1597" s="1">
        <v>45291.037881944445</v>
      </c>
      <c r="I1597" s="1">
        <v>45291.037881944445</v>
      </c>
      <c r="J1597" s="1">
        <v>41134.14340277778</v>
      </c>
      <c r="K1597" cm="1">
        <f t="array" ref="K1597" xml:space="preserve"> sentimentCalc(C1597)</f>
        <v>7</v>
      </c>
      <c r="L1597" t="str" cm="1">
        <f t="array" ref="L1597" xml:space="preserve"> sentimentCategory(K1597)</f>
        <v>Positive</v>
      </c>
    </row>
    <row r="1598" spans="1:12">
      <c r="A1598" t="s">
        <v>1766</v>
      </c>
      <c r="B1598" t="s">
        <v>2789</v>
      </c>
      <c r="C1598" t="str" cm="1">
        <f t="array" ref="C1598" xml:space="preserve"> CleanText(B1598)</f>
        <v>bro this better be much much better than the last one</v>
      </c>
      <c r="D1598">
        <v>0</v>
      </c>
      <c r="E1598">
        <v>0</v>
      </c>
      <c r="F1598" t="s">
        <v>0</v>
      </c>
      <c r="G1598" t="str" cm="1">
        <f t="array" ref="G1598" xml:space="preserve"> FindCountryName(F1598)</f>
        <v>None</v>
      </c>
      <c r="H1598" s="1">
        <v>45291.034456018519</v>
      </c>
      <c r="I1598" s="1">
        <v>45291.034456018519</v>
      </c>
      <c r="J1598" s="1">
        <v>45001.854074074072</v>
      </c>
      <c r="K1598" cm="1">
        <f t="array" ref="K1598" xml:space="preserve"> sentimentCalc(C1598)</f>
        <v>4</v>
      </c>
      <c r="L1598" t="str" cm="1">
        <f t="array" ref="L1598" xml:space="preserve"> sentimentCategory(K1598)</f>
        <v>Positive</v>
      </c>
    </row>
    <row r="1599" spans="1:12">
      <c r="A1599" t="s">
        <v>960</v>
      </c>
      <c r="B1599" t="s">
        <v>2788</v>
      </c>
      <c r="C1599" t="str" cm="1">
        <f t="array" ref="C1599" xml:space="preserve"> CleanText(B1599)</f>
        <v>well let us hope they dont screw this up like they did with the witcher</v>
      </c>
      <c r="D1599">
        <v>0</v>
      </c>
      <c r="E1599">
        <v>0</v>
      </c>
      <c r="F1599" t="s">
        <v>0</v>
      </c>
      <c r="G1599" t="str" cm="1">
        <f t="array" ref="G1599" xml:space="preserve"> FindCountryName(F1599)</f>
        <v>None</v>
      </c>
      <c r="H1599" s="1">
        <v>45291.006249999999</v>
      </c>
      <c r="I1599" s="1">
        <v>45291.006249999999</v>
      </c>
      <c r="J1599" s="1">
        <v>44716.421226851853</v>
      </c>
      <c r="K1599" cm="1">
        <f t="array" ref="K1599" xml:space="preserve"> sentimentCalc(C1599)</f>
        <v>4</v>
      </c>
      <c r="L1599" t="str" cm="1">
        <f t="array" ref="L1599" xml:space="preserve"> sentimentCategory(K1599)</f>
        <v>Positive</v>
      </c>
    </row>
    <row r="1600" spans="1:12">
      <c r="A1600" t="s">
        <v>2375</v>
      </c>
      <c r="B1600" t="s">
        <v>2787</v>
      </c>
      <c r="C1600" t="str" cm="1">
        <f t="array" ref="C1600" xml:space="preserve"> CleanText(B1600)</f>
        <v>speriamo</v>
      </c>
      <c r="D1600">
        <v>0</v>
      </c>
      <c r="E1600">
        <v>0</v>
      </c>
      <c r="F1600" t="s">
        <v>0</v>
      </c>
      <c r="G1600" t="str" cm="1">
        <f t="array" ref="G1600" xml:space="preserve"> FindCountryName(F1600)</f>
        <v>None</v>
      </c>
      <c r="H1600" s="1">
        <v>45290.997928240744</v>
      </c>
      <c r="I1600" s="1">
        <v>45290.997928240744</v>
      </c>
      <c r="J1600" s="1">
        <v>40937.781689814816</v>
      </c>
      <c r="K1600" cm="1">
        <f t="array" ref="K1600" xml:space="preserve"> sentimentCalc(C1600)</f>
        <v>0</v>
      </c>
      <c r="L1600" t="str" cm="1">
        <f t="array" ref="L1600" xml:space="preserve"> sentimentCategory(K1600)</f>
        <v>Neutral</v>
      </c>
    </row>
    <row r="1601" spans="1:12">
      <c r="A1601" t="s">
        <v>2786</v>
      </c>
      <c r="B1601" t="s">
        <v>2785</v>
      </c>
      <c r="C1601" t="str" cm="1">
        <f t="array" ref="C1601" xml:space="preserve"> CleanText(B1601)</f>
        <v>that soundtrack sounded a lot like an asian instrumental version of the crysis  main theme from hans zimmer</v>
      </c>
      <c r="D1601">
        <v>0</v>
      </c>
      <c r="E1601">
        <v>0</v>
      </c>
      <c r="F1601" t="s">
        <v>0</v>
      </c>
      <c r="G1601" t="str" cm="1">
        <f t="array" ref="G1601" xml:space="preserve"> FindCountryName(F1601)</f>
        <v>None</v>
      </c>
      <c r="H1601" s="1">
        <v>45290.861076388886</v>
      </c>
      <c r="I1601" s="1">
        <v>45290.861076388886</v>
      </c>
      <c r="J1601" s="1">
        <v>39483.600439814814</v>
      </c>
      <c r="K1601" cm="1">
        <f t="array" ref="K1601" xml:space="preserve"> sentimentCalc(C1601)</f>
        <v>2</v>
      </c>
      <c r="L1601" t="str" cm="1">
        <f t="array" ref="L1601" xml:space="preserve"> sentimentCategory(K1601)</f>
        <v>Positive</v>
      </c>
    </row>
    <row r="1602" spans="1:12">
      <c r="A1602" t="s">
        <v>231</v>
      </c>
      <c r="B1602" t="s">
        <v>2784</v>
      </c>
      <c r="C1602" t="str" cm="1">
        <f t="array" ref="C1602" xml:space="preserve"> CleanText(B1602)</f>
        <v>please dont suck please dont suck please dont suck</v>
      </c>
      <c r="D1602">
        <v>0</v>
      </c>
      <c r="E1602">
        <v>0</v>
      </c>
      <c r="F1602" t="s">
        <v>0</v>
      </c>
      <c r="G1602" t="str" cm="1">
        <f t="array" ref="G1602" xml:space="preserve"> FindCountryName(F1602)</f>
        <v>None</v>
      </c>
      <c r="H1602" s="1">
        <v>45290.799791666665</v>
      </c>
      <c r="I1602" s="1">
        <v>45290.799791666665</v>
      </c>
      <c r="J1602" s="1">
        <v>42194.668124999997</v>
      </c>
      <c r="K1602" cm="1">
        <f t="array" ref="K1602" xml:space="preserve"> sentimentCalc(C1602)</f>
        <v>-6</v>
      </c>
      <c r="L1602" t="str" cm="1">
        <f t="array" ref="L1602" xml:space="preserve"> sentimentCategory(K1602)</f>
        <v>Negative</v>
      </c>
    </row>
    <row r="1603" spans="1:12">
      <c r="A1603" t="s">
        <v>141</v>
      </c>
      <c r="B1603" t="s">
        <v>2783</v>
      </c>
      <c r="C1603" t="str" cm="1">
        <f t="array" ref="C1603" xml:space="preserve"> CleanText(B1603)</f>
        <v>finally the animated series will get justice with this adaptation the movie was just horrible</v>
      </c>
      <c r="D1603">
        <v>0</v>
      </c>
      <c r="E1603">
        <v>0</v>
      </c>
      <c r="F1603" t="s">
        <v>0</v>
      </c>
      <c r="G1603" t="str" cm="1">
        <f t="array" ref="G1603" xml:space="preserve"> FindCountryName(F1603)</f>
        <v>None</v>
      </c>
      <c r="H1603" s="1">
        <v>45290.750972222224</v>
      </c>
      <c r="I1603" s="1">
        <v>45290.750972222224</v>
      </c>
      <c r="J1603" s="1">
        <v>41223.974895833337</v>
      </c>
      <c r="K1603" cm="1">
        <f t="array" ref="K1603" xml:space="preserve"> sentimentCalc(C1603)</f>
        <v>-1</v>
      </c>
      <c r="L1603" t="str" cm="1">
        <f t="array" ref="L1603" xml:space="preserve"> sentimentCategory(K1603)</f>
        <v>Negative</v>
      </c>
    </row>
    <row r="1604" spans="1:12">
      <c r="A1604" t="s">
        <v>267</v>
      </c>
      <c r="B1604" t="s">
        <v>2782</v>
      </c>
      <c r="C1604" t="str" cm="1">
        <f t="array" ref="C1604" xml:space="preserve"> CleanText(B1604)</f>
        <v>produce a human series not a movie</v>
      </c>
      <c r="D1604">
        <v>0</v>
      </c>
      <c r="E1604">
        <v>0</v>
      </c>
      <c r="F1604" t="s">
        <v>0</v>
      </c>
      <c r="G1604" t="str" cm="1">
        <f t="array" ref="G1604" xml:space="preserve"> FindCountryName(F1604)</f>
        <v>None</v>
      </c>
      <c r="H1604" s="1">
        <v>45290.718287037038</v>
      </c>
      <c r="I1604" s="1">
        <v>45290.718287037038</v>
      </c>
      <c r="J1604" s="1">
        <v>44191.616284722222</v>
      </c>
      <c r="K1604" cm="1">
        <f t="array" ref="K1604" xml:space="preserve"> sentimentCalc(C1604)</f>
        <v>0</v>
      </c>
      <c r="L1604" t="str" cm="1">
        <f t="array" ref="L1604" xml:space="preserve"> sentimentCategory(K1604)</f>
        <v>Neutral</v>
      </c>
    </row>
    <row r="1605" spans="1:12">
      <c r="A1605" t="s">
        <v>139</v>
      </c>
      <c r="B1605" t="s">
        <v>2781</v>
      </c>
      <c r="C1605" t="str" cm="1">
        <f t="array" ref="C1605" xml:space="preserve"> CleanText(B1605)</f>
        <v>stop it netflix we dont need this rather put that money into more things like legend of kora take the established universe and drawing style and add to it</v>
      </c>
      <c r="D1605">
        <v>1</v>
      </c>
      <c r="E1605">
        <v>2</v>
      </c>
      <c r="F1605" t="s">
        <v>0</v>
      </c>
      <c r="G1605" t="str" cm="1">
        <f t="array" ref="G1605" xml:space="preserve"> FindCountryName(F1605)</f>
        <v>None</v>
      </c>
      <c r="H1605" s="1">
        <v>45290.68241898148</v>
      </c>
      <c r="I1605" s="1">
        <v>45290.68241898148</v>
      </c>
      <c r="J1605" s="1">
        <v>41612.48773148148</v>
      </c>
      <c r="K1605" cm="1">
        <f t="array" ref="K1605" xml:space="preserve"> sentimentCalc(C1605)</f>
        <v>1</v>
      </c>
      <c r="L1605" t="str" cm="1">
        <f t="array" ref="L1605" xml:space="preserve"> sentimentCategory(K1605)</f>
        <v>Positive</v>
      </c>
    </row>
    <row r="1606" spans="1:12">
      <c r="A1606" t="s">
        <v>462</v>
      </c>
      <c r="B1606" t="s">
        <v>2780</v>
      </c>
      <c r="C1606" t="str" cm="1">
        <f t="array" ref="C1606" xml:space="preserve"> CleanText(B1606)</f>
        <v>looks good expecting the worst</v>
      </c>
      <c r="D1606">
        <v>0</v>
      </c>
      <c r="E1606">
        <v>0</v>
      </c>
      <c r="F1606" t="s">
        <v>0</v>
      </c>
      <c r="G1606" t="str" cm="1">
        <f t="array" ref="G1606" xml:space="preserve"> FindCountryName(F1606)</f>
        <v>None</v>
      </c>
      <c r="H1606" s="1">
        <v>45290.66207175926</v>
      </c>
      <c r="I1606" s="1">
        <v>45290.66207175926</v>
      </c>
      <c r="J1606" s="1">
        <v>43991.068240740744</v>
      </c>
      <c r="K1606" cm="1">
        <f t="array" ref="K1606" xml:space="preserve"> sentimentCalc(C1606)</f>
        <v>0</v>
      </c>
      <c r="L1606" t="str" cm="1">
        <f t="array" ref="L1606" xml:space="preserve"> sentimentCategory(K1606)</f>
        <v>Neutral</v>
      </c>
    </row>
    <row r="1607" spans="1:12">
      <c r="A1607" t="s">
        <v>231</v>
      </c>
      <c r="B1607" t="s">
        <v>2779</v>
      </c>
      <c r="C1607" t="str" cm="1">
        <f t="array" ref="C1607" xml:space="preserve"> CleanText(B1607)</f>
        <v>is that the homie from kims convience</v>
      </c>
      <c r="D1607">
        <v>0</v>
      </c>
      <c r="E1607">
        <v>0</v>
      </c>
      <c r="F1607" t="s">
        <v>0</v>
      </c>
      <c r="G1607" t="str" cm="1">
        <f t="array" ref="G1607" xml:space="preserve"> FindCountryName(F1607)</f>
        <v>None</v>
      </c>
      <c r="H1607" s="1">
        <v>45290.647696759261</v>
      </c>
      <c r="I1607" s="1">
        <v>45290.647696759261</v>
      </c>
      <c r="J1607" s="1">
        <v>42515.862939814811</v>
      </c>
      <c r="K1607" cm="1">
        <f t="array" ref="K1607" xml:space="preserve"> sentimentCalc(C1607)</f>
        <v>0</v>
      </c>
      <c r="L1607" t="str" cm="1">
        <f t="array" ref="L1607" xml:space="preserve"> sentimentCategory(K1607)</f>
        <v>Neutral</v>
      </c>
    </row>
    <row r="1608" spans="1:12">
      <c r="A1608" t="s">
        <v>38</v>
      </c>
      <c r="B1608" t="s">
        <v>2778</v>
      </c>
      <c r="C1608" t="str" cm="1">
        <f t="array" ref="C1608" xml:space="preserve"> CleanText(B1608)</f>
        <v>please dont make it woke</v>
      </c>
      <c r="D1608">
        <v>0</v>
      </c>
      <c r="E1608">
        <v>0</v>
      </c>
      <c r="F1608" t="s">
        <v>0</v>
      </c>
      <c r="G1608" t="str" cm="1">
        <f t="array" ref="G1608" xml:space="preserve"> FindCountryName(F1608)</f>
        <v>None</v>
      </c>
      <c r="H1608" s="1">
        <v>45290.645462962966</v>
      </c>
      <c r="I1608" s="1">
        <v>45290.645462962966</v>
      </c>
      <c r="J1608" s="1">
        <v>43365.071331018517</v>
      </c>
      <c r="K1608" cm="1">
        <f t="array" ref="K1608" xml:space="preserve"> sentimentCalc(C1608)</f>
        <v>1</v>
      </c>
      <c r="L1608" t="str" cm="1">
        <f t="array" ref="L1608" xml:space="preserve"> sentimentCategory(K1608)</f>
        <v>Positive</v>
      </c>
    </row>
    <row r="1609" spans="1:12">
      <c r="A1609" t="s">
        <v>2777</v>
      </c>
      <c r="B1609" t="s">
        <v>2776</v>
      </c>
      <c r="C1609" t="str" cm="1">
        <f t="array" ref="C1609" xml:space="preserve"> CleanText(B1609)</f>
        <v>as a huge fan of the cartoon version i cant wait for the netflix series to come out</v>
      </c>
      <c r="D1609">
        <v>0</v>
      </c>
      <c r="E1609">
        <v>0</v>
      </c>
      <c r="F1609" t="s">
        <v>0</v>
      </c>
      <c r="G1609" t="str" cm="1">
        <f t="array" ref="G1609" xml:space="preserve"> FindCountryName(F1609)</f>
        <v>None</v>
      </c>
      <c r="H1609" s="1">
        <v>45290.643611111111</v>
      </c>
      <c r="I1609" s="1">
        <v>45290.643611111111</v>
      </c>
      <c r="J1609" s="1">
        <v>43946.529687499999</v>
      </c>
      <c r="K1609" cm="1">
        <f t="array" ref="K1609" xml:space="preserve"> sentimentCalc(C1609)</f>
        <v>4</v>
      </c>
      <c r="L1609" t="str" cm="1">
        <f t="array" ref="L1609" xml:space="preserve"> sentimentCategory(K1609)</f>
        <v>Positive</v>
      </c>
    </row>
    <row r="1610" spans="1:12">
      <c r="A1610" t="s">
        <v>178</v>
      </c>
      <c r="B1610" t="s">
        <v>2775</v>
      </c>
      <c r="C1610" t="str" cm="1">
        <f t="array" ref="C1610" xml:space="preserve"> CleanText(B1610)</f>
        <v>this is our last chance to get what us fans have wanted</v>
      </c>
      <c r="D1610">
        <v>0</v>
      </c>
      <c r="E1610">
        <v>0</v>
      </c>
      <c r="F1610" t="s">
        <v>0</v>
      </c>
      <c r="G1610" t="str" cm="1">
        <f t="array" ref="G1610" xml:space="preserve"> FindCountryName(F1610)</f>
        <v>None</v>
      </c>
      <c r="H1610" s="1">
        <v>45290.582662037035</v>
      </c>
      <c r="I1610" s="1">
        <v>45290.582662037035</v>
      </c>
      <c r="J1610" s="1">
        <v>40543.660162037035</v>
      </c>
      <c r="K1610" cm="1">
        <f t="array" ref="K1610" xml:space="preserve"> sentimentCalc(C1610)</f>
        <v>2</v>
      </c>
      <c r="L1610" t="str" cm="1">
        <f t="array" ref="L1610" xml:space="preserve"> sentimentCategory(K1610)</f>
        <v>Positive</v>
      </c>
    </row>
    <row r="1611" spans="1:12">
      <c r="A1611" t="s">
        <v>418</v>
      </c>
      <c r="B1611" t="s">
        <v>2774</v>
      </c>
      <c r="C1611" t="str" cm="1">
        <f t="array" ref="C1611" xml:space="preserve"> CleanText(B1611)</f>
        <v>omashu looks just damn sonalso the ee wowthe actors the elementsis it time</v>
      </c>
      <c r="D1611">
        <v>0</v>
      </c>
      <c r="E1611">
        <v>0</v>
      </c>
      <c r="F1611" t="s">
        <v>0</v>
      </c>
      <c r="G1611" t="str" cm="1">
        <f t="array" ref="G1611" xml:space="preserve"> FindCountryName(F1611)</f>
        <v>None</v>
      </c>
      <c r="H1611" s="1">
        <v>45290.56040509259</v>
      </c>
      <c r="I1611" s="1">
        <v>45290.56040509259</v>
      </c>
      <c r="J1611" s="1">
        <v>41739.471284722225</v>
      </c>
      <c r="K1611" cm="1">
        <f t="array" ref="K1611" xml:space="preserve"> sentimentCalc(C1611)</f>
        <v>-4</v>
      </c>
      <c r="L1611" t="str" cm="1">
        <f t="array" ref="L1611" xml:space="preserve"> sentimentCategory(K1611)</f>
        <v>Negative</v>
      </c>
    </row>
    <row r="1612" spans="1:12">
      <c r="A1612" t="s">
        <v>1554</v>
      </c>
      <c r="B1612" t="s">
        <v>2773</v>
      </c>
      <c r="C1612" t="str" cm="1">
        <f t="array" ref="C1612" xml:space="preserve"> CleanText(B1612)</f>
        <v>ngl inwas so mad at the scene where  or  eartbender starting bending i was like yo thats gona be something cool and when a saw the rock i was like bruh u could just have thrown it by hand like wth all that dance for this _xDE02_</v>
      </c>
      <c r="D1612">
        <v>0</v>
      </c>
      <c r="E1612">
        <v>0</v>
      </c>
      <c r="F1612" t="s">
        <v>0</v>
      </c>
      <c r="G1612" t="str" cm="1">
        <f t="array" ref="G1612" xml:space="preserve"> FindCountryName(F1612)</f>
        <v>None</v>
      </c>
      <c r="H1612" s="1">
        <v>45290.472557870373</v>
      </c>
      <c r="I1612" s="1">
        <v>45290.472557870373</v>
      </c>
      <c r="J1612" s="1">
        <v>44196.567094907405</v>
      </c>
      <c r="K1612" cm="1">
        <f t="array" ref="K1612" xml:space="preserve"> sentimentCalc(C1612)</f>
        <v>4</v>
      </c>
      <c r="L1612" t="str" cm="1">
        <f t="array" ref="L1612" xml:space="preserve"> sentimentCategory(K1612)</f>
        <v>Positive</v>
      </c>
    </row>
    <row r="1613" spans="1:12">
      <c r="A1613" t="s">
        <v>508</v>
      </c>
      <c r="B1613" t="s">
        <v>2772</v>
      </c>
      <c r="C1613" t="str" cm="1">
        <f t="array" ref="C1613" xml:space="preserve"> CleanText(B1613)</f>
        <v>hopefully it doesnt take  men to launch a small rock towards the enemies like the movie one did</v>
      </c>
      <c r="D1613">
        <v>0</v>
      </c>
      <c r="E1613">
        <v>1</v>
      </c>
      <c r="F1613" t="s">
        <v>0</v>
      </c>
      <c r="G1613" t="str" cm="1">
        <f t="array" ref="G1613" xml:space="preserve"> FindCountryName(F1613)</f>
        <v>None</v>
      </c>
      <c r="H1613" s="1">
        <v>45290.46980324074</v>
      </c>
      <c r="I1613" s="1">
        <v>45290.46980324074</v>
      </c>
      <c r="J1613" s="1">
        <v>43193.242743055554</v>
      </c>
      <c r="K1613" cm="1">
        <f t="array" ref="K1613" xml:space="preserve"> sentimentCalc(C1613)</f>
        <v>2</v>
      </c>
      <c r="L1613" t="str" cm="1">
        <f t="array" ref="L1613" xml:space="preserve"> sentimentCategory(K1613)</f>
        <v>Positive</v>
      </c>
    </row>
    <row r="1614" spans="1:12">
      <c r="A1614" t="s">
        <v>2771</v>
      </c>
      <c r="B1614" t="s">
        <v>2770</v>
      </c>
      <c r="C1614" t="str" cm="1">
        <f t="array" ref="C1614" xml:space="preserve"> CleanText(B1614)</f>
        <v>this looks so good hope you guys stick with the story</v>
      </c>
      <c r="D1614">
        <v>0</v>
      </c>
      <c r="E1614">
        <v>0</v>
      </c>
      <c r="F1614" t="s">
        <v>0</v>
      </c>
      <c r="G1614" t="str" cm="1">
        <f t="array" ref="G1614" xml:space="preserve"> FindCountryName(F1614)</f>
        <v>None</v>
      </c>
      <c r="H1614" s="1">
        <v>45290.4533912037</v>
      </c>
      <c r="I1614" s="1">
        <v>45290.4533912037</v>
      </c>
      <c r="J1614" s="1">
        <v>39202.879386574074</v>
      </c>
      <c r="K1614" cm="1">
        <f t="array" ref="K1614" xml:space="preserve"> sentimentCalc(C1614)</f>
        <v>5</v>
      </c>
      <c r="L1614" t="str" cm="1">
        <f t="array" ref="L1614" xml:space="preserve"> sentimentCategory(K1614)</f>
        <v>Positive</v>
      </c>
    </row>
    <row r="1615" spans="1:12">
      <c r="A1615" t="s">
        <v>2769</v>
      </c>
      <c r="B1615" t="s">
        <v>2768</v>
      </c>
      <c r="C1615" t="str" cm="1">
        <f t="array" ref="C1615" xml:space="preserve"> CleanText(B1615)</f>
        <v>you guys should adapt dragon ball to a live action series</v>
      </c>
      <c r="D1615">
        <v>0</v>
      </c>
      <c r="E1615">
        <v>0</v>
      </c>
      <c r="F1615" t="s">
        <v>0</v>
      </c>
      <c r="G1615" t="str" cm="1">
        <f t="array" ref="G1615" xml:space="preserve"> FindCountryName(F1615)</f>
        <v>None</v>
      </c>
      <c r="H1615" s="1">
        <v>45290.420740740738</v>
      </c>
      <c r="I1615" s="1">
        <v>45290.420925925922</v>
      </c>
      <c r="J1615" s="1">
        <v>40957.352476851855</v>
      </c>
      <c r="K1615" cm="1">
        <f t="array" ref="K1615" xml:space="preserve"> sentimentCalc(C1615)</f>
        <v>0</v>
      </c>
      <c r="L1615" t="str" cm="1">
        <f t="array" ref="L1615" xml:space="preserve"> sentimentCategory(K1615)</f>
        <v>Neutral</v>
      </c>
    </row>
    <row r="1616" spans="1:12">
      <c r="A1616" t="s">
        <v>8</v>
      </c>
      <c r="B1616" t="s">
        <v>2767</v>
      </c>
      <c r="C1616" t="str" cm="1">
        <f t="array" ref="C1616" xml:space="preserve"> CleanText(B1616)</f>
        <v>thank god its not a oa movement bending</v>
      </c>
      <c r="D1616">
        <v>0</v>
      </c>
      <c r="E1616">
        <v>0</v>
      </c>
      <c r="F1616" t="s">
        <v>0</v>
      </c>
      <c r="G1616" t="str" cm="1">
        <f t="array" ref="G1616" xml:space="preserve"> FindCountryName(F1616)</f>
        <v>None</v>
      </c>
      <c r="H1616" s="1">
        <v>45290.348009259258</v>
      </c>
      <c r="I1616" s="1">
        <v>45290.348009259258</v>
      </c>
      <c r="J1616" s="1">
        <v>41488.128379629627</v>
      </c>
      <c r="K1616" cm="1">
        <f t="array" ref="K1616" xml:space="preserve"> sentimentCalc(C1616)</f>
        <v>3</v>
      </c>
      <c r="L1616" t="str" cm="1">
        <f t="array" ref="L1616" xml:space="preserve"> sentimentCategory(K1616)</f>
        <v>Positive</v>
      </c>
    </row>
    <row r="1617" spans="1:12">
      <c r="A1617" t="s">
        <v>994</v>
      </c>
      <c r="B1617" t="s">
        <v>2766</v>
      </c>
      <c r="C1617" t="str" cm="1">
        <f t="array" ref="C1617" xml:space="preserve"> CleanText(B1617)</f>
        <v>that looks absolutely phenomenal</v>
      </c>
      <c r="D1617">
        <v>1</v>
      </c>
      <c r="E1617">
        <v>0</v>
      </c>
      <c r="F1617" t="s">
        <v>0</v>
      </c>
      <c r="G1617" t="str" cm="1">
        <f t="array" ref="G1617" xml:space="preserve"> FindCountryName(F1617)</f>
        <v>None</v>
      </c>
      <c r="H1617" s="1">
        <v>45290.345196759263</v>
      </c>
      <c r="I1617" s="1">
        <v>45290.345196759263</v>
      </c>
      <c r="J1617" s="1">
        <v>44780.464479166665</v>
      </c>
      <c r="K1617" cm="1">
        <f t="array" ref="K1617" xml:space="preserve"> sentimentCalc(C1617)</f>
        <v>0</v>
      </c>
      <c r="L1617" t="str" cm="1">
        <f t="array" ref="L1617" xml:space="preserve"> sentimentCategory(K1617)</f>
        <v>Neutral</v>
      </c>
    </row>
    <row r="1618" spans="1:12">
      <c r="A1618" t="s">
        <v>626</v>
      </c>
      <c r="B1618" t="s">
        <v>2765</v>
      </c>
      <c r="C1618" t="str" cm="1">
        <f t="array" ref="C1618" xml:space="preserve"> CleanText(B1618)</f>
        <v>im forever boycotting netflix if this sucks like the movie did</v>
      </c>
      <c r="D1618">
        <v>0</v>
      </c>
      <c r="E1618">
        <v>0</v>
      </c>
      <c r="F1618" t="s">
        <v>0</v>
      </c>
      <c r="G1618" t="str" cm="1">
        <f t="array" ref="G1618" xml:space="preserve"> FindCountryName(F1618)</f>
        <v>None</v>
      </c>
      <c r="H1618" s="1">
        <v>45290.323622685188</v>
      </c>
      <c r="I1618" s="1">
        <v>45290.323622685188</v>
      </c>
      <c r="J1618" s="1">
        <v>39374.22550925926</v>
      </c>
      <c r="K1618" cm="1">
        <f t="array" ref="K1618" xml:space="preserve"> sentimentCalc(C1618)</f>
        <v>-3</v>
      </c>
      <c r="L1618" t="str" cm="1">
        <f t="array" ref="L1618" xml:space="preserve"> sentimentCategory(K1618)</f>
        <v>Negative</v>
      </c>
    </row>
    <row r="1619" spans="1:12">
      <c r="A1619" t="s">
        <v>1473</v>
      </c>
      <c r="B1619" t="s">
        <v>2764</v>
      </c>
      <c r="C1619" t="str" cm="1">
        <f t="array" ref="C1619" xml:space="preserve"> CleanText(B1619)</f>
        <v>m night shyamalan ptsd</v>
      </c>
      <c r="D1619">
        <v>0</v>
      </c>
      <c r="E1619">
        <v>0</v>
      </c>
      <c r="F1619" t="s">
        <v>0</v>
      </c>
      <c r="G1619" t="str" cm="1">
        <f t="array" ref="G1619" xml:space="preserve"> FindCountryName(F1619)</f>
        <v>None</v>
      </c>
      <c r="H1619" s="1">
        <v>45290.289560185185</v>
      </c>
      <c r="I1619" s="1">
        <v>45290.289560185185</v>
      </c>
      <c r="J1619" s="1">
        <v>42318.498576388891</v>
      </c>
      <c r="K1619" cm="1">
        <f t="array" ref="K1619" xml:space="preserve"> sentimentCalc(C1619)</f>
        <v>0</v>
      </c>
      <c r="L1619" t="str" cm="1">
        <f t="array" ref="L1619" xml:space="preserve"> sentimentCategory(K1619)</f>
        <v>Neutral</v>
      </c>
    </row>
    <row r="1620" spans="1:12">
      <c r="A1620" t="s">
        <v>1140</v>
      </c>
      <c r="B1620" t="s">
        <v>2763</v>
      </c>
      <c r="C1620" t="str" cm="1">
        <f t="array" ref="C1620" xml:space="preserve"> CleanText(B1620)</f>
        <v>i used to be obsessed with alta and im so excited for this _xDE2D_</v>
      </c>
      <c r="D1620">
        <v>0</v>
      </c>
      <c r="E1620">
        <v>0</v>
      </c>
      <c r="F1620" t="s">
        <v>2284</v>
      </c>
      <c r="G1620" t="str" cm="1">
        <f t="array" ref="G1620" xml:space="preserve"> FindCountryName(F1620)</f>
        <v>United Arab Emirates (the)</v>
      </c>
      <c r="H1620" s="1">
        <v>45290.249745370369</v>
      </c>
      <c r="I1620" s="1">
        <v>45290.249745370369</v>
      </c>
      <c r="J1620" s="1">
        <v>45009.160949074074</v>
      </c>
      <c r="K1620" cm="1">
        <f t="array" ref="K1620" xml:space="preserve"> sentimentCalc(C1620)</f>
        <v>5</v>
      </c>
      <c r="L1620" t="str" cm="1">
        <f t="array" ref="L1620" xml:space="preserve"> sentimentCategory(K1620)</f>
        <v>Positive</v>
      </c>
    </row>
    <row r="1621" spans="1:12">
      <c r="A1621" t="s">
        <v>2063</v>
      </c>
      <c r="B1621" t="s">
        <v>2762</v>
      </c>
      <c r="C1621" t="str" cm="1">
        <f t="array" ref="C1621" xml:space="preserve"> CleanText(B1621)</f>
        <v>the one issue i feel like might bring this down is netflix trying to hard to bring in an older crowd to watch an thus making the show way to serious losing the fact that aang is still a kid and he dosent exactly know what he is doing so he resorts to jokes and gags to help ease some tension when he feels overwhelmed hopefully this comment ages like fine milk</v>
      </c>
      <c r="D1621">
        <v>0</v>
      </c>
      <c r="E1621">
        <v>0</v>
      </c>
      <c r="F1621" t="s">
        <v>19</v>
      </c>
      <c r="G1621" t="str" cm="1">
        <f t="array" ref="G1621" xml:space="preserve"> FindCountryName(F1621)</f>
        <v>United States of America (the)</v>
      </c>
      <c r="H1621" s="1">
        <v>45290.224236111113</v>
      </c>
      <c r="I1621" s="1">
        <v>45290.224236111113</v>
      </c>
      <c r="J1621" s="1">
        <v>44247.377824074072</v>
      </c>
      <c r="K1621" cm="1">
        <f t="array" ref="K1621" xml:space="preserve"> sentimentCalc(C1621)</f>
        <v>9</v>
      </c>
      <c r="L1621" t="str" cm="1">
        <f t="array" ref="L1621" xml:space="preserve"> sentimentCategory(K1621)</f>
        <v>Positive</v>
      </c>
    </row>
    <row r="1622" spans="1:12">
      <c r="A1622" t="s">
        <v>1771</v>
      </c>
      <c r="B1622" t="s">
        <v>2761</v>
      </c>
      <c r="C1622" t="str" cm="1">
        <f t="array" ref="C1622" xml:space="preserve"> CleanText(B1622)</f>
        <v>how about the old movie 00 the last airbender yrs now now one part</v>
      </c>
      <c r="D1622">
        <v>0</v>
      </c>
      <c r="E1622">
        <v>0</v>
      </c>
      <c r="F1622" t="s">
        <v>0</v>
      </c>
      <c r="G1622" t="str" cm="1">
        <f t="array" ref="G1622" xml:space="preserve"> FindCountryName(F1622)</f>
        <v>None</v>
      </c>
      <c r="H1622" s="1">
        <v>45290.174444444441</v>
      </c>
      <c r="I1622" s="1">
        <v>45290.174444444441</v>
      </c>
      <c r="J1622" s="1">
        <v>44570.251215277778</v>
      </c>
      <c r="K1622" cm="1">
        <f t="array" ref="K1622" xml:space="preserve"> sentimentCalc(C1622)</f>
        <v>0</v>
      </c>
      <c r="L1622" t="str" cm="1">
        <f t="array" ref="L1622" xml:space="preserve"> sentimentCategory(K1622)</f>
        <v>Neutral</v>
      </c>
    </row>
    <row r="1623" spans="1:12">
      <c r="A1623" t="s">
        <v>950</v>
      </c>
      <c r="B1623" t="s">
        <v>2760</v>
      </c>
      <c r="C1623" t="str" cm="1">
        <f t="array" ref="C1623" xml:space="preserve"> CleanText(B1623)</f>
        <v>why does this look like its gonna slap</v>
      </c>
      <c r="D1623">
        <v>0</v>
      </c>
      <c r="E1623">
        <v>0</v>
      </c>
      <c r="F1623" t="s">
        <v>0</v>
      </c>
      <c r="G1623" t="str" cm="1">
        <f t="array" ref="G1623" xml:space="preserve"> FindCountryName(F1623)</f>
        <v>None</v>
      </c>
      <c r="H1623" s="1">
        <v>45290.149282407408</v>
      </c>
      <c r="I1623" s="1">
        <v>45290.149282407408</v>
      </c>
      <c r="J1623" s="1">
        <v>44419.208391203705</v>
      </c>
      <c r="K1623" cm="1">
        <f t="array" ref="K1623" xml:space="preserve"> sentimentCalc(C1623)</f>
        <v>2</v>
      </c>
      <c r="L1623" t="str" cm="1">
        <f t="array" ref="L1623" xml:space="preserve"> sentimentCategory(K1623)</f>
        <v>Positive</v>
      </c>
    </row>
    <row r="1624" spans="1:12">
      <c r="A1624" t="s">
        <v>141</v>
      </c>
      <c r="B1624" t="s">
        <v>2759</v>
      </c>
      <c r="C1624" t="str" cm="1">
        <f t="array" ref="C1624" xml:space="preserve"> CleanText(B1624)</f>
        <v>this looks good lets hope it more than makes up for things i wont even speak of yet we all know what im talking about lol</v>
      </c>
      <c r="D1624">
        <v>0</v>
      </c>
      <c r="E1624">
        <v>0</v>
      </c>
      <c r="F1624" t="s">
        <v>0</v>
      </c>
      <c r="G1624" t="str" cm="1">
        <f t="array" ref="G1624" xml:space="preserve"> FindCountryName(F1624)</f>
        <v>None</v>
      </c>
      <c r="H1624" s="1">
        <v>45290.114016203705</v>
      </c>
      <c r="I1624" s="1">
        <v>45290.114016203705</v>
      </c>
      <c r="J1624" s="1">
        <v>44410.551944444444</v>
      </c>
      <c r="K1624" cm="1">
        <f t="array" ref="K1624" xml:space="preserve"> sentimentCalc(C1624)</f>
        <v>5</v>
      </c>
      <c r="L1624" t="str" cm="1">
        <f t="array" ref="L1624" xml:space="preserve"> sentimentCategory(K1624)</f>
        <v>Positive</v>
      </c>
    </row>
    <row r="1625" spans="1:12">
      <c r="A1625" t="s">
        <v>367</v>
      </c>
      <c r="B1625" t="s">
        <v>2758</v>
      </c>
      <c r="C1625" t="str" cm="1">
        <f t="array" ref="C1625" xml:space="preserve"> CleanText(B1625)</f>
        <v>this is gonna suck so badly</v>
      </c>
      <c r="D1625">
        <v>0</v>
      </c>
      <c r="E1625">
        <v>0</v>
      </c>
      <c r="F1625" t="s">
        <v>0</v>
      </c>
      <c r="G1625" t="str" cm="1">
        <f t="array" ref="G1625" xml:space="preserve"> FindCountryName(F1625)</f>
        <v>None</v>
      </c>
      <c r="H1625" s="1">
        <v>45290.096365740741</v>
      </c>
      <c r="I1625" s="1">
        <v>45290.096365740741</v>
      </c>
      <c r="J1625" s="1">
        <v>40830.416863425926</v>
      </c>
      <c r="K1625" cm="1">
        <f t="array" ref="K1625" xml:space="preserve"> sentimentCalc(C1625)</f>
        <v>-6</v>
      </c>
      <c r="L1625" t="str" cm="1">
        <f t="array" ref="L1625" xml:space="preserve"> sentimentCategory(K1625)</f>
        <v>Negative</v>
      </c>
    </row>
    <row r="1626" spans="1:12">
      <c r="A1626" t="s">
        <v>2757</v>
      </c>
      <c r="B1626" t="s">
        <v>2756</v>
      </c>
      <c r="C1626" t="str" cm="1">
        <f t="array" ref="C1626" xml:space="preserve"> CleanText(B1626)</f>
        <v>can you make katara and zuko each up with each other like they were always meant too</v>
      </c>
      <c r="D1626">
        <v>0</v>
      </c>
      <c r="E1626">
        <v>1</v>
      </c>
      <c r="F1626" t="s">
        <v>0</v>
      </c>
      <c r="G1626" t="str" cm="1">
        <f t="array" ref="G1626" xml:space="preserve"> FindCountryName(F1626)</f>
        <v>None</v>
      </c>
      <c r="H1626" s="1">
        <v>45290.094652777778</v>
      </c>
      <c r="I1626" s="1">
        <v>45290.094652777778</v>
      </c>
      <c r="J1626" s="1">
        <v>44775.747499999998</v>
      </c>
      <c r="K1626" cm="1">
        <f t="array" ref="K1626" xml:space="preserve"> sentimentCalc(C1626)</f>
        <v>2</v>
      </c>
      <c r="L1626" t="str" cm="1">
        <f t="array" ref="L1626" xml:space="preserve"> sentimentCategory(K1626)</f>
        <v>Positive</v>
      </c>
    </row>
    <row r="1627" spans="1:12">
      <c r="A1627" t="s">
        <v>2331</v>
      </c>
      <c r="B1627" t="s">
        <v>2755</v>
      </c>
      <c r="C1627" t="str" cm="1">
        <f t="array" ref="C1627" xml:space="preserve"> CleanText(B1627)</f>
        <v>i am a huge fan of avatar</v>
      </c>
      <c r="D1627">
        <v>0</v>
      </c>
      <c r="E1627">
        <v>0</v>
      </c>
      <c r="F1627" t="s">
        <v>0</v>
      </c>
      <c r="G1627" t="str" cm="1">
        <f t="array" ref="G1627" xml:space="preserve"> FindCountryName(F1627)</f>
        <v>None</v>
      </c>
      <c r="H1627" s="1">
        <v>45290.093715277777</v>
      </c>
      <c r="I1627" s="1">
        <v>45290.093715277777</v>
      </c>
      <c r="J1627" s="1">
        <v>42439.656354166669</v>
      </c>
      <c r="K1627" cm="1">
        <f t="array" ref="K1627" xml:space="preserve"> sentimentCalc(C1627)</f>
        <v>4</v>
      </c>
      <c r="L1627" t="str" cm="1">
        <f t="array" ref="L1627" xml:space="preserve"> sentimentCategory(K1627)</f>
        <v>Positive</v>
      </c>
    </row>
    <row r="1628" spans="1:12">
      <c r="A1628" t="s">
        <v>1327</v>
      </c>
      <c r="B1628" t="s">
        <v>2754</v>
      </c>
      <c r="C1628" t="str" cm="1">
        <f t="array" ref="C1628" xml:space="preserve"> CleanText(B1628)</f>
        <v>i hope this one will be good</v>
      </c>
      <c r="D1628">
        <v>0</v>
      </c>
      <c r="E1628">
        <v>0</v>
      </c>
      <c r="F1628" t="s">
        <v>0</v>
      </c>
      <c r="G1628" t="str" cm="1">
        <f t="array" ref="G1628" xml:space="preserve"> FindCountryName(F1628)</f>
        <v>None</v>
      </c>
      <c r="H1628" s="1">
        <v>45290.078125</v>
      </c>
      <c r="I1628" s="1">
        <v>45290.078125</v>
      </c>
      <c r="J1628" s="1">
        <v>44078.243171296293</v>
      </c>
      <c r="K1628" cm="1">
        <f t="array" ref="K1628" xml:space="preserve"> sentimentCalc(C1628)</f>
        <v>5</v>
      </c>
      <c r="L1628" t="str" cm="1">
        <f t="array" ref="L1628" xml:space="preserve"> sentimentCategory(K1628)</f>
        <v>Positive</v>
      </c>
    </row>
    <row r="1629" spans="1:12">
      <c r="A1629" t="s">
        <v>648</v>
      </c>
      <c r="B1629" t="s">
        <v>2753</v>
      </c>
      <c r="C1629" t="str" cm="1">
        <f t="array" ref="C1629" xml:space="preserve"> CleanText(B1629)</f>
        <v>pretty stoked about this</v>
      </c>
      <c r="D1629">
        <v>0</v>
      </c>
      <c r="E1629">
        <v>0</v>
      </c>
      <c r="F1629" t="s">
        <v>19</v>
      </c>
      <c r="G1629" t="str" cm="1">
        <f t="array" ref="G1629" xml:space="preserve"> FindCountryName(F1629)</f>
        <v>United States of America (the)</v>
      </c>
      <c r="H1629" s="1">
        <v>45290.022210648145</v>
      </c>
      <c r="I1629" s="1">
        <v>45290.022210648145</v>
      </c>
      <c r="J1629" s="1">
        <v>42880.56585648148</v>
      </c>
      <c r="K1629" cm="1">
        <f t="array" ref="K1629" xml:space="preserve"> sentimentCalc(C1629)</f>
        <v>1</v>
      </c>
      <c r="L1629" t="str" cm="1">
        <f t="array" ref="L1629" xml:space="preserve"> sentimentCategory(K1629)</f>
        <v>Positive</v>
      </c>
    </row>
    <row r="1630" spans="1:12">
      <c r="A1630" t="s">
        <v>2752</v>
      </c>
      <c r="B1630" t="s">
        <v>2751</v>
      </c>
      <c r="C1630" t="str" cm="1">
        <f t="array" ref="C1630" xml:space="preserve"> CleanText(B1630)</f>
        <v>wow</v>
      </c>
      <c r="D1630">
        <v>0</v>
      </c>
      <c r="E1630">
        <v>0</v>
      </c>
      <c r="F1630" t="s">
        <v>0</v>
      </c>
      <c r="G1630" t="str" cm="1">
        <f t="array" ref="G1630" xml:space="preserve"> FindCountryName(F1630)</f>
        <v>None</v>
      </c>
      <c r="H1630" s="1">
        <v>45289.996620370373</v>
      </c>
      <c r="I1630" s="1">
        <v>45289.996620370373</v>
      </c>
      <c r="J1630" s="1">
        <v>43526.794629629629</v>
      </c>
      <c r="K1630" cm="1">
        <f t="array" ref="K1630" xml:space="preserve"> sentimentCalc(C1630)</f>
        <v>4</v>
      </c>
      <c r="L1630" t="str" cm="1">
        <f t="array" ref="L1630" xml:space="preserve"> sentimentCategory(K1630)</f>
        <v>Positive</v>
      </c>
    </row>
    <row r="1631" spans="1:12">
      <c r="A1631" t="s">
        <v>1648</v>
      </c>
      <c r="B1631" t="s">
        <v>2750</v>
      </c>
      <c r="C1631" t="str" cm="1">
        <f t="array" ref="C1631" xml:space="preserve"> CleanText(B1631)</f>
        <v>this looks like its going to be done right</v>
      </c>
      <c r="D1631">
        <v>0</v>
      </c>
      <c r="E1631">
        <v>0</v>
      </c>
      <c r="F1631" t="s">
        <v>0</v>
      </c>
      <c r="G1631" t="str" cm="1">
        <f t="array" ref="G1631" xml:space="preserve"> FindCountryName(F1631)</f>
        <v>None</v>
      </c>
      <c r="H1631" s="1">
        <v>45289.975798611114</v>
      </c>
      <c r="I1631" s="1">
        <v>45289.975798611114</v>
      </c>
      <c r="J1631" s="1">
        <v>44153.408900462964</v>
      </c>
      <c r="K1631" cm="1">
        <f t="array" ref="K1631" xml:space="preserve"> sentimentCalc(C1631)</f>
        <v>2</v>
      </c>
      <c r="L1631" t="str" cm="1">
        <f t="array" ref="L1631" xml:space="preserve"> sentimentCategory(K1631)</f>
        <v>Positive</v>
      </c>
    </row>
    <row r="1632" spans="1:12">
      <c r="A1632" t="s">
        <v>1829</v>
      </c>
      <c r="B1632" t="s">
        <v>2749</v>
      </c>
      <c r="C1632" t="str" cm="1">
        <f t="array" ref="C1632" xml:space="preserve"> CleanText(B1632)</f>
        <v>im so excited for this gave me goosebumps</v>
      </c>
      <c r="D1632">
        <v>0</v>
      </c>
      <c r="E1632">
        <v>0</v>
      </c>
      <c r="F1632" t="s">
        <v>0</v>
      </c>
      <c r="G1632" t="str" cm="1">
        <f t="array" ref="G1632" xml:space="preserve"> FindCountryName(F1632)</f>
        <v>None</v>
      </c>
      <c r="H1632" s="1">
        <v>45289.961134259262</v>
      </c>
      <c r="I1632" s="1">
        <v>45289.961134259262</v>
      </c>
      <c r="J1632" s="1">
        <v>44696.37641203704</v>
      </c>
      <c r="K1632" cm="1">
        <f t="array" ref="K1632" xml:space="preserve"> sentimentCalc(C1632)</f>
        <v>3</v>
      </c>
      <c r="L1632" t="str" cm="1">
        <f t="array" ref="L1632" xml:space="preserve"> sentimentCategory(K1632)</f>
        <v>Positive</v>
      </c>
    </row>
    <row r="1633" spans="1:12">
      <c r="A1633" t="s">
        <v>6</v>
      </c>
      <c r="B1633" t="s">
        <v>2748</v>
      </c>
      <c r="C1633" t="str" cm="1">
        <f t="array" ref="C1633" xml:space="preserve"> CleanText(B1633)</f>
        <v>if this is bad istg</v>
      </c>
      <c r="D1633">
        <v>0</v>
      </c>
      <c r="E1633">
        <v>0</v>
      </c>
      <c r="F1633" t="s">
        <v>19</v>
      </c>
      <c r="G1633" t="str" cm="1">
        <f t="array" ref="G1633" xml:space="preserve"> FindCountryName(F1633)</f>
        <v>United States of America (the)</v>
      </c>
      <c r="H1633" s="1">
        <v>45289.940740740742</v>
      </c>
      <c r="I1633" s="1">
        <v>45289.940740740742</v>
      </c>
      <c r="J1633" s="1">
        <v>42898.739120370374</v>
      </c>
      <c r="K1633" cm="1">
        <f t="array" ref="K1633" xml:space="preserve"> sentimentCalc(C1633)</f>
        <v>-3</v>
      </c>
      <c r="L1633" t="str" cm="1">
        <f t="array" ref="L1633" xml:space="preserve"> sentimentCategory(K1633)</f>
        <v>Negative</v>
      </c>
    </row>
    <row r="1634" spans="1:12">
      <c r="A1634" t="s">
        <v>560</v>
      </c>
      <c r="B1634" t="s">
        <v>2747</v>
      </c>
      <c r="C1634" t="str" cm="1">
        <f t="array" ref="C1634" xml:space="preserve"> CleanText(B1634)</f>
        <v>oh my gosh its so beautiful  im so excited  just still wish zuko was hotter thats it im also very excited that the music studio on this worked on star wars and the graphics studio is from got netflix is really setting this up for success thank god i think its gonna be incredible</v>
      </c>
      <c r="D1634">
        <v>0</v>
      </c>
      <c r="E1634">
        <v>0</v>
      </c>
      <c r="F1634" t="s">
        <v>0</v>
      </c>
      <c r="G1634" t="str" cm="1">
        <f t="array" ref="G1634" xml:space="preserve"> FindCountryName(F1634)</f>
        <v>None</v>
      </c>
      <c r="H1634" s="1">
        <v>45289.937847222223</v>
      </c>
      <c r="I1634" s="1">
        <v>45289.94017361111</v>
      </c>
      <c r="J1634" s="1">
        <v>44941.547650462962</v>
      </c>
      <c r="K1634" cm="1">
        <f t="array" ref="K1634" xml:space="preserve"> sentimentCalc(C1634)</f>
        <v>15</v>
      </c>
      <c r="L1634" t="str" cm="1">
        <f t="array" ref="L1634" xml:space="preserve"> sentimentCategory(K1634)</f>
        <v>Positive</v>
      </c>
    </row>
    <row r="1635" spans="1:12">
      <c r="A1635" t="s">
        <v>2746</v>
      </c>
      <c r="B1635" t="s">
        <v>2745</v>
      </c>
      <c r="C1635" t="str" cm="1">
        <f t="array" ref="C1635" xml:space="preserve"> CleanText(B1635)</f>
        <v>with the sucesss of the one piece live action i really hope this is does well</v>
      </c>
      <c r="D1635">
        <v>1</v>
      </c>
      <c r="E1635">
        <v>0</v>
      </c>
      <c r="F1635" t="s">
        <v>0</v>
      </c>
      <c r="G1635" t="str" cm="1">
        <f t="array" ref="G1635" xml:space="preserve"> FindCountryName(F1635)</f>
        <v>None</v>
      </c>
      <c r="H1635" s="1">
        <v>45289.931759259256</v>
      </c>
      <c r="I1635" s="1">
        <v>45289.931759259256</v>
      </c>
      <c r="J1635" s="1">
        <v>44507.523298611108</v>
      </c>
      <c r="K1635" cm="1">
        <f t="array" ref="K1635" xml:space="preserve"> sentimentCalc(C1635)</f>
        <v>2</v>
      </c>
      <c r="L1635" t="str" cm="1">
        <f t="array" ref="L1635" xml:space="preserve"> sentimentCategory(K1635)</f>
        <v>Positive</v>
      </c>
    </row>
    <row r="1636" spans="1:12">
      <c r="A1636" t="s">
        <v>1977</v>
      </c>
      <c r="B1636" t="s">
        <v>2744</v>
      </c>
      <c r="C1636" t="str" cm="1">
        <f t="array" ref="C1636" xml:space="preserve"> CleanText(B1636)</f>
        <v>vamooooo</v>
      </c>
      <c r="D1636">
        <v>0</v>
      </c>
      <c r="E1636">
        <v>0</v>
      </c>
      <c r="F1636" t="s">
        <v>0</v>
      </c>
      <c r="G1636" t="str" cm="1">
        <f t="array" ref="G1636" xml:space="preserve"> FindCountryName(F1636)</f>
        <v>None</v>
      </c>
      <c r="H1636" s="1">
        <v>45289.834606481483</v>
      </c>
      <c r="I1636" s="1">
        <v>45289.834606481483</v>
      </c>
      <c r="J1636" s="1">
        <v>42160.829756944448</v>
      </c>
      <c r="K1636" cm="1">
        <f t="array" ref="K1636" xml:space="preserve"> sentimentCalc(C1636)</f>
        <v>0</v>
      </c>
      <c r="L1636" t="str" cm="1">
        <f t="array" ref="L1636" xml:space="preserve"> sentimentCategory(K1636)</f>
        <v>Neutral</v>
      </c>
    </row>
    <row r="1637" spans="1:12">
      <c r="A1637" t="s">
        <v>231</v>
      </c>
      <c r="B1637" t="s">
        <v>2743</v>
      </c>
      <c r="C1637" t="str" cm="1">
        <f t="array" ref="C1637" xml:space="preserve"> CleanText(B1637)</f>
        <v>i just finished the cartoon for the fifth time today</v>
      </c>
      <c r="D1637">
        <v>0</v>
      </c>
      <c r="E1637">
        <v>0</v>
      </c>
      <c r="F1637" t="s">
        <v>0</v>
      </c>
      <c r="G1637" t="str" cm="1">
        <f t="array" ref="G1637" xml:space="preserve"> FindCountryName(F1637)</f>
        <v>None</v>
      </c>
      <c r="H1637" s="1">
        <v>45289.826527777775</v>
      </c>
      <c r="I1637" s="1">
        <v>45289.826527777775</v>
      </c>
      <c r="J1637" s="1">
        <v>42459.532592592594</v>
      </c>
      <c r="K1637" cm="1">
        <f t="array" ref="K1637" xml:space="preserve"> sentimentCalc(C1637)</f>
        <v>0</v>
      </c>
      <c r="L1637" t="str" cm="1">
        <f t="array" ref="L1637" xml:space="preserve"> sentimentCategory(K1637)</f>
        <v>Neutral</v>
      </c>
    </row>
    <row r="1638" spans="1:12">
      <c r="A1638" t="s">
        <v>1613</v>
      </c>
      <c r="B1638" t="s">
        <v>2742</v>
      </c>
      <c r="C1638" t="str" cm="1">
        <f t="array" ref="C1638" xml:space="preserve"> CleanText(B1638)</f>
        <v>the aang in the movie looked exactly like the cartoon this guy hopefully is a more seasoned actor and the script is better more comedy,  but he doesnt look too much like aang other than being bald and short to me i look forward to this either way</v>
      </c>
      <c r="D1638">
        <v>0</v>
      </c>
      <c r="E1638">
        <v>2</v>
      </c>
      <c r="F1638" t="s">
        <v>0</v>
      </c>
      <c r="G1638" t="str" cm="1">
        <f t="array" ref="G1638" xml:space="preserve"> FindCountryName(F1638)</f>
        <v>None</v>
      </c>
      <c r="H1638" s="1">
        <v>45289.750451388885</v>
      </c>
      <c r="I1638" s="1">
        <v>45289.750451388885</v>
      </c>
      <c r="J1638" s="1">
        <v>45062.160937499997</v>
      </c>
      <c r="K1638" cm="1">
        <f t="array" ref="K1638" xml:space="preserve"> sentimentCalc(C1638)</f>
        <v>8</v>
      </c>
      <c r="L1638" t="str" cm="1">
        <f t="array" ref="L1638" xml:space="preserve"> sentimentCategory(K1638)</f>
        <v>Positive</v>
      </c>
    </row>
    <row r="1639" spans="1:12">
      <c r="A1639" t="s">
        <v>1456</v>
      </c>
      <c r="B1639" t="s">
        <v>2741</v>
      </c>
      <c r="C1639" t="str" cm="1">
        <f t="array" ref="C1639" xml:space="preserve"> CleanText(B1639)</f>
        <v>cant wait for them all to be gay</v>
      </c>
      <c r="D1639">
        <v>0</v>
      </c>
      <c r="E1639">
        <v>0</v>
      </c>
      <c r="F1639" t="s">
        <v>0</v>
      </c>
      <c r="G1639" t="str" cm="1">
        <f t="array" ref="G1639" xml:space="preserve"> FindCountryName(F1639)</f>
        <v>None</v>
      </c>
      <c r="H1639" s="1">
        <v>45289.741666666669</v>
      </c>
      <c r="I1639" s="1">
        <v>45289.741666666669</v>
      </c>
      <c r="J1639" s="1">
        <v>40798.935081018521</v>
      </c>
      <c r="K1639" cm="1">
        <f t="array" ref="K1639" xml:space="preserve"> sentimentCalc(C1639)</f>
        <v>0</v>
      </c>
      <c r="L1639" t="str" cm="1">
        <f t="array" ref="L1639" xml:space="preserve"> sentimentCategory(K1639)</f>
        <v>Neutral</v>
      </c>
    </row>
    <row r="1640" spans="1:12">
      <c r="A1640" t="s">
        <v>1803</v>
      </c>
      <c r="B1640" t="s">
        <v>2740</v>
      </c>
      <c r="C1640" t="str" cm="1">
        <f t="array" ref="C1640" xml:space="preserve"> CleanText(B1640)</f>
        <v>yes netflix thank you for hopefully correcting a huge injustice that was the first movie absolutely horrible im sooo looking forward to this the previews alone look awesome please dont f this up lol _xDFFD__xDFFD__xDFFD_ do ang and the rest of the crew justice</v>
      </c>
      <c r="D1640">
        <v>0</v>
      </c>
      <c r="E1640">
        <v>0</v>
      </c>
      <c r="F1640" t="s">
        <v>0</v>
      </c>
      <c r="G1640" t="str" cm="1">
        <f t="array" ref="G1640" xml:space="preserve"> FindCountryName(F1640)</f>
        <v>None</v>
      </c>
      <c r="H1640" s="1">
        <v>45289.708865740744</v>
      </c>
      <c r="I1640" s="1">
        <v>45289.708865740744</v>
      </c>
      <c r="J1640" s="1">
        <v>41211.050729166665</v>
      </c>
      <c r="K1640" cm="1">
        <f t="array" ref="K1640" xml:space="preserve"> sentimentCalc(C1640)</f>
        <v>6</v>
      </c>
      <c r="L1640" t="str" cm="1">
        <f t="array" ref="L1640" xml:space="preserve"> sentimentCategory(K1640)</f>
        <v>Positive</v>
      </c>
    </row>
    <row r="1641" spans="1:12">
      <c r="A1641" t="s">
        <v>1000</v>
      </c>
      <c r="B1641" t="s">
        <v>2739</v>
      </c>
      <c r="C1641" t="str" cm="1">
        <f t="array" ref="C1641" xml:space="preserve"> CleanText(B1641)</f>
        <v>remember people the writers of the original show who were supposed to also write this show left due to creative differences its probably going to make tons of dumb and unnecessary changes look at the halo tv show the trailers all looked dope but the actual show ended up terrible and unwoethy of the title of halo im scared this is going to be a similar situation trailer looks good lets hope its accurate</v>
      </c>
      <c r="D1641">
        <v>1</v>
      </c>
      <c r="E1641">
        <v>1</v>
      </c>
      <c r="F1641" t="s">
        <v>0</v>
      </c>
      <c r="G1641" t="str" cm="1">
        <f t="array" ref="G1641" xml:space="preserve"> FindCountryName(F1641)</f>
        <v>None</v>
      </c>
      <c r="H1641" s="1">
        <v>45289.638391203705</v>
      </c>
      <c r="I1641" s="1">
        <v>45289.638391203705</v>
      </c>
      <c r="J1641" s="1">
        <v>41631.253611111111</v>
      </c>
      <c r="K1641" cm="1">
        <f t="array" ref="K1641" xml:space="preserve"> sentimentCalc(C1641)</f>
        <v>-1</v>
      </c>
      <c r="L1641" t="str" cm="1">
        <f t="array" ref="L1641" xml:space="preserve"> sentimentCategory(K1641)</f>
        <v>Negative</v>
      </c>
    </row>
    <row r="1642" spans="1:12">
      <c r="A1642" t="s">
        <v>2738</v>
      </c>
      <c r="B1642" t="s">
        <v>1061</v>
      </c>
      <c r="C1642" t="str" cm="1">
        <f t="array" ref="C1642" xml:space="preserve"> CleanText(B1642)</f>
        <v>n</v>
      </c>
      <c r="D1642">
        <v>0</v>
      </c>
      <c r="E1642">
        <v>0</v>
      </c>
      <c r="F1642" t="s">
        <v>0</v>
      </c>
      <c r="G1642" t="str" cm="1">
        <f t="array" ref="G1642" xml:space="preserve"> FindCountryName(F1642)</f>
        <v>None</v>
      </c>
      <c r="H1642" s="1">
        <v>45289.613333333335</v>
      </c>
      <c r="I1642" s="1">
        <v>45289.613333333335</v>
      </c>
      <c r="J1642" s="1">
        <v>43166.261736111112</v>
      </c>
      <c r="K1642" cm="1">
        <f t="array" ref="K1642" xml:space="preserve"> sentimentCalc(C1642)</f>
        <v>0</v>
      </c>
      <c r="L1642" t="str" cm="1">
        <f t="array" ref="L1642" xml:space="preserve"> sentimentCategory(K1642)</f>
        <v>Neutral</v>
      </c>
    </row>
    <row r="1643" spans="1:12">
      <c r="A1643" t="s">
        <v>2737</v>
      </c>
      <c r="B1643" t="s">
        <v>2736</v>
      </c>
      <c r="C1643" t="str" cm="1">
        <f t="array" ref="C1643" xml:space="preserve"> CleanText(B1643)</f>
        <v>could have done with better cgi</v>
      </c>
      <c r="D1643">
        <v>0</v>
      </c>
      <c r="E1643">
        <v>0</v>
      </c>
      <c r="F1643" t="s">
        <v>0</v>
      </c>
      <c r="G1643" t="str" cm="1">
        <f t="array" ref="G1643" xml:space="preserve"> FindCountryName(F1643)</f>
        <v>None</v>
      </c>
      <c r="H1643" s="1">
        <v>45289.593657407408</v>
      </c>
      <c r="I1643" s="1">
        <v>45289.593657407408</v>
      </c>
      <c r="J1643" s="1">
        <v>44188.589791666665</v>
      </c>
      <c r="K1643" cm="1">
        <f t="array" ref="K1643" xml:space="preserve"> sentimentCalc(C1643)</f>
        <v>2</v>
      </c>
      <c r="L1643" t="str" cm="1">
        <f t="array" ref="L1643" xml:space="preserve"> sentimentCategory(K1643)</f>
        <v>Positive</v>
      </c>
    </row>
    <row r="1644" spans="1:12">
      <c r="A1644" t="s">
        <v>569</v>
      </c>
      <c r="B1644" t="s">
        <v>2735</v>
      </c>
      <c r="C1644" t="str" cm="1">
        <f t="array" ref="C1644" xml:space="preserve"> CleanText(B1644)</f>
        <v>i cant wait for the anime version of the live action adaptation of the original anime</v>
      </c>
      <c r="D1644">
        <v>0</v>
      </c>
      <c r="E1644">
        <v>0</v>
      </c>
      <c r="F1644" t="s">
        <v>0</v>
      </c>
      <c r="G1644" t="str" cm="1">
        <f t="array" ref="G1644" xml:space="preserve"> FindCountryName(F1644)</f>
        <v>None</v>
      </c>
      <c r="H1644" s="1">
        <v>45289.580717592595</v>
      </c>
      <c r="I1644" s="1">
        <v>45289.580717592595</v>
      </c>
      <c r="J1644" s="1">
        <v>41417.801701388889</v>
      </c>
      <c r="K1644" cm="1">
        <f t="array" ref="K1644" xml:space="preserve"> sentimentCalc(C1644)</f>
        <v>0</v>
      </c>
      <c r="L1644" t="str" cm="1">
        <f t="array" ref="L1644" xml:space="preserve"> sentimentCategory(K1644)</f>
        <v>Neutral</v>
      </c>
    </row>
    <row r="1645" spans="1:12">
      <c r="A1645" t="s">
        <v>221</v>
      </c>
      <c r="B1645" t="s">
        <v>2734</v>
      </c>
      <c r="C1645" t="str" cm="1">
        <f t="array" ref="C1645" xml:space="preserve"> CleanText(B1645)</f>
        <v>please be good dear god</v>
      </c>
      <c r="D1645">
        <v>0</v>
      </c>
      <c r="E1645">
        <v>0</v>
      </c>
      <c r="F1645" t="s">
        <v>0</v>
      </c>
      <c r="G1645" t="str" cm="1">
        <f t="array" ref="G1645" xml:space="preserve"> FindCountryName(F1645)</f>
        <v>None</v>
      </c>
      <c r="H1645" s="1">
        <v>45289.348854166667</v>
      </c>
      <c r="I1645" s="1">
        <v>45289.348854166667</v>
      </c>
      <c r="J1645" s="1">
        <v>43317.659444444442</v>
      </c>
      <c r="K1645" cm="1">
        <f t="array" ref="K1645" xml:space="preserve"> sentimentCalc(C1645)</f>
        <v>7</v>
      </c>
      <c r="L1645" t="str" cm="1">
        <f t="array" ref="L1645" xml:space="preserve"> sentimentCategory(K1645)</f>
        <v>Positive</v>
      </c>
    </row>
    <row r="1646" spans="1:12">
      <c r="A1646" t="s">
        <v>2733</v>
      </c>
      <c r="B1646" t="s">
        <v>2732</v>
      </c>
      <c r="C1646" t="str" cm="1">
        <f t="array" ref="C1646" xml:space="preserve"> CleanText(B1646)</f>
        <v>where is diversity witcher had to be cultural mix why no last airbender as black transexual woman i feel realy uderrepresented</v>
      </c>
      <c r="D1646">
        <v>0</v>
      </c>
      <c r="E1646">
        <v>1</v>
      </c>
      <c r="F1646" t="s">
        <v>0</v>
      </c>
      <c r="G1646" t="str" cm="1">
        <f t="array" ref="G1646" xml:space="preserve"> FindCountryName(F1646)</f>
        <v>None</v>
      </c>
      <c r="H1646" s="1">
        <v>45289.310949074075</v>
      </c>
      <c r="I1646" s="1">
        <v>45289.310949074075</v>
      </c>
      <c r="J1646" s="1">
        <v>40589.484826388885</v>
      </c>
      <c r="K1646" cm="1">
        <f t="array" ref="K1646" xml:space="preserve"> sentimentCalc(C1646)</f>
        <v>-1</v>
      </c>
      <c r="L1646" t="str" cm="1">
        <f t="array" ref="L1646" xml:space="preserve"> sentimentCategory(K1646)</f>
        <v>Negative</v>
      </c>
    </row>
    <row r="1647" spans="1:12">
      <c r="A1647" t="s">
        <v>2731</v>
      </c>
      <c r="B1647" t="s">
        <v>2730</v>
      </c>
      <c r="C1647" t="str" cm="1">
        <f t="array" ref="C1647" xml:space="preserve"> CleanText(B1647)</f>
        <v>yessssssssssssssssssss</v>
      </c>
      <c r="D1647">
        <v>0</v>
      </c>
      <c r="E1647">
        <v>0</v>
      </c>
      <c r="F1647" t="s">
        <v>0</v>
      </c>
      <c r="G1647" t="str" cm="1">
        <f t="array" ref="G1647" xml:space="preserve"> FindCountryName(F1647)</f>
        <v>None</v>
      </c>
      <c r="H1647" s="1">
        <v>45289.307534722226</v>
      </c>
      <c r="I1647" s="1">
        <v>45289.307534722226</v>
      </c>
      <c r="J1647" s="1">
        <v>45221.809537037036</v>
      </c>
      <c r="K1647" cm="1">
        <f t="array" ref="K1647" xml:space="preserve"> sentimentCalc(C1647)</f>
        <v>0</v>
      </c>
      <c r="L1647" t="str" cm="1">
        <f t="array" ref="L1647" xml:space="preserve"> sentimentCategory(K1647)</f>
        <v>Neutral</v>
      </c>
    </row>
    <row r="1648" spans="1:12">
      <c r="A1648" t="s">
        <v>2729</v>
      </c>
      <c r="B1648" t="s">
        <v>2728</v>
      </c>
      <c r="C1648" t="str" cm="1">
        <f t="array" ref="C1648" xml:space="preserve"> CleanText(B1648)</f>
        <v>yaa bak yine olmam ite karakterler ok ocuk duruyor bu tipler bymte klmi gibi durmal hele aang abi bu ocuk yakkl olmasa bile bi azibesi olmas lazm bi biey lazm yine yalap alap olmasn ltfen nlanmasnlar saa sola tek istediim   yol hkayes  hissetmek o yolun zorluunu hissetmek gerekirse gece ormanda uyurken srtlarna batan ta sahnesi grmek istiyorum tozu topra kyafetlerindeki ypranmay lekeleri  zaten hikayeyi biliyoruz  mthi efekler yapacaz diye duygular hissedemezsek olmaz bak rings of powera grsel len ama unutuldu gitti konuyu bile hatrlamyoruz game of thrones ilk  sezondaki karakterlerin yol hikayesi gibi hissettirmeli bkcln zorlu bi sre olduunu hissetmek istiyorum elementleri bkerken by yapar gibi deil ayn arlk kaldrr gibi bedenlerindeki yorgunluu grmek istiyorum ate kralnn yzn animede uzun sre gremedik o gizemin yartt korkuyu hissettik tak ilk fragmandan vermiler bari bi ekimle bieyle o bykl hissetseydik heybet grseydikynede ltfen gzel olsun ltfen izlerken bu dediklerime piman olaym o keyif iime dolar umarm</v>
      </c>
      <c r="D1648">
        <v>0</v>
      </c>
      <c r="E1648">
        <v>0</v>
      </c>
      <c r="F1648" t="s">
        <v>1523</v>
      </c>
      <c r="G1648" t="str" cm="1">
        <f t="array" ref="G1648" xml:space="preserve"> FindCountryName(F1648)</f>
        <v>Turkey</v>
      </c>
      <c r="H1648" s="1">
        <v>45289.26253472222</v>
      </c>
      <c r="I1648" s="1">
        <v>45289.26253472222</v>
      </c>
      <c r="J1648" s="1">
        <v>42631.763124999998</v>
      </c>
      <c r="K1648" cm="1">
        <f t="array" ref="K1648" xml:space="preserve"> sentimentCalc(C1648)</f>
        <v>0</v>
      </c>
      <c r="L1648" t="str" cm="1">
        <f t="array" ref="L1648" xml:space="preserve"> sentimentCategory(K1648)</f>
        <v>Neutral</v>
      </c>
    </row>
    <row r="1649" spans="1:12">
      <c r="A1649" t="s">
        <v>876</v>
      </c>
      <c r="B1649" t="s">
        <v>2727</v>
      </c>
      <c r="C1649" t="str" cm="1">
        <f t="array" ref="C1649" xml:space="preserve"> CleanText(B1649)</f>
        <v>yes it will be better than the shyamalan adaptation because he set the bar incredibly low it still doesnt need to exist though and will not be better than the original cartoon which i implore people to watch at some point if theyre even remotely interested in this adaptation additionally a ton of the scenery is not great cgi it looks like its straight out of a video game or pixar film which never mixes well with live action zuko ozai and iroh look mostly fine almost all the skin in this looks way too smooth theyve definitely done something to it in post and it puts the actors straight into the uncanny valley aangs tattoos look like face paint sokka looks fine the kyoshi warriors look great appa and momo look fine ozais throne room looks good probably low light masking the same unfinished looking cgi idk i might watch this or rewatch the original and have an experience that i know isnt going to rip me out of my suspension of disbelief every time theres an establishing shot</v>
      </c>
      <c r="D1649">
        <v>1</v>
      </c>
      <c r="E1649">
        <v>0</v>
      </c>
      <c r="F1649" t="s">
        <v>39</v>
      </c>
      <c r="G1649" t="str" cm="1">
        <f t="array" ref="G1649" xml:space="preserve"> FindCountryName(F1649)</f>
        <v>United Kingdom of Great Britain and Northern Ireland (the)</v>
      </c>
      <c r="H1649" s="1">
        <v>45289.205428240741</v>
      </c>
      <c r="I1649" s="1">
        <v>45289.205428240741</v>
      </c>
      <c r="J1649" s="1">
        <v>41586.682858796295</v>
      </c>
      <c r="K1649" cm="1">
        <f t="array" ref="K1649" xml:space="preserve"> sentimentCalc(C1649)</f>
        <v>28</v>
      </c>
      <c r="L1649" t="str" cm="1">
        <f t="array" ref="L1649" xml:space="preserve"> sentimentCategory(K1649)</f>
        <v>Positive</v>
      </c>
    </row>
    <row r="1650" spans="1:12">
      <c r="A1650" t="s">
        <v>233</v>
      </c>
      <c r="B1650" t="s">
        <v>2726</v>
      </c>
      <c r="C1650" t="str" cm="1">
        <f t="array" ref="C1650" xml:space="preserve"> CleanText(B1650)</f>
        <v>hey guys i havent seen any of these related movies can anyone plz give me the order to watch</v>
      </c>
      <c r="D1650">
        <v>0</v>
      </c>
      <c r="E1650">
        <v>0</v>
      </c>
      <c r="F1650" t="s">
        <v>0</v>
      </c>
      <c r="G1650" t="str" cm="1">
        <f t="array" ref="G1650" xml:space="preserve"> FindCountryName(F1650)</f>
        <v>None</v>
      </c>
      <c r="H1650" s="1">
        <v>45289.190740740742</v>
      </c>
      <c r="I1650" s="1">
        <v>45289.190740740742</v>
      </c>
      <c r="J1650" s="1">
        <v>43946.059988425928</v>
      </c>
      <c r="K1650" cm="1">
        <f t="array" ref="K1650" xml:space="preserve"> sentimentCalc(C1650)</f>
        <v>0</v>
      </c>
      <c r="L1650" t="str" cm="1">
        <f t="array" ref="L1650" xml:space="preserve"> sentimentCategory(K1650)</f>
        <v>Neutral</v>
      </c>
    </row>
    <row r="1651" spans="1:12">
      <c r="A1651" t="s">
        <v>76</v>
      </c>
      <c r="B1651" t="s">
        <v>2725</v>
      </c>
      <c r="C1651" t="str" cm="1">
        <f t="array" ref="C1651" xml:space="preserve"> CleanText(B1651)</f>
        <v>this movie came out years ago.netflix renew this</v>
      </c>
      <c r="D1651">
        <v>0</v>
      </c>
      <c r="E1651">
        <v>0</v>
      </c>
      <c r="F1651" t="s">
        <v>0</v>
      </c>
      <c r="G1651" t="str" cm="1">
        <f t="array" ref="G1651" xml:space="preserve"> FindCountryName(F1651)</f>
        <v>None</v>
      </c>
      <c r="H1651" s="1">
        <v>45289.188344907408</v>
      </c>
      <c r="I1651" s="1">
        <v>45289.188344907408</v>
      </c>
      <c r="J1651" s="1">
        <v>41366.258090277777</v>
      </c>
      <c r="K1651" cm="1">
        <f t="array" ref="K1651" xml:space="preserve"> sentimentCalc(C1651)</f>
        <v>0</v>
      </c>
      <c r="L1651" t="str" cm="1">
        <f t="array" ref="L1651" xml:space="preserve"> sentimentCategory(K1651)</f>
        <v>Neutral</v>
      </c>
    </row>
    <row r="1652" spans="1:12">
      <c r="A1652" t="s">
        <v>1112</v>
      </c>
      <c r="B1652" t="s">
        <v>2724</v>
      </c>
      <c r="C1652" t="str" cm="1">
        <f t="array" ref="C1652" xml:space="preserve"> CleanText(B1652)</f>
        <v>cant wait for netflix to cancel this</v>
      </c>
      <c r="D1652">
        <v>0</v>
      </c>
      <c r="E1652">
        <v>0</v>
      </c>
      <c r="F1652" t="s">
        <v>0</v>
      </c>
      <c r="G1652" t="str" cm="1">
        <f t="array" ref="G1652" xml:space="preserve"> FindCountryName(F1652)</f>
        <v>None</v>
      </c>
      <c r="H1652" s="1">
        <v>45289.158831018518</v>
      </c>
      <c r="I1652" s="1">
        <v>45289.158831018518</v>
      </c>
      <c r="J1652" s="1">
        <v>40965.758055555554</v>
      </c>
      <c r="K1652" cm="1">
        <f t="array" ref="K1652" xml:space="preserve"> sentimentCalc(C1652)</f>
        <v>-1</v>
      </c>
      <c r="L1652" t="str" cm="1">
        <f t="array" ref="L1652" xml:space="preserve"> sentimentCategory(K1652)</f>
        <v>Negative</v>
      </c>
    </row>
    <row r="1653" spans="1:12">
      <c r="A1653" t="s">
        <v>1488</v>
      </c>
      <c r="B1653" t="s">
        <v>2723</v>
      </c>
      <c r="C1653" t="str" cm="1">
        <f t="array" ref="C1653" xml:space="preserve"> CleanText(B1653)</f>
        <v>? рс, ? л г? n</v>
      </c>
      <c r="D1653">
        <v>0</v>
      </c>
      <c r="E1653">
        <v>0</v>
      </c>
      <c r="F1653" t="s">
        <v>0</v>
      </c>
      <c r="G1653" t="str" cm="1">
        <f t="array" ref="G1653" xml:space="preserve"> FindCountryName(F1653)</f>
        <v>None</v>
      </c>
      <c r="H1653" s="1">
        <v>45289.129050925927</v>
      </c>
      <c r="I1653" s="1">
        <v>45289.129050925927</v>
      </c>
      <c r="J1653" s="1">
        <v>41806.492974537039</v>
      </c>
      <c r="K1653" cm="1">
        <f t="array" ref="K1653" xml:space="preserve"> sentimentCalc(C1653)</f>
        <v>0</v>
      </c>
      <c r="L1653" t="str" cm="1">
        <f t="array" ref="L1653" xml:space="preserve"> sentimentCategory(K1653)</f>
        <v>Neutral</v>
      </c>
    </row>
    <row r="1654" spans="1:12">
      <c r="A1654" t="s">
        <v>929</v>
      </c>
      <c r="B1654" t="s">
        <v>2722</v>
      </c>
      <c r="C1654" t="str" cm="1">
        <f t="array" ref="C1654" xml:space="preserve"> CleanText(B1654)</f>
        <v>if i hear them say fuckin uung ima lose my shit</v>
      </c>
      <c r="D1654">
        <v>0</v>
      </c>
      <c r="E1654">
        <v>0</v>
      </c>
      <c r="F1654" t="s">
        <v>0</v>
      </c>
      <c r="G1654" t="str" cm="1">
        <f t="array" ref="G1654" xml:space="preserve"> FindCountryName(F1654)</f>
        <v>None</v>
      </c>
      <c r="H1654" s="1">
        <v>45289.108425925922</v>
      </c>
      <c r="I1654" s="1">
        <v>45289.108425925922</v>
      </c>
      <c r="J1654" s="1">
        <v>44019.437256944446</v>
      </c>
      <c r="K1654" cm="1">
        <f t="array" ref="K1654" xml:space="preserve"> sentimentCalc(C1654)</f>
        <v>0</v>
      </c>
      <c r="L1654" t="str" cm="1">
        <f t="array" ref="L1654" xml:space="preserve"> sentimentCategory(K1654)</f>
        <v>Neutral</v>
      </c>
    </row>
    <row r="1655" spans="1:12">
      <c r="A1655" t="s">
        <v>1554</v>
      </c>
      <c r="B1655" t="s">
        <v>2721</v>
      </c>
      <c r="C1655" t="str" cm="1">
        <f t="array" ref="C1655" xml:space="preserve"> CleanText(B1655)</f>
        <v>i couldnt convince my online friends to watch the last airbender because they all see it as just some kids cartoon i hope that albert kim succeeds and change their minds</v>
      </c>
      <c r="D1655">
        <v>0</v>
      </c>
      <c r="E1655">
        <v>0</v>
      </c>
      <c r="F1655" t="s">
        <v>0</v>
      </c>
      <c r="G1655" t="str" cm="1">
        <f t="array" ref="G1655" xml:space="preserve"> FindCountryName(F1655)</f>
        <v>None</v>
      </c>
      <c r="H1655" s="1">
        <v>45289.102835648147</v>
      </c>
      <c r="I1655" s="1">
        <v>45289.102835648147</v>
      </c>
      <c r="J1655" s="1">
        <v>41152.012164351851</v>
      </c>
      <c r="K1655" cm="1">
        <f t="array" ref="K1655" xml:space="preserve"> sentimentCalc(C1655)</f>
        <v>3</v>
      </c>
      <c r="L1655" t="str" cm="1">
        <f t="array" ref="L1655" xml:space="preserve"> sentimentCategory(K1655)</f>
        <v>Positive</v>
      </c>
    </row>
    <row r="1656" spans="1:12">
      <c r="A1656" t="s">
        <v>591</v>
      </c>
      <c r="B1656" t="s">
        <v>2720</v>
      </c>
      <c r="C1656" t="str" cm="1">
        <f t="array" ref="C1656" xml:space="preserve"> CleanText(B1656)</f>
        <v>do people seriously think this looks good it looks gay asf</v>
      </c>
      <c r="D1656">
        <v>2</v>
      </c>
      <c r="E1656">
        <v>0</v>
      </c>
      <c r="F1656" t="s">
        <v>0</v>
      </c>
      <c r="G1656" t="str" cm="1">
        <f t="array" ref="G1656" xml:space="preserve"> FindCountryName(F1656)</f>
        <v>None</v>
      </c>
      <c r="H1656" s="1">
        <v>45289.065891203703</v>
      </c>
      <c r="I1656" s="1">
        <v>45289.065891203703</v>
      </c>
      <c r="J1656" s="1">
        <v>40863.401770833334</v>
      </c>
      <c r="K1656" cm="1">
        <f t="array" ref="K1656" xml:space="preserve"> sentimentCalc(C1656)</f>
        <v>3</v>
      </c>
      <c r="L1656" t="str" cm="1">
        <f t="array" ref="L1656" xml:space="preserve"> sentimentCategory(K1656)</f>
        <v>Positive</v>
      </c>
    </row>
    <row r="1657" spans="1:12">
      <c r="A1657" t="s">
        <v>603</v>
      </c>
      <c r="B1657" t="s">
        <v>2719</v>
      </c>
      <c r="C1657" t="str" cm="1">
        <f t="array" ref="C1657" xml:space="preserve"> CleanText(B1657)</f>
        <v>netflix about to ruin another franchise sad</v>
      </c>
      <c r="D1657">
        <v>1</v>
      </c>
      <c r="E1657">
        <v>2</v>
      </c>
      <c r="F1657" t="s">
        <v>0</v>
      </c>
      <c r="G1657" t="str" cm="1">
        <f t="array" ref="G1657" xml:space="preserve"> FindCountryName(F1657)</f>
        <v>None</v>
      </c>
      <c r="H1657" s="1">
        <v>45289.023136574076</v>
      </c>
      <c r="I1657" s="1">
        <v>45289.023136574076</v>
      </c>
      <c r="J1657" s="1">
        <v>44574.697893518518</v>
      </c>
      <c r="K1657" cm="1">
        <f t="array" ref="K1657" xml:space="preserve"> sentimentCalc(C1657)</f>
        <v>-4</v>
      </c>
      <c r="L1657" t="str" cm="1">
        <f t="array" ref="L1657" xml:space="preserve"> sentimentCategory(K1657)</f>
        <v>Negative</v>
      </c>
    </row>
    <row r="1658" spans="1:12">
      <c r="A1658" t="s">
        <v>2718</v>
      </c>
      <c r="B1658" t="s">
        <v>2717</v>
      </c>
      <c r="C1658" t="str" cm="1">
        <f t="array" ref="C1658" xml:space="preserve"> CleanText(B1658)</f>
        <v>its wild netflix is putting out stuff that looks so good for start off as just a streaming service this looks better than whats his names and he is a very successful director _xDE02__xDD26__xDFFB_♂</v>
      </c>
      <c r="D1658">
        <v>0</v>
      </c>
      <c r="E1658">
        <v>0</v>
      </c>
      <c r="F1658" t="s">
        <v>0</v>
      </c>
      <c r="G1658" t="str" cm="1">
        <f t="array" ref="G1658" xml:space="preserve"> FindCountryName(F1658)</f>
        <v>None</v>
      </c>
      <c r="H1658" s="1">
        <v>45288.964733796296</v>
      </c>
      <c r="I1658" s="1">
        <v>45288.964733796296</v>
      </c>
      <c r="J1658" s="1">
        <v>42166.723460648151</v>
      </c>
      <c r="K1658" cm="1">
        <f t="array" ref="K1658" xml:space="preserve"> sentimentCalc(C1658)</f>
        <v>8</v>
      </c>
      <c r="L1658" t="str" cm="1">
        <f t="array" ref="L1658" xml:space="preserve"> sentimentCategory(K1658)</f>
        <v>Positive</v>
      </c>
    </row>
    <row r="1659" spans="1:12">
      <c r="A1659" t="s">
        <v>2716</v>
      </c>
      <c r="B1659" t="s">
        <v>2715</v>
      </c>
      <c r="C1659" t="str" cm="1">
        <f t="array" ref="C1659" xml:space="preserve"> CleanText(B1659)</f>
        <v>finaly atleast after a decade</v>
      </c>
      <c r="D1659">
        <v>0</v>
      </c>
      <c r="E1659">
        <v>0</v>
      </c>
      <c r="F1659" t="s">
        <v>0</v>
      </c>
      <c r="G1659" t="str" cm="1">
        <f t="array" ref="G1659" xml:space="preserve"> FindCountryName(F1659)</f>
        <v>None</v>
      </c>
      <c r="H1659" s="1">
        <v>45288.961180555554</v>
      </c>
      <c r="I1659" s="1">
        <v>45288.961180555554</v>
      </c>
      <c r="J1659" s="1">
        <v>45229.531724537039</v>
      </c>
      <c r="K1659" cm="1">
        <f t="array" ref="K1659" xml:space="preserve"> sentimentCalc(C1659)</f>
        <v>0</v>
      </c>
      <c r="L1659" t="str" cm="1">
        <f t="array" ref="L1659" xml:space="preserve"> sentimentCategory(K1659)</f>
        <v>Neutral</v>
      </c>
    </row>
    <row r="1660" spans="1:12">
      <c r="A1660" t="s">
        <v>2714</v>
      </c>
      <c r="B1660" t="s">
        <v>2713</v>
      </c>
      <c r="C1660" t="str" cm="1">
        <f t="array" ref="C1660" xml:space="preserve"> CleanText(B1660)</f>
        <v>dont fail us now _xDC4F__xDFFC_</v>
      </c>
      <c r="D1660">
        <v>0</v>
      </c>
      <c r="E1660">
        <v>0</v>
      </c>
      <c r="F1660" t="s">
        <v>0</v>
      </c>
      <c r="G1660" t="str" cm="1">
        <f t="array" ref="G1660" xml:space="preserve"> FindCountryName(F1660)</f>
        <v>None</v>
      </c>
      <c r="H1660" s="1">
        <v>45288.879791666666</v>
      </c>
      <c r="I1660" s="1">
        <v>45288.879791666666</v>
      </c>
      <c r="J1660" s="1">
        <v>44762.240127314813</v>
      </c>
      <c r="K1660" cm="1">
        <f t="array" ref="K1660" xml:space="preserve"> sentimentCalc(C1660)</f>
        <v>-2</v>
      </c>
      <c r="L1660" t="str" cm="1">
        <f t="array" ref="L1660" xml:space="preserve"> sentimentCategory(K1660)</f>
        <v>Negative</v>
      </c>
    </row>
    <row r="1661" spans="1:12">
      <c r="A1661" t="s">
        <v>2712</v>
      </c>
      <c r="B1661" t="s">
        <v>2711</v>
      </c>
      <c r="C1661" t="str" cm="1">
        <f t="array" ref="C1661" xml:space="preserve"> CleanText(B1661)</f>
        <v>oh my fuckin god dont do that please</v>
      </c>
      <c r="D1661">
        <v>1</v>
      </c>
      <c r="E1661">
        <v>0</v>
      </c>
      <c r="F1661" t="s">
        <v>1718</v>
      </c>
      <c r="G1661" t="str" cm="1">
        <f t="array" ref="G1661" xml:space="preserve"> FindCountryName(F1661)</f>
        <v>Norway</v>
      </c>
      <c r="H1661" s="1">
        <v>45288.836030092592</v>
      </c>
      <c r="I1661" s="1">
        <v>45288.836030092592</v>
      </c>
      <c r="J1661" s="1">
        <v>43924.509293981479</v>
      </c>
      <c r="K1661" cm="1">
        <f t="array" ref="K1661" xml:space="preserve"> sentimentCalc(C1661)</f>
        <v>2</v>
      </c>
      <c r="L1661" t="str" cm="1">
        <f t="array" ref="L1661" xml:space="preserve"> sentimentCategory(K1661)</f>
        <v>Positive</v>
      </c>
    </row>
    <row r="1662" spans="1:12">
      <c r="A1662" t="s">
        <v>349</v>
      </c>
      <c r="B1662" t="s">
        <v>2710</v>
      </c>
      <c r="C1662" t="str" cm="1">
        <f t="array" ref="C1662" xml:space="preserve"> CleanText(B1662)</f>
        <v>wanting to watch this is one of the reasons im still alive its pathetic i know but there you have it gotta find the little things sometimes</v>
      </c>
      <c r="D1662">
        <v>1</v>
      </c>
      <c r="E1662">
        <v>0</v>
      </c>
      <c r="F1662" t="s">
        <v>0</v>
      </c>
      <c r="G1662" t="str" cm="1">
        <f t="array" ref="G1662" xml:space="preserve"> FindCountryName(F1662)</f>
        <v>None</v>
      </c>
      <c r="H1662" s="1">
        <v>45288.829756944448</v>
      </c>
      <c r="I1662" s="1">
        <v>45288.829756944448</v>
      </c>
      <c r="J1662" s="1">
        <v>44396.13076388889</v>
      </c>
      <c r="K1662" cm="1">
        <f t="array" ref="K1662" xml:space="preserve"> sentimentCalc(C1662)</f>
        <v>-1</v>
      </c>
      <c r="L1662" t="str" cm="1">
        <f t="array" ref="L1662" xml:space="preserve"> sentimentCategory(K1662)</f>
        <v>Negative</v>
      </c>
    </row>
    <row r="1663" spans="1:12">
      <c r="A1663" t="s">
        <v>349</v>
      </c>
      <c r="B1663" t="s">
        <v>2709</v>
      </c>
      <c r="C1663" t="str" cm="1">
        <f t="array" ref="C1663" xml:space="preserve"> CleanText(B1663)</f>
        <v>cant wait to see the airbenders fight the firenation cant wait to see monk gyatzos last stand i truly believe they will deliver on the epicness of those scenes</v>
      </c>
      <c r="D1663">
        <v>0</v>
      </c>
      <c r="E1663">
        <v>0</v>
      </c>
      <c r="F1663" t="s">
        <v>0</v>
      </c>
      <c r="G1663" t="str" cm="1">
        <f t="array" ref="G1663" xml:space="preserve"> FindCountryName(F1663)</f>
        <v>None</v>
      </c>
      <c r="H1663" s="1">
        <v>45288.828263888892</v>
      </c>
      <c r="I1663" s="1">
        <v>45288.828263888892</v>
      </c>
      <c r="J1663" s="1">
        <v>44396.13076388889</v>
      </c>
      <c r="K1663" cm="1">
        <f t="array" ref="K1663" xml:space="preserve"> sentimentCalc(C1663)</f>
        <v>-1</v>
      </c>
      <c r="L1663" t="str" cm="1">
        <f t="array" ref="L1663" xml:space="preserve"> sentimentCategory(K1663)</f>
        <v>Negative</v>
      </c>
    </row>
    <row r="1664" spans="1:12">
      <c r="A1664" t="s">
        <v>929</v>
      </c>
      <c r="B1664" t="s">
        <v>2708</v>
      </c>
      <c r="C1664" t="str" cm="1">
        <f t="array" ref="C1664" xml:space="preserve"> CleanText(B1664)</f>
        <v>next on the list for netflix to fix is eragon and if they succeed at that they can take on the final bossdbz</v>
      </c>
      <c r="D1664">
        <v>0</v>
      </c>
      <c r="E1664">
        <v>0</v>
      </c>
      <c r="F1664" t="s">
        <v>0</v>
      </c>
      <c r="G1664" t="str" cm="1">
        <f t="array" ref="G1664" xml:space="preserve"> FindCountryName(F1664)</f>
        <v>None</v>
      </c>
      <c r="H1664" s="1">
        <v>45288.823437500003</v>
      </c>
      <c r="I1664" s="1">
        <v>45288.823437500003</v>
      </c>
      <c r="J1664" s="1">
        <v>43036.421689814815</v>
      </c>
      <c r="K1664" cm="1">
        <f t="array" ref="K1664" xml:space="preserve"> sentimentCalc(C1664)</f>
        <v>0</v>
      </c>
      <c r="L1664" t="str" cm="1">
        <f t="array" ref="L1664" xml:space="preserve"> sentimentCategory(K1664)</f>
        <v>Neutral</v>
      </c>
    </row>
    <row r="1665" spans="1:12">
      <c r="A1665" t="s">
        <v>28</v>
      </c>
      <c r="B1665" t="s">
        <v>2707</v>
      </c>
      <c r="C1665" t="str" cm="1">
        <f t="array" ref="C1665" xml:space="preserve"> CleanText(B1665)</f>
        <v>secret tunnle</v>
      </c>
      <c r="D1665">
        <v>0</v>
      </c>
      <c r="E1665">
        <v>0</v>
      </c>
      <c r="F1665" t="s">
        <v>0</v>
      </c>
      <c r="G1665" t="str" cm="1">
        <f t="array" ref="G1665" xml:space="preserve"> FindCountryName(F1665)</f>
        <v>None</v>
      </c>
      <c r="H1665" s="1">
        <v>45288.822233796294</v>
      </c>
      <c r="I1665" s="1">
        <v>45288.822233796294</v>
      </c>
      <c r="J1665" s="1">
        <v>42236.693159722221</v>
      </c>
      <c r="K1665" cm="1">
        <f t="array" ref="K1665" xml:space="preserve"> sentimentCalc(C1665)</f>
        <v>0</v>
      </c>
      <c r="L1665" t="str" cm="1">
        <f t="array" ref="L1665" xml:space="preserve"> sentimentCategory(K1665)</f>
        <v>Neutral</v>
      </c>
    </row>
    <row r="1666" spans="1:12">
      <c r="A1666" t="s">
        <v>1114</v>
      </c>
      <c r="B1666" t="s">
        <v>2706</v>
      </c>
      <c r="C1666" t="str" cm="1">
        <f t="array" ref="C1666" xml:space="preserve"> CleanText(B1666)</f>
        <v>avatar live action its about to get real _xDE31_</v>
      </c>
      <c r="D1666">
        <v>0</v>
      </c>
      <c r="E1666">
        <v>0</v>
      </c>
      <c r="F1666" t="s">
        <v>0</v>
      </c>
      <c r="G1666" t="str" cm="1">
        <f t="array" ref="G1666" xml:space="preserve"> FindCountryName(F1666)</f>
        <v>None</v>
      </c>
      <c r="H1666" s="1">
        <v>45288.816701388889</v>
      </c>
      <c r="I1666" s="1">
        <v>45288.816701388889</v>
      </c>
      <c r="J1666" s="1">
        <v>41456.706296296295</v>
      </c>
      <c r="K1666" cm="1">
        <f t="array" ref="K1666" xml:space="preserve"> sentimentCalc(C1666)</f>
        <v>0</v>
      </c>
      <c r="L1666" t="str" cm="1">
        <f t="array" ref="L1666" xml:space="preserve"> sentimentCategory(K1666)</f>
        <v>Neutral</v>
      </c>
    </row>
    <row r="1667" spans="1:12">
      <c r="A1667" t="s">
        <v>1089</v>
      </c>
      <c r="B1667" t="s">
        <v>2705</v>
      </c>
      <c r="C1667" t="str" cm="1">
        <f t="array" ref="C1667" xml:space="preserve"> CleanText(B1667)</f>
        <v>azula actor looks nothing like her</v>
      </c>
      <c r="D1667">
        <v>2</v>
      </c>
      <c r="E1667">
        <v>0</v>
      </c>
      <c r="F1667" t="s">
        <v>0</v>
      </c>
      <c r="G1667" t="str" cm="1">
        <f t="array" ref="G1667" xml:space="preserve"> FindCountryName(F1667)</f>
        <v>None</v>
      </c>
      <c r="H1667" s="1">
        <v>45288.740300925929</v>
      </c>
      <c r="I1667" s="1">
        <v>45288.740300925929</v>
      </c>
      <c r="J1667" s="1">
        <v>43047.895127314812</v>
      </c>
      <c r="K1667" cm="1">
        <f t="array" ref="K1667" xml:space="preserve"> sentimentCalc(C1667)</f>
        <v>2</v>
      </c>
      <c r="L1667" t="str" cm="1">
        <f t="array" ref="L1667" xml:space="preserve"> sentimentCategory(K1667)</f>
        <v>Positive</v>
      </c>
    </row>
    <row r="1668" spans="1:12">
      <c r="A1668" t="s">
        <v>1089</v>
      </c>
      <c r="B1668" t="s">
        <v>2704</v>
      </c>
      <c r="C1668" t="str" cm="1">
        <f t="array" ref="C1668" xml:space="preserve"> CleanText(B1668)</f>
        <v>usop is a miss _xDE02_</v>
      </c>
      <c r="D1668">
        <v>0</v>
      </c>
      <c r="E1668">
        <v>0</v>
      </c>
      <c r="F1668" t="s">
        <v>0</v>
      </c>
      <c r="G1668" t="str" cm="1">
        <f t="array" ref="G1668" xml:space="preserve"> FindCountryName(F1668)</f>
        <v>None</v>
      </c>
      <c r="H1668" s="1">
        <v>45288.735648148147</v>
      </c>
      <c r="I1668" s="1">
        <v>45288.735648148147</v>
      </c>
      <c r="J1668" s="1">
        <v>43047.895127314812</v>
      </c>
      <c r="K1668" cm="1">
        <f t="array" ref="K1668" xml:space="preserve"> sentimentCalc(C1668)</f>
        <v>-2</v>
      </c>
      <c r="L1668" t="str" cm="1">
        <f t="array" ref="L1668" xml:space="preserve"> sentimentCategory(K1668)</f>
        <v>Negative</v>
      </c>
    </row>
    <row r="1669" spans="1:12">
      <c r="A1669" t="s">
        <v>337</v>
      </c>
      <c r="B1669" t="s">
        <v>2703</v>
      </c>
      <c r="C1669" t="str" cm="1">
        <f t="array" ref="C1669" xml:space="preserve"> CleanText(B1669)</f>
        <v>е    ы х сть с   еесте    n</v>
      </c>
      <c r="D1669">
        <v>0</v>
      </c>
      <c r="E1669">
        <v>0</v>
      </c>
      <c r="F1669" t="s">
        <v>0</v>
      </c>
      <c r="G1669" t="str" cm="1">
        <f t="array" ref="G1669" xml:space="preserve"> FindCountryName(F1669)</f>
        <v>None</v>
      </c>
      <c r="H1669" s="1">
        <v>45288.734722222223</v>
      </c>
      <c r="I1669" s="1">
        <v>45288.734722222223</v>
      </c>
      <c r="J1669" s="1">
        <v>41647.172129629631</v>
      </c>
      <c r="K1669" cm="1">
        <f t="array" ref="K1669" xml:space="preserve"> sentimentCalc(C1669)</f>
        <v>0</v>
      </c>
      <c r="L1669" t="str" cm="1">
        <f t="array" ref="L1669" xml:space="preserve"> sentimentCategory(K1669)</f>
        <v>Neutral</v>
      </c>
    </row>
    <row r="1670" spans="1:12">
      <c r="A1670" t="s">
        <v>2503</v>
      </c>
      <c r="B1670" t="s">
        <v>2702</v>
      </c>
      <c r="C1670" t="str" cm="1">
        <f t="array" ref="C1670" xml:space="preserve"> CleanText(B1670)</f>
        <v>uh oh loox like everyone forgot their dignity again</v>
      </c>
      <c r="D1670">
        <v>0</v>
      </c>
      <c r="E1670">
        <v>0</v>
      </c>
      <c r="F1670" t="s">
        <v>19</v>
      </c>
      <c r="G1670" t="str" cm="1">
        <f t="array" ref="G1670" xml:space="preserve"> FindCountryName(F1670)</f>
        <v>United States of America (the)</v>
      </c>
      <c r="H1670" s="1">
        <v>45288.704270833332</v>
      </c>
      <c r="I1670" s="1">
        <v>45288.704270833332</v>
      </c>
      <c r="J1670" s="1">
        <v>42352.657696759263</v>
      </c>
      <c r="K1670" cm="1">
        <f t="array" ref="K1670" xml:space="preserve"> sentimentCalc(C1670)</f>
        <v>2</v>
      </c>
      <c r="L1670" t="str" cm="1">
        <f t="array" ref="L1670" xml:space="preserve"> sentimentCategory(K1670)</f>
        <v>Positive</v>
      </c>
    </row>
    <row r="1671" spans="1:12">
      <c r="A1671" t="s">
        <v>30</v>
      </c>
      <c r="B1671" t="s">
        <v>2701</v>
      </c>
      <c r="C1671" t="str" cm="1">
        <f t="array" ref="C1671" xml:space="preserve"> CleanText(B1671)</f>
        <v>my eyes hurt orginal anime still better</v>
      </c>
      <c r="D1671">
        <v>0</v>
      </c>
      <c r="E1671">
        <v>2</v>
      </c>
      <c r="F1671" t="s">
        <v>0</v>
      </c>
      <c r="G1671" t="str" cm="1">
        <f t="array" ref="G1671" xml:space="preserve"> FindCountryName(F1671)</f>
        <v>None</v>
      </c>
      <c r="H1671" s="1">
        <v>45288.689733796295</v>
      </c>
      <c r="I1671" s="1">
        <v>45288.689733796295</v>
      </c>
      <c r="J1671" s="1">
        <v>43450.613020833334</v>
      </c>
      <c r="K1671" cm="1">
        <f t="array" ref="K1671" xml:space="preserve"> sentimentCalc(C1671)</f>
        <v>0</v>
      </c>
      <c r="L1671" t="str" cm="1">
        <f t="array" ref="L1671" xml:space="preserve"> sentimentCategory(K1671)</f>
        <v>Neutral</v>
      </c>
    </row>
    <row r="1672" spans="1:12">
      <c r="A1672" t="s">
        <v>2700</v>
      </c>
      <c r="B1672" t="s">
        <v>2699</v>
      </c>
      <c r="C1672" t="str" cm="1">
        <f t="array" ref="C1672" xml:space="preserve"> CleanText(B1672)</f>
        <v>no im not crying its just dust of 5 years</v>
      </c>
      <c r="D1672">
        <v>0</v>
      </c>
      <c r="E1672">
        <v>1</v>
      </c>
      <c r="F1672" t="s">
        <v>0</v>
      </c>
      <c r="G1672" t="str" cm="1">
        <f t="array" ref="G1672" xml:space="preserve"> FindCountryName(F1672)</f>
        <v>None</v>
      </c>
      <c r="H1672" s="1">
        <v>45288.673703703702</v>
      </c>
      <c r="I1672" s="1">
        <v>45288.673703703702</v>
      </c>
      <c r="J1672" s="1">
        <v>40846.728692129633</v>
      </c>
      <c r="K1672" cm="1">
        <f t="array" ref="K1672" xml:space="preserve"> sentimentCalc(C1672)</f>
        <v>-3</v>
      </c>
      <c r="L1672" t="str" cm="1">
        <f t="array" ref="L1672" xml:space="preserve"> sentimentCategory(K1672)</f>
        <v>Negative</v>
      </c>
    </row>
    <row r="1673" spans="1:12">
      <c r="A1673" t="s">
        <v>2698</v>
      </c>
      <c r="B1673" t="s">
        <v>2697</v>
      </c>
      <c r="C1673" t="str" cm="1">
        <f t="array" ref="C1673" xml:space="preserve"> CleanText(B1673)</f>
        <v>who has watched this a hundred times already _xDD25_</v>
      </c>
      <c r="D1673">
        <v>12</v>
      </c>
      <c r="E1673">
        <v>1</v>
      </c>
      <c r="F1673" t="s">
        <v>0</v>
      </c>
      <c r="G1673" t="str" cm="1">
        <f t="array" ref="G1673" xml:space="preserve"> FindCountryName(F1673)</f>
        <v>None</v>
      </c>
      <c r="H1673" s="1">
        <v>45288.667233796295</v>
      </c>
      <c r="I1673" s="1">
        <v>45288.667233796295</v>
      </c>
      <c r="J1673" s="1">
        <v>44230.383761574078</v>
      </c>
      <c r="K1673" cm="1">
        <f t="array" ref="K1673" xml:space="preserve"> sentimentCalc(C1673)</f>
        <v>0</v>
      </c>
      <c r="L1673" t="str" cm="1">
        <f t="array" ref="L1673" xml:space="preserve"> sentimentCategory(K1673)</f>
        <v>Neutral</v>
      </c>
    </row>
    <row r="1674" spans="1:12">
      <c r="A1674" t="s">
        <v>730</v>
      </c>
      <c r="B1674" t="s">
        <v>2696</v>
      </c>
      <c r="C1674" t="str" cm="1">
        <f t="array" ref="C1674" xml:space="preserve"> CleanText(B1674)</f>
        <v>this is a sincere warning if you misinterpret uncle irohs character you destroy the essence of the entire movie the profound impact of his character could transform him into a hero for countless people better make him right</v>
      </c>
      <c r="D1674">
        <v>0</v>
      </c>
      <c r="E1674">
        <v>0</v>
      </c>
      <c r="F1674" t="s">
        <v>0</v>
      </c>
      <c r="G1674" t="str" cm="1">
        <f t="array" ref="G1674" xml:space="preserve"> FindCountryName(F1674)</f>
        <v>None</v>
      </c>
      <c r="H1674" s="1">
        <v>45288.662465277775</v>
      </c>
      <c r="I1674" s="1">
        <v>45288.662465277775</v>
      </c>
      <c r="J1674" s="1">
        <v>42008.699282407404</v>
      </c>
      <c r="K1674" cm="1">
        <f t="array" ref="K1674" xml:space="preserve"> sentimentCalc(C1674)</f>
        <v>0</v>
      </c>
      <c r="L1674" t="str" cm="1">
        <f t="array" ref="L1674" xml:space="preserve"> sentimentCategory(K1674)</f>
        <v>Neutral</v>
      </c>
    </row>
    <row r="1675" spans="1:12">
      <c r="A1675" t="s">
        <v>212</v>
      </c>
      <c r="B1675" t="s">
        <v>2695</v>
      </c>
      <c r="C1675" t="str" cm="1">
        <f t="array" ref="C1675" xml:space="preserve"> CleanText(B1675)</f>
        <v>finally a live action version of avatar that looks promising</v>
      </c>
      <c r="D1675">
        <v>476</v>
      </c>
      <c r="E1675">
        <v>14</v>
      </c>
      <c r="F1675" t="s">
        <v>0</v>
      </c>
      <c r="G1675" t="str" cm="1">
        <f t="array" ref="G1675" xml:space="preserve"> FindCountryName(F1675)</f>
        <v>None</v>
      </c>
      <c r="H1675" s="1">
        <v>45288.658055555556</v>
      </c>
      <c r="I1675" s="1">
        <v>45288.658055555556</v>
      </c>
      <c r="J1675" s="1">
        <v>40673.016516203701</v>
      </c>
      <c r="K1675" cm="1">
        <f t="array" ref="K1675" xml:space="preserve"> sentimentCalc(C1675)</f>
        <v>0</v>
      </c>
      <c r="L1675" t="str" cm="1">
        <f t="array" ref="L1675" xml:space="preserve"> sentimentCategory(K1675)</f>
        <v>Neutral</v>
      </c>
    </row>
    <row r="1676" spans="1:12">
      <c r="A1676" t="s">
        <v>2694</v>
      </c>
      <c r="B1676" t="s">
        <v>2693</v>
      </c>
      <c r="C1676" t="str" cm="1">
        <f t="array" ref="C1676" xml:space="preserve"> CleanText(B1676)</f>
        <v>,  х г   г  э   й  мя  м    йм n</v>
      </c>
      <c r="D1676">
        <v>0</v>
      </c>
      <c r="E1676">
        <v>0</v>
      </c>
      <c r="F1676" t="s">
        <v>0</v>
      </c>
      <c r="G1676" t="str" cm="1">
        <f t="array" ref="G1676" xml:space="preserve"> FindCountryName(F1676)</f>
        <v>None</v>
      </c>
      <c r="H1676" s="1">
        <v>45288.653900462959</v>
      </c>
      <c r="I1676" s="1">
        <v>45288.653900462959</v>
      </c>
      <c r="J1676" s="1">
        <v>41132.429780092592</v>
      </c>
      <c r="K1676" cm="1">
        <f t="array" ref="K1676" xml:space="preserve"> sentimentCalc(C1676)</f>
        <v>0</v>
      </c>
      <c r="L1676" t="str" cm="1">
        <f t="array" ref="L1676" xml:space="preserve"> sentimentCategory(K1676)</f>
        <v>Neutral</v>
      </c>
    </row>
    <row r="1677" spans="1:12">
      <c r="A1677" t="s">
        <v>789</v>
      </c>
      <c r="B1677" t="s">
        <v>2692</v>
      </c>
      <c r="C1677" t="str" cm="1">
        <f t="array" ref="C1677" xml:space="preserve"> CleanText(B1677)</f>
        <v>prefer animated</v>
      </c>
      <c r="D1677">
        <v>0</v>
      </c>
      <c r="E1677">
        <v>0</v>
      </c>
      <c r="F1677" t="s">
        <v>0</v>
      </c>
      <c r="G1677" t="str" cm="1">
        <f t="array" ref="G1677" xml:space="preserve"> FindCountryName(F1677)</f>
        <v>None</v>
      </c>
      <c r="H1677" s="1">
        <v>45288.621087962965</v>
      </c>
      <c r="I1677" s="1">
        <v>45288.621087962965</v>
      </c>
      <c r="J1677" s="1">
        <v>43154.740439814814</v>
      </c>
      <c r="K1677" cm="1">
        <f t="array" ref="K1677" xml:space="preserve"> sentimentCalc(C1677)</f>
        <v>0</v>
      </c>
      <c r="L1677" t="str" cm="1">
        <f t="array" ref="L1677" xml:space="preserve"> sentimentCategory(K1677)</f>
        <v>Neutral</v>
      </c>
    </row>
    <row r="1678" spans="1:12">
      <c r="A1678" t="s">
        <v>2691</v>
      </c>
      <c r="B1678" t="s">
        <v>2690</v>
      </c>
      <c r="C1678" t="str" cm="1">
        <f t="array" ref="C1678" xml:space="preserve"> CleanText(B1678)</f>
        <v>these movie makers keep repeating the same damn thing can the story just continue!</v>
      </c>
      <c r="D1678">
        <v>0</v>
      </c>
      <c r="E1678">
        <v>0</v>
      </c>
      <c r="F1678" t="s">
        <v>1599</v>
      </c>
      <c r="G1678" t="str" cm="1">
        <f t="array" ref="G1678" xml:space="preserve"> FindCountryName(F1678)</f>
        <v>Uganda</v>
      </c>
      <c r="H1678" s="1">
        <v>45288.592534722222</v>
      </c>
      <c r="I1678" s="1">
        <v>45288.592534722222</v>
      </c>
      <c r="J1678" s="1">
        <v>43213.645300925928</v>
      </c>
      <c r="K1678" cm="1">
        <f t="array" ref="K1678" xml:space="preserve"> sentimentCalc(C1678)</f>
        <v>-4</v>
      </c>
      <c r="L1678" t="str" cm="1">
        <f t="array" ref="L1678" xml:space="preserve"> sentimentCategory(K1678)</f>
        <v>Negative</v>
      </c>
    </row>
    <row r="1679" spans="1:12">
      <c r="A1679" t="s">
        <v>2689</v>
      </c>
      <c r="B1679" t="s">
        <v>2688</v>
      </c>
      <c r="C1679" t="str" cm="1">
        <f t="array" ref="C1679" xml:space="preserve"> CleanText(B1679)</f>
        <v>i swear to glob if they call him ong in this one</v>
      </c>
      <c r="D1679">
        <v>1</v>
      </c>
      <c r="E1679">
        <v>0</v>
      </c>
      <c r="F1679" t="s">
        <v>0</v>
      </c>
      <c r="G1679" t="str" cm="1">
        <f t="array" ref="G1679" xml:space="preserve"> FindCountryName(F1679)</f>
        <v>None</v>
      </c>
      <c r="H1679" s="1">
        <v>45288.557546296295</v>
      </c>
      <c r="I1679" s="1">
        <v>45288.557546296295</v>
      </c>
      <c r="J1679" s="1">
        <v>41110.049699074072</v>
      </c>
      <c r="K1679" cm="1">
        <f t="array" ref="K1679" xml:space="preserve"> sentimentCalc(C1679)</f>
        <v>-2</v>
      </c>
      <c r="L1679" t="str" cm="1">
        <f t="array" ref="L1679" xml:space="preserve"> sentimentCategory(K1679)</f>
        <v>Negative</v>
      </c>
    </row>
    <row r="1680" spans="1:12">
      <c r="A1680" t="s">
        <v>653</v>
      </c>
      <c r="B1680" t="s">
        <v>2687</v>
      </c>
      <c r="C1680" t="str" cm="1">
        <f t="array" ref="C1680" xml:space="preserve"> CleanText(B1680)</f>
        <v>only thing is azula didnt feel scaryintimidatingtoo cunning for her own good here she looks almost too nice but everything else looks verrrrryyyy promising cant wait</v>
      </c>
      <c r="D1680">
        <v>1</v>
      </c>
      <c r="E1680">
        <v>0</v>
      </c>
      <c r="F1680" t="s">
        <v>0</v>
      </c>
      <c r="G1680" t="str" cm="1">
        <f t="array" ref="G1680" xml:space="preserve"> FindCountryName(F1680)</f>
        <v>None</v>
      </c>
      <c r="H1680" s="1">
        <v>45288.530821759261</v>
      </c>
      <c r="I1680" s="1">
        <v>45288.531284722223</v>
      </c>
      <c r="J1680" s="1">
        <v>40261.310381944444</v>
      </c>
      <c r="K1680" cm="1">
        <f t="array" ref="K1680" xml:space="preserve"> sentimentCalc(C1680)</f>
        <v>6</v>
      </c>
      <c r="L1680" t="str" cm="1">
        <f t="array" ref="L1680" xml:space="preserve"> sentimentCategory(K1680)</f>
        <v>Positive</v>
      </c>
    </row>
    <row r="1681" spans="1:12">
      <c r="A1681" t="s">
        <v>988</v>
      </c>
      <c r="B1681" t="s">
        <v>2686</v>
      </c>
      <c r="C1681" t="str" cm="1">
        <f t="array" ref="C1681" xml:space="preserve"> CleanText(B1681)</f>
        <v>so freagin excited when i heard the soundtrack i immediately felt nostalgic atla never gets old</v>
      </c>
      <c r="D1681">
        <v>0</v>
      </c>
      <c r="E1681">
        <v>0</v>
      </c>
      <c r="F1681" t="s">
        <v>0</v>
      </c>
      <c r="G1681" t="str" cm="1">
        <f t="array" ref="G1681" xml:space="preserve"> FindCountryName(F1681)</f>
        <v>None</v>
      </c>
      <c r="H1681" s="1">
        <v>45288.504594907405</v>
      </c>
      <c r="I1681" s="1">
        <v>45288.504594907405</v>
      </c>
      <c r="J1681" s="1">
        <v>42562.274317129632</v>
      </c>
      <c r="K1681" cm="1">
        <f t="array" ref="K1681" xml:space="preserve"> sentimentCalc(C1681)</f>
        <v>3</v>
      </c>
      <c r="L1681" t="str" cm="1">
        <f t="array" ref="L1681" xml:space="preserve"> sentimentCategory(K1681)</f>
        <v>Positive</v>
      </c>
    </row>
    <row r="1682" spans="1:12">
      <c r="A1682" t="s">
        <v>2685</v>
      </c>
      <c r="B1682" t="s">
        <v>2684</v>
      </c>
      <c r="C1682" t="str" cm="1">
        <f t="array" ref="C1682" xml:space="preserve"> CleanText(B1682)</f>
        <v>another autism version of aang</v>
      </c>
      <c r="D1682">
        <v>0</v>
      </c>
      <c r="E1682">
        <v>0</v>
      </c>
      <c r="F1682" t="s">
        <v>0</v>
      </c>
      <c r="G1682" t="str" cm="1">
        <f t="array" ref="G1682" xml:space="preserve"> FindCountryName(F1682)</f>
        <v>None</v>
      </c>
      <c r="H1682" s="1">
        <v>45288.499074074076</v>
      </c>
      <c r="I1682" s="1">
        <v>45288.499074074076</v>
      </c>
      <c r="J1682" s="1">
        <v>40733.912893518522</v>
      </c>
      <c r="K1682" cm="1">
        <f t="array" ref="K1682" xml:space="preserve"> sentimentCalc(C1682)</f>
        <v>0</v>
      </c>
      <c r="L1682" t="str" cm="1">
        <f t="array" ref="L1682" xml:space="preserve"> sentimentCategory(K1682)</f>
        <v>Neutral</v>
      </c>
    </row>
    <row r="1683" spans="1:12">
      <c r="A1683" t="s">
        <v>180</v>
      </c>
      <c r="B1683" t="s">
        <v>2683</v>
      </c>
      <c r="C1683" t="str" cm="1">
        <f t="array" ref="C1683" xml:space="preserve"> CleanText(B1683)</f>
        <v>_xDDEE_ avatar never die im fan of aang the legendary airbender</v>
      </c>
      <c r="D1683">
        <v>1</v>
      </c>
      <c r="E1683">
        <v>0</v>
      </c>
      <c r="F1683" t="s">
        <v>98</v>
      </c>
      <c r="G1683" t="str" cm="1">
        <f t="array" ref="G1683" xml:space="preserve"> FindCountryName(F1683)</f>
        <v>India</v>
      </c>
      <c r="H1683" s="1">
        <v>45288.394224537034</v>
      </c>
      <c r="I1683" s="1">
        <v>45288.396006944444</v>
      </c>
      <c r="J1683" s="1">
        <v>43727.616180555553</v>
      </c>
      <c r="K1683" cm="1">
        <f t="array" ref="K1683" xml:space="preserve"> sentimentCalc(C1683)</f>
        <v>0</v>
      </c>
      <c r="L1683" t="str" cm="1">
        <f t="array" ref="L1683" xml:space="preserve"> sentimentCategory(K1683)</f>
        <v>Neutral</v>
      </c>
    </row>
    <row r="1684" spans="1:12">
      <c r="A1684" t="s">
        <v>929</v>
      </c>
      <c r="B1684" t="s">
        <v>2682</v>
      </c>
      <c r="C1684" t="str" cm="1">
        <f t="array" ref="C1684" xml:space="preserve"> CleanText(B1684)</f>
        <v>i just want to see mai character</v>
      </c>
      <c r="D1684">
        <v>0</v>
      </c>
      <c r="E1684">
        <v>0</v>
      </c>
      <c r="F1684" t="s">
        <v>0</v>
      </c>
      <c r="G1684" t="str" cm="1">
        <f t="array" ref="G1684" xml:space="preserve"> FindCountryName(F1684)</f>
        <v>None</v>
      </c>
      <c r="H1684" s="1">
        <v>45288.360625000001</v>
      </c>
      <c r="I1684" s="1">
        <v>45288.360625000001</v>
      </c>
      <c r="J1684" s="1">
        <v>42312.323784722219</v>
      </c>
      <c r="K1684" cm="1">
        <f t="array" ref="K1684" xml:space="preserve"> sentimentCalc(C1684)</f>
        <v>1</v>
      </c>
      <c r="L1684" t="str" cm="1">
        <f t="array" ref="L1684" xml:space="preserve"> sentimentCategory(K1684)</f>
        <v>Positive</v>
      </c>
    </row>
    <row r="1685" spans="1:12">
      <c r="A1685" t="s">
        <v>2681</v>
      </c>
      <c r="B1685" t="s">
        <v>2680</v>
      </c>
      <c r="C1685" t="str" cm="1">
        <f t="array" ref="C1685" xml:space="preserve"> CleanText(B1685)</f>
        <v>чн св  ут _xDC4D_ n</v>
      </c>
      <c r="D1685">
        <v>1</v>
      </c>
      <c r="E1685">
        <v>0</v>
      </c>
      <c r="F1685" t="s">
        <v>0</v>
      </c>
      <c r="G1685" t="str" cm="1">
        <f t="array" ref="G1685" xml:space="preserve"> FindCountryName(F1685)</f>
        <v>None</v>
      </c>
      <c r="H1685" s="1">
        <v>45288.354861111111</v>
      </c>
      <c r="I1685" s="1">
        <v>45288.354861111111</v>
      </c>
      <c r="J1685" s="1">
        <v>41394.346273148149</v>
      </c>
      <c r="K1685" cm="1">
        <f t="array" ref="K1685" xml:space="preserve"> sentimentCalc(C1685)</f>
        <v>0</v>
      </c>
      <c r="L1685" t="str" cm="1">
        <f t="array" ref="L1685" xml:space="preserve"> sentimentCategory(K1685)</f>
        <v>Neutral</v>
      </c>
    </row>
    <row r="1686" spans="1:12">
      <c r="A1686" t="s">
        <v>2679</v>
      </c>
      <c r="B1686" t="s">
        <v>2678</v>
      </c>
      <c r="C1686" t="str" cm="1">
        <f t="array" ref="C1686" xml:space="preserve"> CleanText(B1686)</f>
        <v>meh at best did we really needed a live action of everything</v>
      </c>
      <c r="D1686">
        <v>0</v>
      </c>
      <c r="E1686">
        <v>2</v>
      </c>
      <c r="F1686" t="s">
        <v>39</v>
      </c>
      <c r="G1686" t="str" cm="1">
        <f t="array" ref="G1686" xml:space="preserve"> FindCountryName(F1686)</f>
        <v>United Kingdom of Great Britain and Northern Ireland (the)</v>
      </c>
      <c r="H1686" s="1">
        <v>45288.339305555557</v>
      </c>
      <c r="I1686" s="1">
        <v>45288.339305555557</v>
      </c>
      <c r="J1686" s="1">
        <v>39338.53466435185</v>
      </c>
      <c r="K1686" cm="1">
        <f t="array" ref="K1686" xml:space="preserve"> sentimentCalc(C1686)</f>
        <v>3</v>
      </c>
      <c r="L1686" t="str" cm="1">
        <f t="array" ref="L1686" xml:space="preserve"> sentimentCategory(K1686)</f>
        <v>Positive</v>
      </c>
    </row>
    <row r="1687" spans="1:12">
      <c r="A1687" t="s">
        <v>1648</v>
      </c>
      <c r="B1687" t="s">
        <v>2677</v>
      </c>
      <c r="C1687" t="str" cm="1">
        <f t="array" ref="C1687" xml:space="preserve"> CleanText(B1687)</f>
        <v>he suppose to be black trans woman it is netflix</v>
      </c>
      <c r="D1687">
        <v>0</v>
      </c>
      <c r="E1687">
        <v>0</v>
      </c>
      <c r="F1687" t="s">
        <v>0</v>
      </c>
      <c r="G1687" t="str" cm="1">
        <f t="array" ref="G1687" xml:space="preserve"> FindCountryName(F1687)</f>
        <v>None</v>
      </c>
      <c r="H1687" s="1">
        <v>45288.318310185183</v>
      </c>
      <c r="I1687" s="1">
        <v>45288.318310185183</v>
      </c>
      <c r="J1687" s="1">
        <v>39674.40520833333</v>
      </c>
      <c r="K1687" cm="1">
        <f t="array" ref="K1687" xml:space="preserve"> sentimentCalc(C1687)</f>
        <v>0</v>
      </c>
      <c r="L1687" t="str" cm="1">
        <f t="array" ref="L1687" xml:space="preserve"> sentimentCategory(K1687)</f>
        <v>Neutral</v>
      </c>
    </row>
    <row r="1688" spans="1:12">
      <c r="A1688" t="s">
        <v>1200</v>
      </c>
      <c r="B1688" t="s">
        <v>2676</v>
      </c>
      <c r="C1688" t="str" cm="1">
        <f t="array" ref="C1688" xml:space="preserve"> CleanText(B1688)</f>
        <v>chills literally</v>
      </c>
      <c r="D1688">
        <v>0</v>
      </c>
      <c r="E1688">
        <v>0</v>
      </c>
      <c r="F1688" t="s">
        <v>0</v>
      </c>
      <c r="G1688" t="str" cm="1">
        <f t="array" ref="G1688" xml:space="preserve"> FindCountryName(F1688)</f>
        <v>None</v>
      </c>
      <c r="H1688" s="1">
        <v>45288.238518518519</v>
      </c>
      <c r="I1688" s="1">
        <v>45288.238518518519</v>
      </c>
      <c r="J1688" s="1">
        <v>41823.113136574073</v>
      </c>
      <c r="K1688" cm="1">
        <f t="array" ref="K1688" xml:space="preserve"> sentimentCalc(C1688)</f>
        <v>0</v>
      </c>
      <c r="L1688" t="str" cm="1">
        <f t="array" ref="L1688" xml:space="preserve"> sentimentCategory(K1688)</f>
        <v>Neutral</v>
      </c>
    </row>
    <row r="1689" spans="1:12">
      <c r="A1689" t="s">
        <v>2675</v>
      </c>
      <c r="B1689" t="s">
        <v>2674</v>
      </c>
      <c r="C1689" t="str" cm="1">
        <f t="array" ref="C1689" xml:space="preserve"> CleanText(B1689)</f>
        <v>this might be the very first atla movie which is on point</v>
      </c>
      <c r="D1689">
        <v>0</v>
      </c>
      <c r="E1689">
        <v>2</v>
      </c>
      <c r="F1689" t="s">
        <v>0</v>
      </c>
      <c r="G1689" t="str" cm="1">
        <f t="array" ref="G1689" xml:space="preserve"> FindCountryName(F1689)</f>
        <v>None</v>
      </c>
      <c r="H1689" s="1">
        <v>45288.222662037035</v>
      </c>
      <c r="I1689" s="1">
        <v>45288.222662037035</v>
      </c>
      <c r="J1689" s="1">
        <v>44637.679849537039</v>
      </c>
      <c r="K1689" cm="1">
        <f t="array" ref="K1689" xml:space="preserve"> sentimentCalc(C1689)</f>
        <v>0</v>
      </c>
      <c r="L1689" t="str" cm="1">
        <f t="array" ref="L1689" xml:space="preserve"> sentimentCategory(K1689)</f>
        <v>Neutral</v>
      </c>
    </row>
    <row r="1690" spans="1:12">
      <c r="A1690" t="s">
        <v>1108</v>
      </c>
      <c r="B1690" t="s">
        <v>2673</v>
      </c>
      <c r="C1690" t="str" cm="1">
        <f t="array" ref="C1690" xml:space="preserve"> CleanText(B1690)</f>
        <v>interesting but i dont know if they can recapture the magic</v>
      </c>
      <c r="D1690">
        <v>1</v>
      </c>
      <c r="E1690">
        <v>0</v>
      </c>
      <c r="F1690" t="s">
        <v>19</v>
      </c>
      <c r="G1690" t="str" cm="1">
        <f t="array" ref="G1690" xml:space="preserve"> FindCountryName(F1690)</f>
        <v>United States of America (the)</v>
      </c>
      <c r="H1690" s="1">
        <v>45288.195428240739</v>
      </c>
      <c r="I1690" s="1">
        <v>45288.195428240739</v>
      </c>
      <c r="J1690" s="1">
        <v>43153.090844907405</v>
      </c>
      <c r="K1690" cm="1">
        <f t="array" ref="K1690" xml:space="preserve"> sentimentCalc(C1690)</f>
        <v>2</v>
      </c>
      <c r="L1690" t="str" cm="1">
        <f t="array" ref="L1690" xml:space="preserve"> sentimentCategory(K1690)</f>
        <v>Positive</v>
      </c>
    </row>
    <row r="1691" spans="1:12">
      <c r="A1691" t="s">
        <v>1195</v>
      </c>
      <c r="B1691" t="s">
        <v>2672</v>
      </c>
      <c r="C1691" t="str" cm="1">
        <f t="array" ref="C1691" xml:space="preserve"> CleanText(B1691)</f>
        <v>i i think imma do it guys i think i think im gonna watch</v>
      </c>
      <c r="D1691">
        <v>0</v>
      </c>
      <c r="E1691">
        <v>0</v>
      </c>
      <c r="F1691" t="s">
        <v>0</v>
      </c>
      <c r="G1691" t="str" cm="1">
        <f t="array" ref="G1691" xml:space="preserve"> FindCountryName(F1691)</f>
        <v>None</v>
      </c>
      <c r="H1691" s="1">
        <v>45288.096898148149</v>
      </c>
      <c r="I1691" s="1">
        <v>45288.096898148149</v>
      </c>
      <c r="J1691" s="1">
        <v>44609.58861111111</v>
      </c>
      <c r="K1691" cm="1">
        <f t="array" ref="K1691" xml:space="preserve"> sentimentCalc(C1691)</f>
        <v>0</v>
      </c>
      <c r="L1691" t="str" cm="1">
        <f t="array" ref="L1691" xml:space="preserve"> sentimentCategory(K1691)</f>
        <v>Neutral</v>
      </c>
    </row>
    <row r="1692" spans="1:12">
      <c r="A1692" t="s">
        <v>1067</v>
      </c>
      <c r="B1692" t="s">
        <v>2671</v>
      </c>
      <c r="C1692" t="str" cm="1">
        <f t="array" ref="C1692" xml:space="preserve"> CleanText(B1692)</f>
        <v>remember everyone if this show turns to be not that good at least it will be better than fuckup lord shyamalans abomination we will not speak of</v>
      </c>
      <c r="D1692">
        <v>1</v>
      </c>
      <c r="E1692">
        <v>0</v>
      </c>
      <c r="F1692" t="s">
        <v>0</v>
      </c>
      <c r="G1692" t="str" cm="1">
        <f t="array" ref="G1692" xml:space="preserve"> FindCountryName(F1692)</f>
        <v>None</v>
      </c>
      <c r="H1692" s="1">
        <v>45287.98710648148</v>
      </c>
      <c r="I1692" s="1">
        <v>45287.98710648148</v>
      </c>
      <c r="J1692" s="1">
        <v>41463.685787037037</v>
      </c>
      <c r="K1692" cm="1">
        <f t="array" ref="K1692" xml:space="preserve"> sentimentCalc(C1692)</f>
        <v>5</v>
      </c>
      <c r="L1692" t="str" cm="1">
        <f t="array" ref="L1692" xml:space="preserve"> sentimentCategory(K1692)</f>
        <v>Positive</v>
      </c>
    </row>
    <row r="1693" spans="1:12">
      <c r="A1693" t="s">
        <v>175</v>
      </c>
      <c r="B1693" t="s">
        <v>2670</v>
      </c>
      <c r="C1693" t="str" cm="1">
        <f t="array" ref="C1693" xml:space="preserve"> CleanText(B1693)</f>
        <v>cant believe its actually happening cant wait_xDEE0_</v>
      </c>
      <c r="D1693">
        <v>1</v>
      </c>
      <c r="E1693">
        <v>0</v>
      </c>
      <c r="F1693" t="s">
        <v>0</v>
      </c>
      <c r="G1693" t="str" cm="1">
        <f t="array" ref="G1693" xml:space="preserve"> FindCountryName(F1693)</f>
        <v>None</v>
      </c>
      <c r="H1693" s="1">
        <v>45287.983518518522</v>
      </c>
      <c r="I1693" s="1">
        <v>45287.983518518522</v>
      </c>
      <c r="J1693" s="1">
        <v>41418.874039351853</v>
      </c>
      <c r="K1693" cm="1">
        <f t="array" ref="K1693" xml:space="preserve"> sentimentCalc(C1693)</f>
        <v>0</v>
      </c>
      <c r="L1693" t="str" cm="1">
        <f t="array" ref="L1693" xml:space="preserve"> sentimentCategory(K1693)</f>
        <v>Neutral</v>
      </c>
    </row>
    <row r="1694" spans="1:12">
      <c r="A1694" t="s">
        <v>18</v>
      </c>
      <c r="B1694" t="s">
        <v>2669</v>
      </c>
      <c r="C1694" t="str" cm="1">
        <f t="array" ref="C1694" xml:space="preserve"> CleanText(B1694)</f>
        <v>leave it alone</v>
      </c>
      <c r="D1694">
        <v>0</v>
      </c>
      <c r="E1694">
        <v>0</v>
      </c>
      <c r="F1694" t="s">
        <v>0</v>
      </c>
      <c r="G1694" t="str" cm="1">
        <f t="array" ref="G1694" xml:space="preserve"> FindCountryName(F1694)</f>
        <v>None</v>
      </c>
      <c r="H1694" s="1">
        <v>45287.953506944446</v>
      </c>
      <c r="I1694" s="1">
        <v>45287.953506944446</v>
      </c>
      <c r="J1694" s="1">
        <v>42630.23369212963</v>
      </c>
      <c r="K1694" cm="1">
        <f t="array" ref="K1694" xml:space="preserve"> sentimentCalc(C1694)</f>
        <v>-3</v>
      </c>
      <c r="L1694" t="str" cm="1">
        <f t="array" ref="L1694" xml:space="preserve"> sentimentCategory(K1694)</f>
        <v>Negative</v>
      </c>
    </row>
    <row r="1695" spans="1:12">
      <c r="A1695" t="s">
        <v>450</v>
      </c>
      <c r="B1695" t="s">
        <v>2668</v>
      </c>
      <c r="C1695" t="str" cm="1">
        <f t="array" ref="C1695" xml:space="preserve"> CleanText(B1695)</f>
        <v>the original avatar had lessons and insights reflecting traditional and tested wisdom abundant humor and a considerable amount of good old common sense furthermore the character development and nuanced introspective manifestations of those characters were genius if this manages to replicate that it might just be a modern miracle however like many movies and other releases that i dont watch they likely relied on visual effects to the point of being a crutch neglecting the deep quality that made the original avatar a legendary series</v>
      </c>
      <c r="D1695">
        <v>55</v>
      </c>
      <c r="E1695">
        <v>8</v>
      </c>
      <c r="F1695" t="s">
        <v>0</v>
      </c>
      <c r="G1695" t="str" cm="1">
        <f t="array" ref="G1695" xml:space="preserve"> FindCountryName(F1695)</f>
        <v>None</v>
      </c>
      <c r="H1695" s="1">
        <v>45287.881469907406</v>
      </c>
      <c r="I1695" s="1">
        <v>45287.881469907406</v>
      </c>
      <c r="J1695" s="1">
        <v>41445.516840277778</v>
      </c>
      <c r="K1695" cm="1">
        <f t="array" ref="K1695" xml:space="preserve"> sentimentCalc(C1695)</f>
        <v>9</v>
      </c>
      <c r="L1695" t="str" cm="1">
        <f t="array" ref="L1695" xml:space="preserve"> sentimentCategory(K1695)</f>
        <v>Positive</v>
      </c>
    </row>
    <row r="1696" spans="1:12">
      <c r="A1696" t="s">
        <v>2667</v>
      </c>
      <c r="B1696" t="s">
        <v>2666</v>
      </c>
      <c r="C1696" t="str" cm="1">
        <f t="array" ref="C1696" xml:space="preserve"> CleanText(B1696)</f>
        <v>absolute awful casting of katarairoh and azula tho</v>
      </c>
      <c r="D1696">
        <v>0</v>
      </c>
      <c r="E1696">
        <v>0</v>
      </c>
      <c r="F1696" t="s">
        <v>0</v>
      </c>
      <c r="G1696" t="str" cm="1">
        <f t="array" ref="G1696" xml:space="preserve"> FindCountryName(F1696)</f>
        <v>None</v>
      </c>
      <c r="H1696" s="1">
        <v>45287.853263888886</v>
      </c>
      <c r="I1696" s="1">
        <v>45287.853263888886</v>
      </c>
      <c r="J1696" s="1">
        <v>40838.62358796296</v>
      </c>
      <c r="K1696" cm="1">
        <f t="array" ref="K1696" xml:space="preserve"> sentimentCalc(C1696)</f>
        <v>-3</v>
      </c>
      <c r="L1696" t="str" cm="1">
        <f t="array" ref="L1696" xml:space="preserve"> sentimentCategory(K1696)</f>
        <v>Negative</v>
      </c>
    </row>
    <row r="1697" spans="1:12">
      <c r="A1697" t="s">
        <v>1067</v>
      </c>
      <c r="B1697" t="s">
        <v>2665</v>
      </c>
      <c r="C1697" t="str" cm="1">
        <f t="array" ref="C1697" xml:space="preserve"> CleanText(B1697)</f>
        <v>this looks a million times better than the other movie they made</v>
      </c>
      <c r="D1697">
        <v>2</v>
      </c>
      <c r="E1697">
        <v>0</v>
      </c>
      <c r="F1697" t="s">
        <v>0</v>
      </c>
      <c r="G1697" t="str" cm="1">
        <f t="array" ref="G1697" xml:space="preserve"> FindCountryName(F1697)</f>
        <v>None</v>
      </c>
      <c r="H1697" s="1">
        <v>45287.846909722219</v>
      </c>
      <c r="I1697" s="1">
        <v>45287.846909722219</v>
      </c>
      <c r="J1697" s="1">
        <v>41160.982164351852</v>
      </c>
      <c r="K1697" cm="1">
        <f t="array" ref="K1697" xml:space="preserve"> sentimentCalc(C1697)</f>
        <v>2</v>
      </c>
      <c r="L1697" t="str" cm="1">
        <f t="array" ref="L1697" xml:space="preserve"> sentimentCategory(K1697)</f>
        <v>Positive</v>
      </c>
    </row>
    <row r="1698" spans="1:12">
      <c r="A1698" t="s">
        <v>1154</v>
      </c>
      <c r="B1698" t="s">
        <v>2664</v>
      </c>
      <c r="C1698" t="str" cm="1">
        <f t="array" ref="C1698" xml:space="preserve"> CleanText(B1698)</f>
        <v>yasssss lets put some respect on the gang team avatarrrrrr is back babiiii</v>
      </c>
      <c r="D1698">
        <v>1</v>
      </c>
      <c r="E1698">
        <v>0</v>
      </c>
      <c r="F1698" t="s">
        <v>0</v>
      </c>
      <c r="G1698" t="str" cm="1">
        <f t="array" ref="G1698" xml:space="preserve"> FindCountryName(F1698)</f>
        <v>None</v>
      </c>
      <c r="H1698" s="1">
        <v>45287.76258101852</v>
      </c>
      <c r="I1698" s="1">
        <v>45287.76258101852</v>
      </c>
      <c r="J1698" s="1">
        <v>44100.589155092595</v>
      </c>
      <c r="K1698" cm="1">
        <f t="array" ref="K1698" xml:space="preserve"> sentimentCalc(C1698)</f>
        <v>0</v>
      </c>
      <c r="L1698" t="str" cm="1">
        <f t="array" ref="L1698" xml:space="preserve"> sentimentCategory(K1698)</f>
        <v>Neutral</v>
      </c>
    </row>
    <row r="1699" spans="1:12">
      <c r="A1699" t="s">
        <v>2481</v>
      </c>
      <c r="B1699" t="s">
        <v>2663</v>
      </c>
      <c r="C1699" t="str" cm="1">
        <f t="array" ref="C1699" xml:space="preserve"> CleanText(B1699)</f>
        <v>wtf this looks just like the mnight shyamalan filmhorriblewhy do you movie people never learnand btw korra is the better source material anyways guess i should be glad no one has yet tried to violate that legacy yet</v>
      </c>
      <c r="D1699">
        <v>0</v>
      </c>
      <c r="E1699">
        <v>1</v>
      </c>
      <c r="F1699" t="s">
        <v>0</v>
      </c>
      <c r="G1699" t="str" cm="1">
        <f t="array" ref="G1699" xml:space="preserve"> FindCountryName(F1699)</f>
        <v>None</v>
      </c>
      <c r="H1699" s="1">
        <v>45287.74790509259</v>
      </c>
      <c r="I1699" s="1">
        <v>45287.74790509259</v>
      </c>
      <c r="J1699" s="1">
        <v>43415.22246527778</v>
      </c>
      <c r="K1699" cm="1">
        <f t="array" ref="K1699" xml:space="preserve"> sentimentCalc(C1699)</f>
        <v>4</v>
      </c>
      <c r="L1699" t="str" cm="1">
        <f t="array" ref="L1699" xml:space="preserve"> sentimentCategory(K1699)</f>
        <v>Positive</v>
      </c>
    </row>
    <row r="1700" spans="1:12">
      <c r="A1700" t="s">
        <v>2662</v>
      </c>
      <c r="B1700" t="s">
        <v>2661</v>
      </c>
      <c r="C1700" t="str" cm="1">
        <f t="array" ref="C1700" xml:space="preserve"> CleanText(B1700)</f>
        <v>doesnt look realistic characters are too clean and cosplay looking i want to feel like this world is real and imperfect zukos scar doesnt even look like a burn avatar just doesnt lend itself well to live action it needs another animated spin off i think itd be fun to see more of the past avatars</v>
      </c>
      <c r="D1700">
        <v>2</v>
      </c>
      <c r="E1700">
        <v>0</v>
      </c>
      <c r="F1700" t="s">
        <v>0</v>
      </c>
      <c r="G1700" t="str" cm="1">
        <f t="array" ref="G1700" xml:space="preserve"> FindCountryName(F1700)</f>
        <v>None</v>
      </c>
      <c r="H1700" s="1">
        <v>45287.721620370372</v>
      </c>
      <c r="I1700" s="1">
        <v>45287.721620370372</v>
      </c>
      <c r="J1700" s="1">
        <v>45092.60365740741</v>
      </c>
      <c r="K1700" cm="1">
        <f t="array" ref="K1700" xml:space="preserve"> sentimentCalc(C1700)</f>
        <v>9</v>
      </c>
      <c r="L1700" t="str" cm="1">
        <f t="array" ref="L1700" xml:space="preserve"> sentimentCategory(K1700)</f>
        <v>Positive</v>
      </c>
    </row>
    <row r="1701" spans="1:12">
      <c r="A1701" t="s">
        <v>622</v>
      </c>
      <c r="B1701" t="s">
        <v>2660</v>
      </c>
      <c r="C1701" t="str" cm="1">
        <f t="array" ref="C1701" xml:space="preserve"> CleanText(B1701)</f>
        <v>б б  б  ю ю   ,   г   бщ   n</v>
      </c>
      <c r="D1701">
        <v>0</v>
      </c>
      <c r="E1701">
        <v>0</v>
      </c>
      <c r="F1701" t="s">
        <v>0</v>
      </c>
      <c r="G1701" t="str" cm="1">
        <f t="array" ref="G1701" xml:space="preserve"> FindCountryName(F1701)</f>
        <v>None</v>
      </c>
      <c r="H1701" s="1">
        <v>45287.703645833331</v>
      </c>
      <c r="I1701" s="1">
        <v>45287.704826388886</v>
      </c>
      <c r="J1701" s="1">
        <v>41839.704895833333</v>
      </c>
      <c r="K1701" cm="1">
        <f t="array" ref="K1701" xml:space="preserve"> sentimentCalc(C1701)</f>
        <v>0</v>
      </c>
      <c r="L1701" t="str" cm="1">
        <f t="array" ref="L1701" xml:space="preserve"> sentimentCategory(K1701)</f>
        <v>Neutral</v>
      </c>
    </row>
    <row r="1702" spans="1:12">
      <c r="A1702" t="s">
        <v>2659</v>
      </c>
      <c r="B1702" t="s">
        <v>2658</v>
      </c>
      <c r="C1702" t="str" cm="1">
        <f t="array" ref="C1702" xml:space="preserve"> CleanText(B1702)</f>
        <v>cast is meh i only hope that theyll get iroh right</v>
      </c>
      <c r="D1702">
        <v>0</v>
      </c>
      <c r="E1702">
        <v>0</v>
      </c>
      <c r="F1702" t="s">
        <v>0</v>
      </c>
      <c r="G1702" t="str" cm="1">
        <f t="array" ref="G1702" xml:space="preserve"> FindCountryName(F1702)</f>
        <v>None</v>
      </c>
      <c r="H1702" s="1">
        <v>45287.698842592596</v>
      </c>
      <c r="I1702" s="1">
        <v>45287.698842592596</v>
      </c>
      <c r="J1702" s="1">
        <v>39617.340648148151</v>
      </c>
      <c r="K1702" cm="1">
        <f t="array" ref="K1702" xml:space="preserve"> sentimentCalc(C1702)</f>
        <v>2</v>
      </c>
      <c r="L1702" t="str" cm="1">
        <f t="array" ref="L1702" xml:space="preserve"> sentimentCategory(K1702)</f>
        <v>Positive</v>
      </c>
    </row>
    <row r="1703" spans="1:12">
      <c r="A1703" t="s">
        <v>1009</v>
      </c>
      <c r="B1703" t="s">
        <v>2657</v>
      </c>
      <c r="C1703" t="str" cm="1">
        <f t="array" ref="C1703" xml:space="preserve"> CleanText(B1703)</f>
        <v>please make as many seasons as possible like on the graphic novels but to life like toph an avatar film min video teaser with the real mole experience avatar deserves that much since the animated series didnt finish their work and casted more on aangs adult and teenage life netflix</v>
      </c>
      <c r="D1703">
        <v>0</v>
      </c>
      <c r="E1703">
        <v>0</v>
      </c>
      <c r="F1703" t="s">
        <v>0</v>
      </c>
      <c r="G1703" t="str" cm="1">
        <f t="array" ref="G1703" xml:space="preserve"> FindCountryName(F1703)</f>
        <v>None</v>
      </c>
      <c r="H1703" s="1">
        <v>45287.695069444446</v>
      </c>
      <c r="I1703" s="1">
        <v>45287.695069444446</v>
      </c>
      <c r="J1703" s="1">
        <v>41717.086041666669</v>
      </c>
      <c r="K1703" cm="1">
        <f t="array" ref="K1703" xml:space="preserve"> sentimentCalc(C1703)</f>
        <v>5</v>
      </c>
      <c r="L1703" t="str" cm="1">
        <f t="array" ref="L1703" xml:space="preserve"> sentimentCategory(K1703)</f>
        <v>Positive</v>
      </c>
    </row>
    <row r="1704" spans="1:12">
      <c r="A1704" t="s">
        <v>2463</v>
      </c>
      <c r="B1704" t="s">
        <v>2656</v>
      </c>
      <c r="C1704" t="str" cm="1">
        <f t="array" ref="C1704" xml:space="preserve"> CleanText(B1704)</f>
        <v>whatever m night shymalan did just do the opposite and youll have something great</v>
      </c>
      <c r="D1704">
        <v>0</v>
      </c>
      <c r="E1704">
        <v>0</v>
      </c>
      <c r="F1704" t="s">
        <v>0</v>
      </c>
      <c r="G1704" t="str" cm="1">
        <f t="array" ref="G1704" xml:space="preserve"> FindCountryName(F1704)</f>
        <v>None</v>
      </c>
      <c r="H1704" s="1">
        <v>45287.688831018517</v>
      </c>
      <c r="I1704" s="1">
        <v>45287.688831018517</v>
      </c>
      <c r="J1704" s="1">
        <v>41123.806990740741</v>
      </c>
      <c r="K1704" cm="1">
        <f t="array" ref="K1704" xml:space="preserve"> sentimentCalc(C1704)</f>
        <v>3</v>
      </c>
      <c r="L1704" t="str" cm="1">
        <f t="array" ref="L1704" xml:space="preserve"> sentimentCategory(K1704)</f>
        <v>Positive</v>
      </c>
    </row>
    <row r="1705" spans="1:12">
      <c r="A1705" t="s">
        <v>562</v>
      </c>
      <c r="B1705" t="s">
        <v>2655</v>
      </c>
      <c r="C1705" t="str" cm="1">
        <f t="array" ref="C1705" xml:space="preserve"> CleanText(B1705)</f>
        <v>hyi vittu on paska filmi</v>
      </c>
      <c r="D1705">
        <v>0</v>
      </c>
      <c r="E1705">
        <v>0</v>
      </c>
      <c r="F1705" t="s">
        <v>0</v>
      </c>
      <c r="G1705" t="str" cm="1">
        <f t="array" ref="G1705" xml:space="preserve"> FindCountryName(F1705)</f>
        <v>None</v>
      </c>
      <c r="H1705" s="1">
        <v>45287.686967592592</v>
      </c>
      <c r="I1705" s="1">
        <v>45287.686967592592</v>
      </c>
      <c r="J1705" s="1">
        <v>42965.548067129632</v>
      </c>
      <c r="K1705" cm="1">
        <f t="array" ref="K1705" xml:space="preserve"> sentimentCalc(C1705)</f>
        <v>0</v>
      </c>
      <c r="L1705" t="str" cm="1">
        <f t="array" ref="L1705" xml:space="preserve"> sentimentCategory(K1705)</f>
        <v>Neutral</v>
      </c>
    </row>
    <row r="1706" spans="1:12">
      <c r="A1706" t="s">
        <v>906</v>
      </c>
      <c r="B1706" t="s">
        <v>2654</v>
      </c>
      <c r="C1706" t="str" cm="1">
        <f t="array" ref="C1706" xml:space="preserve"> CleanText(B1706)</f>
        <v>petition for a naruto shippudden live action adaptation like if you support</v>
      </c>
      <c r="D1706">
        <v>0</v>
      </c>
      <c r="E1706">
        <v>0</v>
      </c>
      <c r="F1706" t="s">
        <v>0</v>
      </c>
      <c r="G1706" t="str" cm="1">
        <f t="array" ref="G1706" xml:space="preserve"> FindCountryName(F1706)</f>
        <v>None</v>
      </c>
      <c r="H1706" s="1">
        <v>45287.682673611111</v>
      </c>
      <c r="I1706" s="1">
        <v>45287.682673611111</v>
      </c>
      <c r="J1706" s="1">
        <v>45190.921585648146</v>
      </c>
      <c r="K1706" cm="1">
        <f t="array" ref="K1706" xml:space="preserve"> sentimentCalc(C1706)</f>
        <v>4</v>
      </c>
      <c r="L1706" t="str" cm="1">
        <f t="array" ref="L1706" xml:space="preserve"> sentimentCategory(K1706)</f>
        <v>Positive</v>
      </c>
    </row>
    <row r="1707" spans="1:12">
      <c r="A1707" t="s">
        <v>2505</v>
      </c>
      <c r="B1707" t="s">
        <v>2653</v>
      </c>
      <c r="C1707" t="str" cm="1">
        <f t="array" ref="C1707" xml:space="preserve"> CleanText(B1707)</f>
        <v>so who is gay</v>
      </c>
      <c r="D1707">
        <v>0</v>
      </c>
      <c r="E1707">
        <v>0</v>
      </c>
      <c r="F1707" t="s">
        <v>0</v>
      </c>
      <c r="G1707" t="str" cm="1">
        <f t="array" ref="G1707" xml:space="preserve"> FindCountryName(F1707)</f>
        <v>None</v>
      </c>
      <c r="H1707" s="1">
        <v>45287.64334490741</v>
      </c>
      <c r="I1707" s="1">
        <v>45287.64334490741</v>
      </c>
      <c r="J1707" s="1">
        <v>40865.190462962964</v>
      </c>
      <c r="K1707" cm="1">
        <f t="array" ref="K1707" xml:space="preserve"> sentimentCalc(C1707)</f>
        <v>0</v>
      </c>
      <c r="L1707" t="str" cm="1">
        <f t="array" ref="L1707" xml:space="preserve"> sentimentCategory(K1707)</f>
        <v>Neutral</v>
      </c>
    </row>
    <row r="1708" spans="1:12">
      <c r="A1708" t="s">
        <v>180</v>
      </c>
      <c r="B1708" t="s">
        <v>2652</v>
      </c>
      <c r="C1708" t="str" cm="1">
        <f t="array" ref="C1708" xml:space="preserve"> CleanText(B1708)</f>
        <v>tengo fe en netflix tengo fe de que no harn una basura como saint seiya tengo fe en que netflix respetar la obra original y mostrar respeto a sus creador tengo fe en que no habr inclusin forzada lgbtiq netflix por favor no la cagues</v>
      </c>
      <c r="D1708">
        <v>0</v>
      </c>
      <c r="E1708">
        <v>0</v>
      </c>
      <c r="F1708" t="s">
        <v>0</v>
      </c>
      <c r="G1708" t="str" cm="1">
        <f t="array" ref="G1708" xml:space="preserve"> FindCountryName(F1708)</f>
        <v>None</v>
      </c>
      <c r="H1708" s="1">
        <v>45287.620347222219</v>
      </c>
      <c r="I1708" s="1">
        <v>45287.620347222219</v>
      </c>
      <c r="J1708" s="1">
        <v>41338.536724537036</v>
      </c>
      <c r="K1708" cm="1">
        <f t="array" ref="K1708" xml:space="preserve"> sentimentCalc(C1708)</f>
        <v>-1</v>
      </c>
      <c r="L1708" t="str" cm="1">
        <f t="array" ref="L1708" xml:space="preserve"> sentimentCategory(K1708)</f>
        <v>Negative</v>
      </c>
    </row>
    <row r="1709" spans="1:12">
      <c r="A1709" t="s">
        <v>255</v>
      </c>
      <c r="B1709" t="s">
        <v>2651</v>
      </c>
      <c r="C1709" t="str" cm="1">
        <f t="array" ref="C1709" xml:space="preserve"> CleanText(B1709)</f>
        <v>go gordon _xDDF5_ _xDCAA_ represent</v>
      </c>
      <c r="D1709">
        <v>1</v>
      </c>
      <c r="E1709">
        <v>0</v>
      </c>
      <c r="F1709" t="s">
        <v>0</v>
      </c>
      <c r="G1709" t="str" cm="1">
        <f t="array" ref="G1709" xml:space="preserve"> FindCountryName(F1709)</f>
        <v>None</v>
      </c>
      <c r="H1709" s="1">
        <v>45287.598078703704</v>
      </c>
      <c r="I1709" s="1">
        <v>45287.598078703704</v>
      </c>
      <c r="J1709" s="1">
        <v>42306.450879629629</v>
      </c>
      <c r="K1709" cm="1">
        <f t="array" ref="K1709" xml:space="preserve"> sentimentCalc(C1709)</f>
        <v>0</v>
      </c>
      <c r="L1709" t="str" cm="1">
        <f t="array" ref="L1709" xml:space="preserve"> sentimentCategory(K1709)</f>
        <v>Neutral</v>
      </c>
    </row>
    <row r="1710" spans="1:12">
      <c r="A1710" t="s">
        <v>1108</v>
      </c>
      <c r="B1710" t="s">
        <v>2650</v>
      </c>
      <c r="C1710" t="str" cm="1">
        <f t="array" ref="C1710" xml:space="preserve"> CleanText(B1710)</f>
        <v>i think netflix is going to get this right for all of us i knew the first one was going to be diarrhea garbage when i saw the trailer</v>
      </c>
      <c r="D1710">
        <v>0</v>
      </c>
      <c r="E1710">
        <v>0</v>
      </c>
      <c r="F1710" t="s">
        <v>0</v>
      </c>
      <c r="G1710" t="str" cm="1">
        <f t="array" ref="G1710" xml:space="preserve"> FindCountryName(F1710)</f>
        <v>None</v>
      </c>
      <c r="H1710" s="1">
        <v>45287.587812500002</v>
      </c>
      <c r="I1710" s="1">
        <v>45287.587812500002</v>
      </c>
      <c r="J1710" s="1">
        <v>44592.120486111111</v>
      </c>
      <c r="K1710" cm="1">
        <f t="array" ref="K1710" xml:space="preserve"> sentimentCalc(C1710)</f>
        <v>0</v>
      </c>
      <c r="L1710" t="str" cm="1">
        <f t="array" ref="L1710" xml:space="preserve"> sentimentCategory(K1710)</f>
        <v>Neutral</v>
      </c>
    </row>
    <row r="1711" spans="1:12">
      <c r="A1711" t="s">
        <v>2649</v>
      </c>
      <c r="B1711" t="s">
        <v>2648</v>
      </c>
      <c r="C1711" t="str" cm="1">
        <f t="array" ref="C1711" xml:space="preserve"> CleanText(B1711)</f>
        <v>one of my favorites anime i hope its did not messed up like its previous one</v>
      </c>
      <c r="D1711">
        <v>0</v>
      </c>
      <c r="E1711">
        <v>0</v>
      </c>
      <c r="F1711" t="s">
        <v>0</v>
      </c>
      <c r="G1711" t="str" cm="1">
        <f t="array" ref="G1711" xml:space="preserve"> FindCountryName(F1711)</f>
        <v>None</v>
      </c>
      <c r="H1711" s="1">
        <v>45287.56653935185</v>
      </c>
      <c r="I1711" s="1">
        <v>45287.56653935185</v>
      </c>
      <c r="J1711" s="1">
        <v>42531.044548611113</v>
      </c>
      <c r="K1711" cm="1">
        <f t="array" ref="K1711" xml:space="preserve"> sentimentCalc(C1711)</f>
        <v>4</v>
      </c>
      <c r="L1711" t="str" cm="1">
        <f t="array" ref="L1711" xml:space="preserve"> sentimentCategory(K1711)</f>
        <v>Positive</v>
      </c>
    </row>
    <row r="1712" spans="1:12">
      <c r="A1712" t="s">
        <v>2647</v>
      </c>
      <c r="B1712" t="s">
        <v>2646</v>
      </c>
      <c r="C1712" t="str" cm="1">
        <f t="array" ref="C1712" xml:space="preserve"> CleanText(B1712)</f>
        <v>why he has such so thick eyebrows ️_xDE2B_aang dont have eyebrows like that its triggering me so much</v>
      </c>
      <c r="D1712">
        <v>0</v>
      </c>
      <c r="E1712">
        <v>0</v>
      </c>
      <c r="F1712" t="s">
        <v>0</v>
      </c>
      <c r="G1712" t="str" cm="1">
        <f t="array" ref="G1712" xml:space="preserve"> FindCountryName(F1712)</f>
        <v>None</v>
      </c>
      <c r="H1712" s="1">
        <v>45287.556689814817</v>
      </c>
      <c r="I1712" s="1">
        <v>45287.556689814817</v>
      </c>
      <c r="J1712" s="1">
        <v>44129.702743055554</v>
      </c>
      <c r="K1712" cm="1">
        <f t="array" ref="K1712" xml:space="preserve"> sentimentCalc(C1712)</f>
        <v>2</v>
      </c>
      <c r="L1712" t="str" cm="1">
        <f t="array" ref="L1712" xml:space="preserve"> sentimentCategory(K1712)</f>
        <v>Positive</v>
      </c>
    </row>
    <row r="1713" spans="1:12">
      <c r="A1713" t="s">
        <v>411</v>
      </c>
      <c r="B1713" t="s">
        <v>2645</v>
      </c>
      <c r="C1713" t="str" cm="1">
        <f t="array" ref="C1713" xml:space="preserve"> CleanText(B1713)</f>
        <v>if yall mess this up i swear ill never watch netflix again 😢 beautiful</v>
      </c>
      <c r="D1713">
        <v>0</v>
      </c>
      <c r="E1713">
        <v>0</v>
      </c>
      <c r="F1713" t="s">
        <v>0</v>
      </c>
      <c r="G1713" t="str" cm="1">
        <f t="array" ref="G1713" xml:space="preserve"> FindCountryName(F1713)</f>
        <v>None</v>
      </c>
      <c r="H1713" s="1">
        <v>45287.509652777779</v>
      </c>
      <c r="I1713" s="1">
        <v>45287.509652777779</v>
      </c>
      <c r="J1713" s="1">
        <v>40754.556527777779</v>
      </c>
      <c r="K1713" cm="1">
        <f t="array" ref="K1713" xml:space="preserve"> sentimentCalc(C1713)</f>
        <v>-3</v>
      </c>
      <c r="L1713" t="str" cm="1">
        <f t="array" ref="L1713" xml:space="preserve"> sentimentCategory(K1713)</f>
        <v>Negative</v>
      </c>
    </row>
    <row r="1714" spans="1:12">
      <c r="A1714" t="s">
        <v>306</v>
      </c>
      <c r="B1714" t="s">
        <v>2644</v>
      </c>
      <c r="C1714" t="str" cm="1">
        <f t="array" ref="C1714" xml:space="preserve"> CleanText(B1714)</f>
        <v>i have high expectations for this everybody entitled to their opinion even though they might make some minor changes i got a feeling its going to be amazing _xD83D__xD83C__xD83E__xD83C_</v>
      </c>
      <c r="D1714">
        <v>11</v>
      </c>
      <c r="E1714">
        <v>0</v>
      </c>
      <c r="F1714" t="s">
        <v>0</v>
      </c>
      <c r="G1714" t="str" cm="1">
        <f t="array" ref="G1714" xml:space="preserve"> FindCountryName(F1714)</f>
        <v>None</v>
      </c>
      <c r="H1714" s="1">
        <v>45287.505370370367</v>
      </c>
      <c r="I1714" s="1">
        <v>45287.507951388892</v>
      </c>
      <c r="J1714" s="1">
        <v>45125.744108796294</v>
      </c>
      <c r="K1714" cm="1">
        <f t="array" ref="K1714" xml:space="preserve"> sentimentCalc(C1714)</f>
        <v>6</v>
      </c>
      <c r="L1714" t="str" cm="1">
        <f t="array" ref="L1714" xml:space="preserve"> sentimentCategory(K1714)</f>
        <v>Positive</v>
      </c>
    </row>
    <row r="1715" spans="1:12">
      <c r="A1715" t="s">
        <v>1044</v>
      </c>
      <c r="B1715" t="s">
        <v>2643</v>
      </c>
      <c r="C1715" t="str" cm="1">
        <f t="array" ref="C1715" xml:space="preserve"> CleanText(B1715)</f>
        <v>wow they didnt change the race of any of the characters might actually get an honest adaptation</v>
      </c>
      <c r="D1715">
        <v>1</v>
      </c>
      <c r="E1715">
        <v>0</v>
      </c>
      <c r="F1715" t="s">
        <v>0</v>
      </c>
      <c r="G1715" t="str" cm="1">
        <f t="array" ref="G1715" xml:space="preserve"> FindCountryName(F1715)</f>
        <v>None</v>
      </c>
      <c r="H1715" s="1">
        <v>45287.496238425927</v>
      </c>
      <c r="I1715" s="1">
        <v>45287.496238425927</v>
      </c>
      <c r="J1715" s="1">
        <v>45161.751747685186</v>
      </c>
      <c r="K1715" cm="1">
        <f t="array" ref="K1715" xml:space="preserve"> sentimentCalc(C1715)</f>
        <v>6</v>
      </c>
      <c r="L1715" t="str" cm="1">
        <f t="array" ref="L1715" xml:space="preserve"> sentimentCategory(K1715)</f>
        <v>Positive</v>
      </c>
    </row>
    <row r="1716" spans="1:12">
      <c r="A1716" t="s">
        <v>196</v>
      </c>
      <c r="B1716" t="s">
        <v>2642</v>
      </c>
      <c r="C1716" t="str" cm="1">
        <f t="array" ref="C1716" xml:space="preserve"> CleanText(B1716)</f>
        <v>please dont mess it up please dont mess it up like that movie did</v>
      </c>
      <c r="D1716">
        <v>0</v>
      </c>
      <c r="E1716">
        <v>0</v>
      </c>
      <c r="F1716" t="s">
        <v>0</v>
      </c>
      <c r="G1716" t="str" cm="1">
        <f t="array" ref="G1716" xml:space="preserve"> FindCountryName(F1716)</f>
        <v>None</v>
      </c>
      <c r="H1716" s="1">
        <v>45287.471516203703</v>
      </c>
      <c r="I1716" s="1">
        <v>45287.471516203703</v>
      </c>
      <c r="J1716" s="1">
        <v>41469.313379629632</v>
      </c>
      <c r="K1716" cm="1">
        <f t="array" ref="K1716" xml:space="preserve"> sentimentCalc(C1716)</f>
        <v>0</v>
      </c>
      <c r="L1716" t="str" cm="1">
        <f t="array" ref="L1716" xml:space="preserve"> sentimentCategory(K1716)</f>
        <v>Neutral</v>
      </c>
    </row>
    <row r="1717" spans="1:12">
      <c r="A1717" t="s">
        <v>1112</v>
      </c>
      <c r="B1717" t="s">
        <v>2641</v>
      </c>
      <c r="C1717" t="str" cm="1">
        <f t="array" ref="C1717" xml:space="preserve"> CleanText(B1717)</f>
        <v>cgi bad1 hey fuckhead its a teaser remember the hulk being in the infinity war trailer and then not even involved in the final battle  studios will outright lie to you so they can blow your ass away when the product comes out its called a bait and switch</v>
      </c>
      <c r="D1717">
        <v>0</v>
      </c>
      <c r="E1717">
        <v>0</v>
      </c>
      <c r="F1717" t="s">
        <v>0</v>
      </c>
      <c r="G1717" t="str" cm="1">
        <f t="array" ref="G1717" xml:space="preserve"> FindCountryName(F1717)</f>
        <v>None</v>
      </c>
      <c r="H1717" s="1">
        <v>45287.417881944442</v>
      </c>
      <c r="I1717" s="1">
        <v>45287.417881944442</v>
      </c>
      <c r="J1717" s="1">
        <v>41590.615995370368</v>
      </c>
      <c r="K1717" cm="1">
        <f t="array" ref="K1717" xml:space="preserve"> sentimentCalc(C1717)</f>
        <v>-7</v>
      </c>
      <c r="L1717" t="str" cm="1">
        <f t="array" ref="L1717" xml:space="preserve"> sentimentCategory(K1717)</f>
        <v>Negative</v>
      </c>
    </row>
    <row r="1718" spans="1:12">
      <c r="A1718" t="s">
        <v>1112</v>
      </c>
      <c r="B1718" t="s">
        <v>2640</v>
      </c>
      <c r="C1718" t="str" cm="1">
        <f t="array" ref="C1718" xml:space="preserve"> CleanText(B1718)</f>
        <v>good to see that the majority of sane people think this looks good now pray for me for i shall now sort the comments by newest so i can see virgins cry because x characters mole is on the wrong side of their face”</v>
      </c>
      <c r="D1718">
        <v>0</v>
      </c>
      <c r="E1718">
        <v>0</v>
      </c>
      <c r="F1718" t="s">
        <v>0</v>
      </c>
      <c r="G1718" t="str" cm="1">
        <f t="array" ref="G1718" xml:space="preserve"> FindCountryName(F1718)</f>
        <v>None</v>
      </c>
      <c r="H1718" s="1">
        <v>45287.413391203707</v>
      </c>
      <c r="I1718" s="1">
        <v>45287.413391203707</v>
      </c>
      <c r="J1718" s="1">
        <v>41590.615995370368</v>
      </c>
      <c r="K1718" cm="1">
        <f t="array" ref="K1718" xml:space="preserve"> sentimentCalc(C1718)</f>
        <v>4</v>
      </c>
      <c r="L1718" t="str" cm="1">
        <f t="array" ref="L1718" xml:space="preserve"> sentimentCategory(K1718)</f>
        <v>Positive</v>
      </c>
    </row>
    <row r="1719" spans="1:12">
      <c r="A1719" t="s">
        <v>2639</v>
      </c>
      <c r="B1719" t="s">
        <v>2638</v>
      </c>
      <c r="C1719" t="str" cm="1">
        <f t="array" ref="C1719" xml:space="preserve"> CleanText(B1719)</f>
        <v>excelente</v>
      </c>
      <c r="D1719">
        <v>0</v>
      </c>
      <c r="E1719">
        <v>0</v>
      </c>
      <c r="F1719" t="s">
        <v>0</v>
      </c>
      <c r="G1719" t="str" cm="1">
        <f t="array" ref="G1719" xml:space="preserve"> FindCountryName(F1719)</f>
        <v>None</v>
      </c>
      <c r="H1719" s="1">
        <v>45287.408009259256</v>
      </c>
      <c r="I1719" s="1">
        <v>45287.408009259256</v>
      </c>
      <c r="J1719" s="1">
        <v>41960.613726851851</v>
      </c>
      <c r="K1719" cm="1">
        <f t="array" ref="K1719" xml:space="preserve"> sentimentCalc(C1719)</f>
        <v>0</v>
      </c>
      <c r="L1719" t="str" cm="1">
        <f t="array" ref="L1719" xml:space="preserve"> sentimentCategory(K1719)</f>
        <v>Neutral</v>
      </c>
    </row>
    <row r="1720" spans="1:12">
      <c r="A1720" t="s">
        <v>413</v>
      </c>
      <c r="B1720" t="s">
        <v>2637</v>
      </c>
      <c r="C1720" t="str" cm="1">
        <f t="array" ref="C1720" xml:space="preserve"> CleanText(B1720)</f>
        <v>absolutely miscast</v>
      </c>
      <c r="D1720">
        <v>0</v>
      </c>
      <c r="E1720">
        <v>0</v>
      </c>
      <c r="F1720" t="s">
        <v>0</v>
      </c>
      <c r="G1720" t="str" cm="1">
        <f t="array" ref="G1720" xml:space="preserve"> FindCountryName(F1720)</f>
        <v>None</v>
      </c>
      <c r="H1720" s="1">
        <v>45287.389004629629</v>
      </c>
      <c r="I1720" s="1">
        <v>45287.389004629629</v>
      </c>
      <c r="J1720" s="1">
        <v>44515.174039351848</v>
      </c>
      <c r="K1720" cm="1">
        <f t="array" ref="K1720" xml:space="preserve"> sentimentCalc(C1720)</f>
        <v>0</v>
      </c>
      <c r="L1720" t="str" cm="1">
        <f t="array" ref="L1720" xml:space="preserve"> sentimentCategory(K1720)</f>
        <v>Neutral</v>
      </c>
    </row>
    <row r="1721" spans="1:12">
      <c r="A1721" t="s">
        <v>2636</v>
      </c>
      <c r="B1721" t="s">
        <v>2635</v>
      </c>
      <c r="C1721" t="str" cm="1">
        <f t="array" ref="C1721" xml:space="preserve"> CleanText(B1721)</f>
        <v>i miss u so much old friend aang</v>
      </c>
      <c r="D1721">
        <v>0</v>
      </c>
      <c r="E1721">
        <v>0</v>
      </c>
      <c r="F1721" t="s">
        <v>0</v>
      </c>
      <c r="G1721" t="str" cm="1">
        <f t="array" ref="G1721" xml:space="preserve"> FindCountryName(F1721)</f>
        <v>None</v>
      </c>
      <c r="H1721" s="1">
        <v>45287.387916666667</v>
      </c>
      <c r="I1721" s="1">
        <v>45287.387916666667</v>
      </c>
      <c r="J1721" s="1">
        <v>41843.46806712963</v>
      </c>
      <c r="K1721" cm="1">
        <f t="array" ref="K1721" xml:space="preserve"> sentimentCalc(C1721)</f>
        <v>-2</v>
      </c>
      <c r="L1721" t="str" cm="1">
        <f t="array" ref="L1721" xml:space="preserve"> sentimentCategory(K1721)</f>
        <v>Negative</v>
      </c>
    </row>
    <row r="1722" spans="1:12">
      <c r="A1722" t="s">
        <v>2634</v>
      </c>
      <c r="B1722" t="s">
        <v>2633</v>
      </c>
      <c r="C1722" t="str" cm="1">
        <f t="array" ref="C1722" xml:space="preserve"> CleanText(B1722)</f>
        <v>i want to see them portray earthbending the strong bending skill it isand not like the lets dance for  minutes as a whole group to make a single pebble fly at mph to our enemy</v>
      </c>
      <c r="D1722">
        <v>0</v>
      </c>
      <c r="E1722">
        <v>0</v>
      </c>
      <c r="F1722" t="s">
        <v>0</v>
      </c>
      <c r="G1722" t="str" cm="1">
        <f t="array" ref="G1722" xml:space="preserve"> FindCountryName(F1722)</f>
        <v>None</v>
      </c>
      <c r="H1722" s="1">
        <v>45287.373263888891</v>
      </c>
      <c r="I1722" s="1">
        <v>45287.373263888891</v>
      </c>
      <c r="J1722" s="1">
        <v>39531.371087962965</v>
      </c>
      <c r="K1722" cm="1">
        <f t="array" ref="K1722" xml:space="preserve"> sentimentCalc(C1722)</f>
        <v>3</v>
      </c>
      <c r="L1722" t="str" cm="1">
        <f t="array" ref="L1722" xml:space="preserve"> sentimentCategory(K1722)</f>
        <v>Positive</v>
      </c>
    </row>
    <row r="1723" spans="1:12">
      <c r="A1723" t="s">
        <v>247</v>
      </c>
      <c r="B1723" t="s">
        <v>2632</v>
      </c>
      <c r="C1723" t="str" cm="1">
        <f t="array" ref="C1723" xml:space="preserve"> CleanText(B1723)</f>
        <v>why is they no back person _xDE22_</v>
      </c>
      <c r="D1723">
        <v>0</v>
      </c>
      <c r="E1723">
        <v>0</v>
      </c>
      <c r="F1723" t="s">
        <v>0</v>
      </c>
      <c r="G1723" t="str" cm="1">
        <f t="array" ref="G1723" xml:space="preserve"> FindCountryName(F1723)</f>
        <v>None</v>
      </c>
      <c r="H1723" s="1">
        <v>45287.369363425925</v>
      </c>
      <c r="I1723" s="1">
        <v>45287.369363425925</v>
      </c>
      <c r="J1723" s="1">
        <v>44933.373657407406</v>
      </c>
      <c r="K1723" cm="1">
        <f t="array" ref="K1723" xml:space="preserve"> sentimentCalc(C1723)</f>
        <v>-1</v>
      </c>
      <c r="L1723" t="str" cm="1">
        <f t="array" ref="L1723" xml:space="preserve"> sentimentCategory(K1723)</f>
        <v>Negative</v>
      </c>
    </row>
    <row r="1724" spans="1:12">
      <c r="A1724" t="s">
        <v>28</v>
      </c>
      <c r="B1724" t="s">
        <v>2631</v>
      </c>
      <c r="C1724" t="str" cm="1">
        <f t="array" ref="C1724" xml:space="preserve"> CleanText(B1724)</f>
        <v>why must we fly so close to the sun</v>
      </c>
      <c r="D1724">
        <v>0</v>
      </c>
      <c r="E1724">
        <v>0</v>
      </c>
      <c r="F1724" t="s">
        <v>0</v>
      </c>
      <c r="G1724" t="str" cm="1">
        <f t="array" ref="G1724" xml:space="preserve"> FindCountryName(F1724)</f>
        <v>None</v>
      </c>
      <c r="H1724" s="1">
        <v>45287.345405092594</v>
      </c>
      <c r="I1724" s="1">
        <v>45287.345405092594</v>
      </c>
      <c r="J1724" s="1">
        <v>43498.178495370368</v>
      </c>
      <c r="K1724" cm="1">
        <f t="array" ref="K1724" xml:space="preserve"> sentimentCalc(C1724)</f>
        <v>0</v>
      </c>
      <c r="L1724" t="str" cm="1">
        <f t="array" ref="L1724" xml:space="preserve"> sentimentCategory(K1724)</f>
        <v>Neutral</v>
      </c>
    </row>
    <row r="1725" spans="1:12">
      <c r="A1725" t="s">
        <v>1327</v>
      </c>
      <c r="B1725" t="s">
        <v>2630</v>
      </c>
      <c r="C1725" t="str" cm="1">
        <f t="array" ref="C1725" xml:space="preserve"> CleanText(B1725)</f>
        <v>believe me nothing matches the cartoon</v>
      </c>
      <c r="D1725">
        <v>1</v>
      </c>
      <c r="E1725">
        <v>1</v>
      </c>
      <c r="F1725" t="s">
        <v>98</v>
      </c>
      <c r="G1725" t="str" cm="1">
        <f t="array" ref="G1725" xml:space="preserve"> FindCountryName(F1725)</f>
        <v>India</v>
      </c>
      <c r="H1725" s="1">
        <v>45287.343946759262</v>
      </c>
      <c r="I1725" s="1">
        <v>45287.343946759262</v>
      </c>
      <c r="J1725" s="1">
        <v>42258.490104166667</v>
      </c>
      <c r="K1725" cm="1">
        <f t="array" ref="K1725" xml:space="preserve"> sentimentCalc(C1725)</f>
        <v>0</v>
      </c>
      <c r="L1725" t="str" cm="1">
        <f t="array" ref="L1725" xml:space="preserve"> sentimentCategory(K1725)</f>
        <v>Neutral</v>
      </c>
    </row>
    <row r="1726" spans="1:12">
      <c r="A1726" t="s">
        <v>1080</v>
      </c>
      <c r="B1726" t="s">
        <v>2629</v>
      </c>
      <c r="C1726" t="str" cm="1">
        <f t="array" ref="C1726" xml:space="preserve"> CleanText(B1726)</f>
        <v>zukos scar is on the wrong side</v>
      </c>
      <c r="D1726">
        <v>1</v>
      </c>
      <c r="E1726">
        <v>1</v>
      </c>
      <c r="F1726" t="s">
        <v>0</v>
      </c>
      <c r="G1726" t="str" cm="1">
        <f t="array" ref="G1726" xml:space="preserve"> FindCountryName(F1726)</f>
        <v>None</v>
      </c>
      <c r="H1726" s="1">
        <v>45287.329965277779</v>
      </c>
      <c r="I1726" s="1">
        <v>45287.329965277779</v>
      </c>
      <c r="J1726" s="1">
        <v>41574.998333333337</v>
      </c>
      <c r="K1726" cm="1">
        <f t="array" ref="K1726" xml:space="preserve"> sentimentCalc(C1726)</f>
        <v>-2</v>
      </c>
      <c r="L1726" t="str" cm="1">
        <f t="array" ref="L1726" xml:space="preserve"> sentimentCategory(K1726)</f>
        <v>Negative</v>
      </c>
    </row>
    <row r="1727" spans="1:12">
      <c r="A1727" t="s">
        <v>824</v>
      </c>
      <c r="B1727" t="s">
        <v>2628</v>
      </c>
      <c r="C1727" t="str" cm="1">
        <f t="array" ref="C1727" xml:space="preserve"> CleanText(B1727)</f>
        <v>yessssssssssssssssss i am sooo freaking happy thank youu i hope you do justice to all the characters</v>
      </c>
      <c r="D1727">
        <v>0</v>
      </c>
      <c r="E1727">
        <v>0</v>
      </c>
      <c r="F1727" t="s">
        <v>0</v>
      </c>
      <c r="G1727" t="str" cm="1">
        <f t="array" ref="G1727" xml:space="preserve"> FindCountryName(F1727)</f>
        <v>None</v>
      </c>
      <c r="H1727" s="1">
        <v>45287.306817129633</v>
      </c>
      <c r="I1727" s="1">
        <v>45287.306817129633</v>
      </c>
      <c r="J1727" s="1">
        <v>42280.277696759258</v>
      </c>
      <c r="K1727" cm="1">
        <f t="array" ref="K1727" xml:space="preserve"> sentimentCalc(C1727)</f>
        <v>9</v>
      </c>
      <c r="L1727" t="str" cm="1">
        <f t="array" ref="L1727" xml:space="preserve"> sentimentCategory(K1727)</f>
        <v>Positive</v>
      </c>
    </row>
    <row r="1728" spans="1:12">
      <c r="A1728" t="s">
        <v>1156</v>
      </c>
      <c r="B1728" t="s">
        <v>2627</v>
      </c>
      <c r="C1728" t="str" cm="1">
        <f t="array" ref="C1728" xml:space="preserve"> CleanText(B1728)</f>
        <v>lot of wrong things</v>
      </c>
      <c r="D1728">
        <v>0</v>
      </c>
      <c r="E1728">
        <v>1</v>
      </c>
      <c r="F1728" t="s">
        <v>0</v>
      </c>
      <c r="G1728" t="str" cm="1">
        <f t="array" ref="G1728" xml:space="preserve"> FindCountryName(F1728)</f>
        <v>None</v>
      </c>
      <c r="H1728" s="1">
        <v>45287.278587962966</v>
      </c>
      <c r="I1728" s="1">
        <v>45287.278587962966</v>
      </c>
      <c r="J1728" s="1">
        <v>42956.191689814812</v>
      </c>
      <c r="K1728" cm="1">
        <f t="array" ref="K1728" xml:space="preserve"> sentimentCalc(C1728)</f>
        <v>-2</v>
      </c>
      <c r="L1728" t="str" cm="1">
        <f t="array" ref="L1728" xml:space="preserve"> sentimentCategory(K1728)</f>
        <v>Negative</v>
      </c>
    </row>
    <row r="1729" spans="1:12">
      <c r="A1729" t="s">
        <v>2626</v>
      </c>
      <c r="B1729" t="s">
        <v>2625</v>
      </c>
      <c r="C1729" t="str" cm="1">
        <f t="array" ref="C1729" xml:space="preserve"> CleanText(B1729)</f>
        <v>ive never been more excited and scared b it looks so good my hopes are up if this lands itll be another step in the cartoons r for kids constant bs situation i rewatch avatar all the time my favorite show ever absolutely a masterpiece already im getting some like uncanny valley stuff so odd to see it live action cant wait _xDD29__xDE01__xDF89_</v>
      </c>
      <c r="D1729">
        <v>41</v>
      </c>
      <c r="E1729">
        <v>0</v>
      </c>
      <c r="F1729" t="s">
        <v>0</v>
      </c>
      <c r="G1729" t="str" cm="1">
        <f t="array" ref="G1729" xml:space="preserve"> FindCountryName(F1729)</f>
        <v>None</v>
      </c>
      <c r="H1729" s="1">
        <v>45287.253796296296</v>
      </c>
      <c r="I1729" s="1">
        <v>45287.253796296296</v>
      </c>
      <c r="J1729" s="1">
        <v>45209.907881944448</v>
      </c>
      <c r="K1729" cm="1">
        <f t="array" ref="K1729" xml:space="preserve"> sentimentCalc(C1729)</f>
        <v>12</v>
      </c>
      <c r="L1729" t="str" cm="1">
        <f t="array" ref="L1729" xml:space="preserve"> sentimentCategory(K1729)</f>
        <v>Positive</v>
      </c>
    </row>
    <row r="1730" spans="1:12">
      <c r="A1730" t="s">
        <v>2624</v>
      </c>
      <c r="B1730" t="s">
        <v>2623</v>
      </c>
      <c r="C1730" t="str" cm="1">
        <f t="array" ref="C1730" xml:space="preserve"> CleanText(B1730)</f>
        <v>i dunno sokka looks like you didnt even bother to make his hair</v>
      </c>
      <c r="D1730">
        <v>0</v>
      </c>
      <c r="E1730">
        <v>0</v>
      </c>
      <c r="F1730" t="s">
        <v>0</v>
      </c>
      <c r="G1730" t="str" cm="1">
        <f t="array" ref="G1730" xml:space="preserve"> FindCountryName(F1730)</f>
        <v>None</v>
      </c>
      <c r="H1730" s="1">
        <v>45287.233761574076</v>
      </c>
      <c r="I1730" s="1">
        <v>45287.233761574076</v>
      </c>
      <c r="J1730" s="1">
        <v>40637.799224537041</v>
      </c>
      <c r="K1730" cm="1">
        <f t="array" ref="K1730" xml:space="preserve"> sentimentCalc(C1730)</f>
        <v>0</v>
      </c>
      <c r="L1730" t="str" cm="1">
        <f t="array" ref="L1730" xml:space="preserve"> sentimentCategory(K1730)</f>
        <v>Neutral</v>
      </c>
    </row>
    <row r="1731" spans="1:12">
      <c r="A1731" t="s">
        <v>640</v>
      </c>
      <c r="B1731" t="s">
        <v>2622</v>
      </c>
      <c r="C1731" t="str" cm="1">
        <f t="array" ref="C1731" xml:space="preserve"> CleanText(B1731)</f>
        <v>just curious why isnt aang black</v>
      </c>
      <c r="D1731">
        <v>0</v>
      </c>
      <c r="E1731">
        <v>2</v>
      </c>
      <c r="F1731" t="s">
        <v>0</v>
      </c>
      <c r="G1731" t="str" cm="1">
        <f t="array" ref="G1731" xml:space="preserve"> FindCountryName(F1731)</f>
        <v>None</v>
      </c>
      <c r="H1731" s="1">
        <v>45287.226921296293</v>
      </c>
      <c r="I1731" s="1">
        <v>45287.227048611108</v>
      </c>
      <c r="J1731" s="1">
        <v>42210.609247685185</v>
      </c>
      <c r="K1731" cm="1">
        <f t="array" ref="K1731" xml:space="preserve"> sentimentCalc(C1731)</f>
        <v>1</v>
      </c>
      <c r="L1731" t="str" cm="1">
        <f t="array" ref="L1731" xml:space="preserve"> sentimentCategory(K1731)</f>
        <v>Positive</v>
      </c>
    </row>
    <row r="1732" spans="1:12">
      <c r="A1732" t="s">
        <v>2621</v>
      </c>
      <c r="B1732" t="s">
        <v>2620</v>
      </c>
      <c r="C1732" t="str" cm="1">
        <f t="array" ref="C1732" xml:space="preserve"> CleanText(B1732)</f>
        <v>as long as they dont need  earth benders to move a rock im down for it</v>
      </c>
      <c r="D1732">
        <v>0</v>
      </c>
      <c r="E1732">
        <v>0</v>
      </c>
      <c r="F1732" t="s">
        <v>0</v>
      </c>
      <c r="G1732" t="str" cm="1">
        <f t="array" ref="G1732" xml:space="preserve"> FindCountryName(F1732)</f>
        <v>None</v>
      </c>
      <c r="H1732" s="1">
        <v>45287.224548611113</v>
      </c>
      <c r="I1732" s="1">
        <v>45287.224548611113</v>
      </c>
      <c r="J1732" s="1">
        <v>41690.838958333334</v>
      </c>
      <c r="K1732" cm="1">
        <f t="array" ref="K1732" xml:space="preserve"> sentimentCalc(C1732)</f>
        <v>0</v>
      </c>
      <c r="L1732" t="str" cm="1">
        <f t="array" ref="L1732" xml:space="preserve"> sentimentCategory(K1732)</f>
        <v>Neutral</v>
      </c>
    </row>
    <row r="1733" spans="1:12">
      <c r="A1733" t="s">
        <v>293</v>
      </c>
      <c r="B1733" t="s">
        <v>2619</v>
      </c>
      <c r="C1733" t="str" cm="1">
        <f t="array" ref="C1733" xml:space="preserve"> CleanText(B1733)</f>
        <v>ok  atleast lore accurate firebending instead of the waterstyle firebind like in the trash movie</v>
      </c>
      <c r="D1733">
        <v>0</v>
      </c>
      <c r="E1733">
        <v>0</v>
      </c>
      <c r="F1733" t="s">
        <v>0</v>
      </c>
      <c r="G1733" t="str" cm="1">
        <f t="array" ref="G1733" xml:space="preserve"> FindCountryName(F1733)</f>
        <v>None</v>
      </c>
      <c r="H1733" s="1">
        <v>45287.217349537037</v>
      </c>
      <c r="I1733" s="1">
        <v>45287.217349537037</v>
      </c>
      <c r="J1733" s="1">
        <v>44665.373981481483</v>
      </c>
      <c r="K1733" cm="1">
        <f t="array" ref="K1733" xml:space="preserve"> sentimentCalc(C1733)</f>
        <v>2</v>
      </c>
      <c r="L1733" t="str" cm="1">
        <f t="array" ref="L1733" xml:space="preserve"> sentimentCategory(K1733)</f>
        <v>Positive</v>
      </c>
    </row>
    <row r="1734" spans="1:12">
      <c r="A1734" t="s">
        <v>2618</v>
      </c>
      <c r="B1734" t="s">
        <v>2617</v>
      </c>
      <c r="C1734" t="str" cm="1">
        <f t="array" ref="C1734" xml:space="preserve"> CleanText(B1734)</f>
        <v>finally something they did amazing job out of it one piece was joke but this one looks more promising</v>
      </c>
      <c r="D1734">
        <v>0</v>
      </c>
      <c r="E1734">
        <v>0</v>
      </c>
      <c r="F1734" t="s">
        <v>323</v>
      </c>
      <c r="G1734" t="str" cm="1">
        <f t="array" ref="G1734" xml:space="preserve"> FindCountryName(F1734)</f>
        <v>Netherlands (the)</v>
      </c>
      <c r="H1734" s="1">
        <v>45287.185729166667</v>
      </c>
      <c r="I1734" s="1">
        <v>45287.185729166667</v>
      </c>
      <c r="J1734" s="1">
        <v>39204.478229166663</v>
      </c>
      <c r="K1734" cm="1">
        <f t="array" ref="K1734" xml:space="preserve"> sentimentCalc(C1734)</f>
        <v>6</v>
      </c>
      <c r="L1734" t="str" cm="1">
        <f t="array" ref="L1734" xml:space="preserve"> sentimentCategory(K1734)</f>
        <v>Positive</v>
      </c>
    </row>
    <row r="1735" spans="1:12">
      <c r="A1735" t="s">
        <v>1055</v>
      </c>
      <c r="B1735" t="s">
        <v>2616</v>
      </c>
      <c r="C1735" t="str" cm="1">
        <f t="array" ref="C1735" xml:space="preserve"> CleanText(B1735)</f>
        <v>sokka actor looks like the sokka actor from the ember island players</v>
      </c>
      <c r="D1735">
        <v>1</v>
      </c>
      <c r="E1735">
        <v>0</v>
      </c>
      <c r="F1735" t="s">
        <v>19</v>
      </c>
      <c r="G1735" t="str" cm="1">
        <f t="array" ref="G1735" xml:space="preserve"> FindCountryName(F1735)</f>
        <v>United States of America (the)</v>
      </c>
      <c r="H1735" s="1">
        <v>45287.104120370372</v>
      </c>
      <c r="I1735" s="1">
        <v>45287.104120370372</v>
      </c>
      <c r="J1735" s="1">
        <v>45065.978020833332</v>
      </c>
      <c r="K1735" cm="1">
        <f t="array" ref="K1735" xml:space="preserve"> sentimentCalc(C1735)</f>
        <v>2</v>
      </c>
      <c r="L1735" t="str" cm="1">
        <f t="array" ref="L1735" xml:space="preserve"> sentimentCategory(K1735)</f>
        <v>Positive</v>
      </c>
    </row>
    <row r="1736" spans="1:12">
      <c r="A1736" t="s">
        <v>192</v>
      </c>
      <c r="B1736" t="s">
        <v>2615</v>
      </c>
      <c r="C1736" t="str" cm="1">
        <f t="array" ref="C1736" xml:space="preserve"> CleanText(B1736)</f>
        <v>i am hoping beyond all hope that they stay true and faithful to the original and do not change the story or characters for a modern audience last airbender was a formative animation for many peoples childhoods all everyone wants to see is a fricken faithful adaptation of the originals in live action please please dont screw this up this more than anything in more than a decade looks to be at least trying im sure they will find a way to make us all cringe and hate it but man i hope not</v>
      </c>
      <c r="D1736">
        <v>1</v>
      </c>
      <c r="E1736">
        <v>0</v>
      </c>
      <c r="F1736" t="s">
        <v>0</v>
      </c>
      <c r="G1736" t="str" cm="1">
        <f t="array" ref="G1736" xml:space="preserve"> FindCountryName(F1736)</f>
        <v>None</v>
      </c>
      <c r="H1736" s="1">
        <v>45287.103032407409</v>
      </c>
      <c r="I1736" s="1">
        <v>45287.103032407409</v>
      </c>
      <c r="J1736" s="1">
        <v>40659.636828703704</v>
      </c>
      <c r="K1736" cm="1">
        <f t="array" ref="K1736" xml:space="preserve"> sentimentCalc(C1736)</f>
        <v>13</v>
      </c>
      <c r="L1736" t="str" cm="1">
        <f t="array" ref="L1736" xml:space="preserve"> sentimentCategory(K1736)</f>
        <v>Positive</v>
      </c>
    </row>
    <row r="1737" spans="1:12">
      <c r="A1737" t="s">
        <v>2614</v>
      </c>
      <c r="B1737" t="s">
        <v>2613</v>
      </c>
      <c r="C1737" t="str" cm="1">
        <f t="array" ref="C1737" xml:space="preserve"> CleanText(B1737)</f>
        <v>well future me is the show good ?</v>
      </c>
      <c r="D1737">
        <v>0</v>
      </c>
      <c r="E1737">
        <v>0</v>
      </c>
      <c r="F1737" t="s">
        <v>0</v>
      </c>
      <c r="G1737" t="str" cm="1">
        <f t="array" ref="G1737" xml:space="preserve"> FindCountryName(F1737)</f>
        <v>None</v>
      </c>
      <c r="H1737" s="1">
        <v>45287.100648148145</v>
      </c>
      <c r="I1737" s="1">
        <v>45287.100648148145</v>
      </c>
      <c r="J1737" s="1">
        <v>41769.947685185187</v>
      </c>
      <c r="K1737" cm="1">
        <f t="array" ref="K1737" xml:space="preserve"> sentimentCalc(C1737)</f>
        <v>3</v>
      </c>
      <c r="L1737" t="str" cm="1">
        <f t="array" ref="L1737" xml:space="preserve"> sentimentCategory(K1737)</f>
        <v>Positive</v>
      </c>
    </row>
    <row r="1738" spans="1:12">
      <c r="A1738" t="s">
        <v>58</v>
      </c>
      <c r="B1738" t="s">
        <v>2612</v>
      </c>
      <c r="C1738" t="str" cm="1">
        <f t="array" ref="C1738" xml:space="preserve"> CleanText(B1738)</f>
        <v>waited soooooo long</v>
      </c>
      <c r="D1738">
        <v>0</v>
      </c>
      <c r="E1738">
        <v>0</v>
      </c>
      <c r="F1738" t="s">
        <v>0</v>
      </c>
      <c r="G1738" t="str" cm="1">
        <f t="array" ref="G1738" xml:space="preserve"> FindCountryName(F1738)</f>
        <v>None</v>
      </c>
      <c r="H1738" s="1">
        <v>45286.973263888889</v>
      </c>
      <c r="I1738" s="1">
        <v>45286.973263888889</v>
      </c>
      <c r="J1738" s="1">
        <v>43892.447523148148</v>
      </c>
      <c r="K1738" cm="1">
        <f t="array" ref="K1738" xml:space="preserve"> sentimentCalc(C1738)</f>
        <v>0</v>
      </c>
      <c r="L1738" t="str" cm="1">
        <f t="array" ref="L1738" xml:space="preserve"> sentimentCategory(K1738)</f>
        <v>Neutral</v>
      </c>
    </row>
    <row r="1739" spans="1:12">
      <c r="A1739" t="s">
        <v>2611</v>
      </c>
      <c r="B1739" t="s">
        <v>2610</v>
      </c>
      <c r="C1739" t="str" cm="1">
        <f t="array" ref="C1739" xml:space="preserve"> CleanText(B1739)</f>
        <v>visually good but overall not reassuring characters look great but lets be real any actor can stare into a camera the show was a cartoon and had a lot of expressiveness this trailer and these kid actors all dead stare into the camera avatar was story driven with the dialogue being the best selling point what this trailer needed was a narrative with the characters sharing something of their journey that is the core of avatar for me not showing that makes me think netflix isnt confident in their own product if the acting is too serious its going to be way  too corny</v>
      </c>
      <c r="D1739">
        <v>0</v>
      </c>
      <c r="E1739">
        <v>3</v>
      </c>
      <c r="F1739" t="s">
        <v>0</v>
      </c>
      <c r="G1739" t="str" cm="1">
        <f t="array" ref="G1739" xml:space="preserve"> FindCountryName(F1739)</f>
        <v>None</v>
      </c>
      <c r="H1739" s="1">
        <v>45286.90315972222</v>
      </c>
      <c r="I1739" s="1">
        <v>45286.90315972222</v>
      </c>
      <c r="J1739" s="1">
        <v>40723.684166666666</v>
      </c>
      <c r="K1739" cm="1">
        <f t="array" ref="K1739" xml:space="preserve"> sentimentCalc(C1739)</f>
        <v>10</v>
      </c>
      <c r="L1739" t="str" cm="1">
        <f t="array" ref="L1739" xml:space="preserve"> sentimentCategory(K1739)</f>
        <v>Positive</v>
      </c>
    </row>
    <row r="1740" spans="1:12">
      <c r="A1740" t="s">
        <v>291</v>
      </c>
      <c r="B1740" t="s">
        <v>2609</v>
      </c>
      <c r="C1740" t="str" cm="1">
        <f t="array" ref="C1740" xml:space="preserve"> CleanText(B1740)</f>
        <v>the trailer actually gave me goosebumpsheres to hoping its good the anime is still one of my favs of all time</v>
      </c>
      <c r="D1740">
        <v>9</v>
      </c>
      <c r="E1740">
        <v>2</v>
      </c>
      <c r="F1740" t="s">
        <v>0</v>
      </c>
      <c r="G1740" t="str" cm="1">
        <f t="array" ref="G1740" xml:space="preserve"> FindCountryName(F1740)</f>
        <v>None</v>
      </c>
      <c r="H1740" s="1">
        <v>45286.799224537041</v>
      </c>
      <c r="I1740" s="1">
        <v>45286.799224537041</v>
      </c>
      <c r="J1740" s="1">
        <v>40828.698946759258</v>
      </c>
      <c r="K1740" cm="1">
        <f t="array" ref="K1740" xml:space="preserve"> sentimentCalc(C1740)</f>
        <v>5</v>
      </c>
      <c r="L1740" t="str" cm="1">
        <f t="array" ref="L1740" xml:space="preserve"> sentimentCategory(K1740)</f>
        <v>Positive</v>
      </c>
    </row>
    <row r="1741" spans="1:12">
      <c r="A1741" t="s">
        <v>671</v>
      </c>
      <c r="B1741" t="s">
        <v>2608</v>
      </c>
      <c r="C1741" t="str" cm="1">
        <f t="array" ref="C1741" xml:space="preserve"> CleanText(B1741)</f>
        <v>for some reason the cgi looks worse then the original</v>
      </c>
      <c r="D1741">
        <v>0</v>
      </c>
      <c r="E1741">
        <v>0</v>
      </c>
      <c r="F1741" t="s">
        <v>0</v>
      </c>
      <c r="G1741" t="str" cm="1">
        <f t="array" ref="G1741" xml:space="preserve"> FindCountryName(F1741)</f>
        <v>None</v>
      </c>
      <c r="H1741" s="1">
        <v>45286.741597222222</v>
      </c>
      <c r="I1741" s="1">
        <v>45286.741712962961</v>
      </c>
      <c r="J1741" s="1">
        <v>44125.918668981481</v>
      </c>
      <c r="K1741" cm="1">
        <f t="array" ref="K1741" xml:space="preserve"> sentimentCalc(C1741)</f>
        <v>-3</v>
      </c>
      <c r="L1741" t="str" cm="1">
        <f t="array" ref="L1741" xml:space="preserve"> sentimentCategory(K1741)</f>
        <v>Negative</v>
      </c>
    </row>
    <row r="1742" spans="1:12">
      <c r="A1742" t="s">
        <v>2607</v>
      </c>
      <c r="B1742" t="s">
        <v>2606</v>
      </c>
      <c r="C1742" t="str" cm="1">
        <f t="array" ref="C1742" xml:space="preserve"> CleanText(B1742)</f>
        <v>please be good</v>
      </c>
      <c r="D1742">
        <v>0</v>
      </c>
      <c r="E1742">
        <v>0</v>
      </c>
      <c r="F1742" t="s">
        <v>0</v>
      </c>
      <c r="G1742" t="str" cm="1">
        <f t="array" ref="G1742" xml:space="preserve"> FindCountryName(F1742)</f>
        <v>None</v>
      </c>
      <c r="H1742" s="1">
        <v>45286.741249999999</v>
      </c>
      <c r="I1742" s="1">
        <v>45286.741249999999</v>
      </c>
      <c r="J1742" s="1">
        <v>40130.773576388892</v>
      </c>
      <c r="K1742" cm="1">
        <f t="array" ref="K1742" xml:space="preserve"> sentimentCalc(C1742)</f>
        <v>4</v>
      </c>
      <c r="L1742" t="str" cm="1">
        <f t="array" ref="L1742" xml:space="preserve"> sentimentCategory(K1742)</f>
        <v>Positive</v>
      </c>
    </row>
    <row r="1743" spans="1:12">
      <c r="A1743" t="s">
        <v>291</v>
      </c>
      <c r="B1743" t="s">
        <v>2605</v>
      </c>
      <c r="C1743" t="str" cm="1">
        <f t="array" ref="C1743" xml:space="preserve"> CleanText(B1743)</f>
        <v>if yall make a new movie then ill go into the avatar state and destroy the video for you</v>
      </c>
      <c r="D1743">
        <v>0</v>
      </c>
      <c r="E1743">
        <v>0</v>
      </c>
      <c r="F1743" t="s">
        <v>0</v>
      </c>
      <c r="G1743" t="str" cm="1">
        <f t="array" ref="G1743" xml:space="preserve"> FindCountryName(F1743)</f>
        <v>None</v>
      </c>
      <c r="H1743" s="1">
        <v>45286.729722222219</v>
      </c>
      <c r="I1743" s="1">
        <v>45286.729722222219</v>
      </c>
      <c r="J1743" s="1">
        <v>40675.565775462965</v>
      </c>
      <c r="K1743" cm="1">
        <f t="array" ref="K1743" xml:space="preserve"> sentimentCalc(C1743)</f>
        <v>-5</v>
      </c>
      <c r="L1743" t="str" cm="1">
        <f t="array" ref="L1743" xml:space="preserve"> sentimentCategory(K1743)</f>
        <v>Negative</v>
      </c>
    </row>
    <row r="1744" spans="1:12">
      <c r="A1744" t="s">
        <v>909</v>
      </c>
      <c r="B1744" t="s">
        <v>2604</v>
      </c>
      <c r="C1744" t="str" cm="1">
        <f t="array" ref="C1744" xml:space="preserve"> CleanText(B1744)</f>
        <v>looks like shit</v>
      </c>
      <c r="D1744">
        <v>1</v>
      </c>
      <c r="E1744">
        <v>1</v>
      </c>
      <c r="F1744" t="s">
        <v>0</v>
      </c>
      <c r="G1744" t="str" cm="1">
        <f t="array" ref="G1744" xml:space="preserve"> FindCountryName(F1744)</f>
        <v>None</v>
      </c>
      <c r="H1744" s="1">
        <v>45286.717395833337</v>
      </c>
      <c r="I1744" s="1">
        <v>45286.717395833337</v>
      </c>
      <c r="J1744" s="1">
        <v>40431.861724537041</v>
      </c>
      <c r="K1744" cm="1">
        <f t="array" ref="K1744" xml:space="preserve"> sentimentCalc(C1744)</f>
        <v>2</v>
      </c>
      <c r="L1744" t="str" cm="1">
        <f t="array" ref="L1744" xml:space="preserve"> sentimentCategory(K1744)</f>
        <v>Positive</v>
      </c>
    </row>
    <row r="1745" spans="1:12">
      <c r="A1745" t="s">
        <v>28</v>
      </c>
      <c r="B1745" t="s">
        <v>2603</v>
      </c>
      <c r="C1745" t="str" cm="1">
        <f t="array" ref="C1745" xml:space="preserve"> CleanText(B1745)</f>
        <v>fingers crossed</v>
      </c>
      <c r="D1745">
        <v>0</v>
      </c>
      <c r="E1745">
        <v>0</v>
      </c>
      <c r="F1745" t="s">
        <v>0</v>
      </c>
      <c r="G1745" t="str" cm="1">
        <f t="array" ref="G1745" xml:space="preserve"> FindCountryName(F1745)</f>
        <v>None</v>
      </c>
      <c r="H1745" s="1">
        <v>45286.704942129632</v>
      </c>
      <c r="I1745" s="1">
        <v>45286.704942129632</v>
      </c>
      <c r="J1745" s="1">
        <v>44072.762187499997</v>
      </c>
      <c r="K1745" cm="1">
        <f t="array" ref="K1745" xml:space="preserve"> sentimentCalc(C1745)</f>
        <v>0</v>
      </c>
      <c r="L1745" t="str" cm="1">
        <f t="array" ref="L1745" xml:space="preserve"> sentimentCategory(K1745)</f>
        <v>Neutral</v>
      </c>
    </row>
    <row r="1746" spans="1:12">
      <c r="A1746" t="s">
        <v>28</v>
      </c>
      <c r="B1746" t="s">
        <v>2602</v>
      </c>
      <c r="C1746" t="str" cm="1">
        <f t="array" ref="C1746" xml:space="preserve"> CleanText(B1746)</f>
        <v>pls dont ruin it</v>
      </c>
      <c r="D1746">
        <v>0</v>
      </c>
      <c r="E1746">
        <v>0</v>
      </c>
      <c r="F1746" t="s">
        <v>0</v>
      </c>
      <c r="G1746" t="str" cm="1">
        <f t="array" ref="G1746" xml:space="preserve"> FindCountryName(F1746)</f>
        <v>None</v>
      </c>
      <c r="H1746" s="1">
        <v>45286.700324074074</v>
      </c>
      <c r="I1746" s="1">
        <v>45286.700324074074</v>
      </c>
      <c r="J1746" s="1">
        <v>43533.785532407404</v>
      </c>
      <c r="K1746" cm="1">
        <f t="array" ref="K1746" xml:space="preserve"> sentimentCalc(C1746)</f>
        <v>-2</v>
      </c>
      <c r="L1746" t="str" cm="1">
        <f t="array" ref="L1746" xml:space="preserve"> sentimentCategory(K1746)</f>
        <v>Negative</v>
      </c>
    </row>
    <row r="1747" spans="1:12">
      <c r="A1747" t="s">
        <v>719</v>
      </c>
      <c r="B1747" t="s">
        <v>2601</v>
      </c>
      <c r="C1747" t="str" cm="1">
        <f t="array" ref="C1747" xml:space="preserve"> CleanText(B1747)</f>
        <v>m night shyamalan needs to take notes</v>
      </c>
      <c r="D1747">
        <v>0</v>
      </c>
      <c r="E1747">
        <v>0</v>
      </c>
      <c r="F1747" t="s">
        <v>0</v>
      </c>
      <c r="G1747" t="str" cm="1">
        <f t="array" ref="G1747" xml:space="preserve"> FindCountryName(F1747)</f>
        <v>None</v>
      </c>
      <c r="H1747" s="1">
        <v>45286.661736111113</v>
      </c>
      <c r="I1747" s="1">
        <v>45286.661736111113</v>
      </c>
      <c r="J1747" s="1">
        <v>44108.512025462966</v>
      </c>
      <c r="K1747" cm="1">
        <f t="array" ref="K1747" xml:space="preserve"> sentimentCalc(C1747)</f>
        <v>0</v>
      </c>
      <c r="L1747" t="str" cm="1">
        <f t="array" ref="L1747" xml:space="preserve"> sentimentCategory(K1747)</f>
        <v>Neutral</v>
      </c>
    </row>
    <row r="1748" spans="1:12">
      <c r="A1748" t="s">
        <v>1401</v>
      </c>
      <c r="B1748" t="s">
        <v>2600</v>
      </c>
      <c r="C1748" t="str" cm="1">
        <f t="array" ref="C1748" xml:space="preserve"> CleanText(B1748)</f>
        <v>horrendous</v>
      </c>
      <c r="D1748">
        <v>0</v>
      </c>
      <c r="E1748">
        <v>0</v>
      </c>
      <c r="F1748" t="s">
        <v>323</v>
      </c>
      <c r="G1748" t="str" cm="1">
        <f t="array" ref="G1748" xml:space="preserve"> FindCountryName(F1748)</f>
        <v>Netherlands (the)</v>
      </c>
      <c r="H1748" s="1">
        <v>45286.63652777778</v>
      </c>
      <c r="I1748" s="1">
        <v>45286.63652777778</v>
      </c>
      <c r="J1748" s="1">
        <v>42086.416203703702</v>
      </c>
      <c r="K1748" cm="1">
        <f t="array" ref="K1748" xml:space="preserve"> sentimentCalc(C1748)</f>
        <v>-3</v>
      </c>
      <c r="L1748" t="str" cm="1">
        <f t="array" ref="L1748" xml:space="preserve"> sentimentCategory(K1748)</f>
        <v>Negative</v>
      </c>
    </row>
    <row r="1749" spans="1:12">
      <c r="A1749" t="s">
        <v>1525</v>
      </c>
      <c r="B1749" t="s">
        <v>2599</v>
      </c>
      <c r="C1749" t="str" cm="1">
        <f t="array" ref="C1749" xml:space="preserve"> CleanText(B1749)</f>
        <v>whos that girl by 0</v>
      </c>
      <c r="D1749">
        <v>0</v>
      </c>
      <c r="E1749">
        <v>1</v>
      </c>
      <c r="F1749" t="s">
        <v>0</v>
      </c>
      <c r="G1749" t="str" cm="1">
        <f t="array" ref="G1749" xml:space="preserve"> FindCountryName(F1749)</f>
        <v>None</v>
      </c>
      <c r="H1749" s="1">
        <v>45286.62605324074</v>
      </c>
      <c r="I1749" s="1">
        <v>45286.62605324074</v>
      </c>
      <c r="J1749" s="1">
        <v>41275.399398148147</v>
      </c>
      <c r="K1749" cm="1">
        <f t="array" ref="K1749" xml:space="preserve"> sentimentCalc(C1749)</f>
        <v>0</v>
      </c>
      <c r="L1749" t="str" cm="1">
        <f t="array" ref="L1749" xml:space="preserve"> sentimentCategory(K1749)</f>
        <v>Neutral</v>
      </c>
    </row>
    <row r="1750" spans="1:12">
      <c r="A1750" t="s">
        <v>2598</v>
      </c>
      <c r="B1750" t="s">
        <v>2597</v>
      </c>
      <c r="C1750" t="str" cm="1">
        <f t="array" ref="C1750" xml:space="preserve"> CleanText(B1750)</f>
        <v>omg</v>
      </c>
      <c r="D1750">
        <v>1</v>
      </c>
      <c r="E1750">
        <v>0</v>
      </c>
      <c r="F1750" t="s">
        <v>0</v>
      </c>
      <c r="G1750" t="str" cm="1">
        <f t="array" ref="G1750" xml:space="preserve"> FindCountryName(F1750)</f>
        <v>None</v>
      </c>
      <c r="H1750" s="1">
        <v>45286.597592592596</v>
      </c>
      <c r="I1750" s="1">
        <v>45286.597592592596</v>
      </c>
      <c r="J1750" s="1">
        <v>41351.654849537037</v>
      </c>
      <c r="K1750" cm="1">
        <f t="array" ref="K1750" xml:space="preserve"> sentimentCalc(C1750)</f>
        <v>0</v>
      </c>
      <c r="L1750" t="str" cm="1">
        <f t="array" ref="L1750" xml:space="preserve"> sentimentCategory(K1750)</f>
        <v>Neutral</v>
      </c>
    </row>
    <row r="1751" spans="1:12">
      <c r="A1751" t="s">
        <v>1283</v>
      </c>
      <c r="B1751" t="s">
        <v>2596</v>
      </c>
      <c r="C1751" t="str" cm="1">
        <f t="array" ref="C1751" xml:space="preserve"> CleanText(B1751)</f>
        <v>all looks amazing the only thing i would change is their eyes colors tho because each nation in aangs era have a unique color ambar for the fire nation blue for the water tribes grey for the air nomads and green for the earth kingdom but if they respect the story and dont make some absurd changes like in the movie it wont matter at the end</v>
      </c>
      <c r="D1751">
        <v>0</v>
      </c>
      <c r="E1751">
        <v>3</v>
      </c>
      <c r="F1751" t="s">
        <v>0</v>
      </c>
      <c r="G1751" t="str" cm="1">
        <f t="array" ref="G1751" xml:space="preserve"> FindCountryName(F1751)</f>
        <v>None</v>
      </c>
      <c r="H1751" s="1">
        <v>45286.586747685185</v>
      </c>
      <c r="I1751" s="1">
        <v>45286.586747685185</v>
      </c>
      <c r="J1751" s="1">
        <v>40680.002187500002</v>
      </c>
      <c r="K1751" cm="1">
        <f t="array" ref="K1751" xml:space="preserve"> sentimentCalc(C1751)</f>
        <v>4</v>
      </c>
      <c r="L1751" t="str" cm="1">
        <f t="array" ref="L1751" xml:space="preserve"> sentimentCategory(K1751)</f>
        <v>Positive</v>
      </c>
    </row>
    <row r="1752" spans="1:12">
      <c r="A1752" t="s">
        <v>1298</v>
      </c>
      <c r="B1752" t="s">
        <v>2595</v>
      </c>
      <c r="C1752" t="str" cm="1">
        <f t="array" ref="C1752" xml:space="preserve"> CleanText(B1752)</f>
        <v>if they can at least say aang correctly its already going to be better than the movie was</v>
      </c>
      <c r="D1752">
        <v>0</v>
      </c>
      <c r="E1752">
        <v>0</v>
      </c>
      <c r="F1752" t="s">
        <v>19</v>
      </c>
      <c r="G1752" t="str" cm="1">
        <f t="array" ref="G1752" xml:space="preserve"> FindCountryName(F1752)</f>
        <v>United States of America (the)</v>
      </c>
      <c r="H1752" s="1">
        <v>45286.565891203703</v>
      </c>
      <c r="I1752" s="1">
        <v>45286.565891203703</v>
      </c>
      <c r="J1752" s="1">
        <v>39999.51840277778</v>
      </c>
      <c r="K1752" cm="1">
        <f t="array" ref="K1752" xml:space="preserve"> sentimentCalc(C1752)</f>
        <v>2</v>
      </c>
      <c r="L1752" t="str" cm="1">
        <f t="array" ref="L1752" xml:space="preserve"> sentimentCategory(K1752)</f>
        <v>Positive</v>
      </c>
    </row>
    <row r="1753" spans="1:12">
      <c r="A1753" t="s">
        <v>445</v>
      </c>
      <c r="B1753" t="s">
        <v>2594</v>
      </c>
      <c r="C1753" t="str" cm="1">
        <f t="array" ref="C1753" xml:space="preserve"> CleanText(B1753)</f>
        <v>the lord of the elements 00 year</v>
      </c>
      <c r="D1753">
        <v>0</v>
      </c>
      <c r="E1753">
        <v>0</v>
      </c>
      <c r="F1753" t="s">
        <v>0</v>
      </c>
      <c r="G1753" t="str" cm="1">
        <f t="array" ref="G1753" xml:space="preserve"> FindCountryName(F1753)</f>
        <v>None</v>
      </c>
      <c r="H1753" s="1">
        <v>45286.56040509259</v>
      </c>
      <c r="I1753" s="1">
        <v>45286.56040509259</v>
      </c>
      <c r="J1753" s="1">
        <v>43110.433761574073</v>
      </c>
      <c r="K1753" cm="1">
        <f t="array" ref="K1753" xml:space="preserve"> sentimentCalc(C1753)</f>
        <v>0</v>
      </c>
      <c r="L1753" t="str" cm="1">
        <f t="array" ref="L1753" xml:space="preserve"> sentimentCategory(K1753)</f>
        <v>Neutral</v>
      </c>
    </row>
    <row r="1754" spans="1:12">
      <c r="A1754" t="s">
        <v>2593</v>
      </c>
      <c r="B1754" t="s">
        <v>2592</v>
      </c>
      <c r="C1754" t="str" cm="1">
        <f t="array" ref="C1754" xml:space="preserve"> CleanText(B1754)</f>
        <v>shame on you netflix you just promode a film war you did delet cors of bad chlics and now you just reupload it you did not iwn change te trailer rly shame on you</v>
      </c>
      <c r="D1754">
        <v>0</v>
      </c>
      <c r="E1754">
        <v>0</v>
      </c>
      <c r="F1754" t="s">
        <v>2544</v>
      </c>
      <c r="G1754" t="str" cm="1">
        <f t="array" ref="G1754" xml:space="preserve"> FindCountryName(F1754)</f>
        <v>Austria</v>
      </c>
      <c r="H1754" s="1">
        <v>45286.500231481485</v>
      </c>
      <c r="I1754" s="1">
        <v>45286.500231481485</v>
      </c>
      <c r="J1754" s="1">
        <v>42773.407986111109</v>
      </c>
      <c r="K1754" cm="1">
        <f t="array" ref="K1754" xml:space="preserve"> sentimentCalc(C1754)</f>
        <v>-9</v>
      </c>
      <c r="L1754" t="str" cm="1">
        <f t="array" ref="L1754" xml:space="preserve"> sentimentCategory(K1754)</f>
        <v>Negative</v>
      </c>
    </row>
    <row r="1755" spans="1:12">
      <c r="A1755" t="s">
        <v>2591</v>
      </c>
      <c r="B1755" t="s">
        <v>2590</v>
      </c>
      <c r="C1755" t="str" cm="1">
        <f t="array" ref="C1755" xml:space="preserve"> CleanText(B1755)</f>
        <v>where is my toph</v>
      </c>
      <c r="D1755">
        <v>0</v>
      </c>
      <c r="E1755">
        <v>2</v>
      </c>
      <c r="F1755" t="s">
        <v>0</v>
      </c>
      <c r="G1755" t="str" cm="1">
        <f t="array" ref="G1755" xml:space="preserve"> FindCountryName(F1755)</f>
        <v>None</v>
      </c>
      <c r="H1755" s="1">
        <v>45286.415960648148</v>
      </c>
      <c r="I1755" s="1">
        <v>45286.415960648148</v>
      </c>
      <c r="J1755" s="1">
        <v>43670.275578703702</v>
      </c>
      <c r="K1755" cm="1">
        <f t="array" ref="K1755" xml:space="preserve"> sentimentCalc(C1755)</f>
        <v>0</v>
      </c>
      <c r="L1755" t="str" cm="1">
        <f t="array" ref="L1755" xml:space="preserve"> sentimentCategory(K1755)</f>
        <v>Neutral</v>
      </c>
    </row>
    <row r="1756" spans="1:12">
      <c r="A1756" t="s">
        <v>139</v>
      </c>
      <c r="B1756" t="s">
        <v>2589</v>
      </c>
      <c r="C1756" t="str" cm="1">
        <f t="array" ref="C1756" xml:space="preserve"> CleanText(B1756)</f>
        <v>cool trailer mr night broke my heart many years ago please dont break it again netflix</v>
      </c>
      <c r="D1756">
        <v>0</v>
      </c>
      <c r="E1756">
        <v>0</v>
      </c>
      <c r="F1756" t="s">
        <v>0</v>
      </c>
      <c r="G1756" t="str" cm="1">
        <f t="array" ref="G1756" xml:space="preserve"> FindCountryName(F1756)</f>
        <v>None</v>
      </c>
      <c r="H1756" s="1">
        <v>45286.411643518521</v>
      </c>
      <c r="I1756" s="1">
        <v>45286.411643518521</v>
      </c>
      <c r="J1756" s="1">
        <v>41329.556018518517</v>
      </c>
      <c r="K1756" cm="1">
        <f t="array" ref="K1756" xml:space="preserve"> sentimentCalc(C1756)</f>
        <v>1</v>
      </c>
      <c r="L1756" t="str" cm="1">
        <f t="array" ref="L1756" xml:space="preserve"> sentimentCategory(K1756)</f>
        <v>Positive</v>
      </c>
    </row>
    <row r="1757" spans="1:12">
      <c r="A1757" t="s">
        <v>221</v>
      </c>
      <c r="B1757" t="s">
        <v>2588</v>
      </c>
      <c r="C1757" t="str" cm="1">
        <f t="array" ref="C1757" xml:space="preserve"> CleanText(B1757)</f>
        <v>this literally looks like last airbender just with the right ethnicities its going to be absolute garbage the tone looks bland the actors look like cosplayers more than ever and theres no dialogue because they have no good dialogue to put in the trailer but hey you people eat up anything nowadays so enjoy your mind numbing entertainment morons</v>
      </c>
      <c r="D1757">
        <v>0</v>
      </c>
      <c r="E1757">
        <v>6</v>
      </c>
      <c r="F1757" t="s">
        <v>0</v>
      </c>
      <c r="G1757" t="str" cm="1">
        <f t="array" ref="G1757" xml:space="preserve"> FindCountryName(F1757)</f>
        <v>None</v>
      </c>
      <c r="H1757" s="1">
        <v>45286.408055555556</v>
      </c>
      <c r="I1757" s="1">
        <v>45286.408055555556</v>
      </c>
      <c r="J1757" s="1">
        <v>40955.773819444446</v>
      </c>
      <c r="K1757" cm="1">
        <f t="array" ref="K1757" xml:space="preserve"> sentimentCalc(C1757)</f>
        <v>7</v>
      </c>
      <c r="L1757" t="str" cm="1">
        <f t="array" ref="L1757" xml:space="preserve"> sentimentCategory(K1757)</f>
        <v>Positive</v>
      </c>
    </row>
    <row r="1758" spans="1:12">
      <c r="A1758" t="s">
        <v>2587</v>
      </c>
      <c r="B1758" t="s">
        <v>2586</v>
      </c>
      <c r="C1758" t="str" cm="1">
        <f t="array" ref="C1758" xml:space="preserve"> CleanText(B1758)</f>
        <v>please be good</v>
      </c>
      <c r="D1758">
        <v>0</v>
      </c>
      <c r="E1758">
        <v>0</v>
      </c>
      <c r="F1758" t="s">
        <v>0</v>
      </c>
      <c r="G1758" t="str" cm="1">
        <f t="array" ref="G1758" xml:space="preserve"> FindCountryName(F1758)</f>
        <v>None</v>
      </c>
      <c r="H1758" s="1">
        <v>45286.382638888892</v>
      </c>
      <c r="I1758" s="1">
        <v>45286.382638888892</v>
      </c>
      <c r="J1758" s="1">
        <v>40627.7109375</v>
      </c>
      <c r="K1758" cm="1">
        <f t="array" ref="K1758" xml:space="preserve"> sentimentCalc(C1758)</f>
        <v>4</v>
      </c>
      <c r="L1758" t="str" cm="1">
        <f t="array" ref="L1758" xml:space="preserve"> sentimentCategory(K1758)</f>
        <v>Positive</v>
      </c>
    </row>
    <row r="1759" spans="1:12">
      <c r="A1759" t="s">
        <v>2585</v>
      </c>
      <c r="B1759" t="s">
        <v>2584</v>
      </c>
      <c r="C1759" t="str" cm="1">
        <f t="array" ref="C1759" xml:space="preserve"> CleanText(B1759)</f>
        <v>initial concerns are theres only  episodes in the first season dunno if that means that theyll be a lot of seasons or if itll all be condensed there were 0 episodes in the first season of the original series</v>
      </c>
      <c r="D1759">
        <v>0</v>
      </c>
      <c r="E1759">
        <v>1</v>
      </c>
      <c r="F1759" t="s">
        <v>0</v>
      </c>
      <c r="G1759" t="str" cm="1">
        <f t="array" ref="G1759" xml:space="preserve"> FindCountryName(F1759)</f>
        <v>None</v>
      </c>
      <c r="H1759" s="1">
        <v>45286.361307870371</v>
      </c>
      <c r="I1759" s="1">
        <v>45286.361307870371</v>
      </c>
      <c r="J1759" s="1">
        <v>40887.93953703704</v>
      </c>
      <c r="K1759" cm="1">
        <f t="array" ref="K1759" xml:space="preserve"> sentimentCalc(C1759)</f>
        <v>0</v>
      </c>
      <c r="L1759" t="str" cm="1">
        <f t="array" ref="L1759" xml:space="preserve"> sentimentCategory(K1759)</f>
        <v>Neutral</v>
      </c>
    </row>
    <row r="1760" spans="1:12">
      <c r="A1760" t="s">
        <v>640</v>
      </c>
      <c r="B1760" t="s">
        <v>2583</v>
      </c>
      <c r="C1760" t="str" cm="1">
        <f t="array" ref="C1760" xml:space="preserve"> CleanText(B1760)</f>
        <v>theres one thing i cant understand why are you reshooting something that already works its not enough for you to cover you with dicks  you are again touching something almost sacred it worked once with one piece do you think it will always work well once a year the stick shoots</v>
      </c>
      <c r="D1760">
        <v>0</v>
      </c>
      <c r="E1760">
        <v>0</v>
      </c>
      <c r="F1760" t="s">
        <v>0</v>
      </c>
      <c r="G1760" t="str" cm="1">
        <f t="array" ref="G1760" xml:space="preserve"> FindCountryName(F1760)</f>
        <v>None</v>
      </c>
      <c r="H1760" s="1">
        <v>45286.339212962965</v>
      </c>
      <c r="I1760" s="1">
        <v>45286.339212962965</v>
      </c>
      <c r="J1760" s="1">
        <v>42007.299328703702</v>
      </c>
      <c r="K1760" cm="1">
        <f t="array" ref="K1760" xml:space="preserve"> sentimentCalc(C1760)</f>
        <v>0</v>
      </c>
      <c r="L1760" t="str" cm="1">
        <f t="array" ref="L1760" xml:space="preserve"> sentimentCategory(K1760)</f>
        <v>Neutral</v>
      </c>
    </row>
    <row r="1761" spans="1:12">
      <c r="A1761" t="s">
        <v>2582</v>
      </c>
      <c r="B1761" t="s">
        <v>2581</v>
      </c>
      <c r="C1761" t="str" cm="1">
        <f t="array" ref="C1761" xml:space="preserve"> CleanText(B1761)</f>
        <v>please be better then the movie</v>
      </c>
      <c r="D1761">
        <v>0</v>
      </c>
      <c r="E1761">
        <v>0</v>
      </c>
      <c r="F1761" t="s">
        <v>0</v>
      </c>
      <c r="G1761" t="str" cm="1">
        <f t="array" ref="G1761" xml:space="preserve"> FindCountryName(F1761)</f>
        <v>None</v>
      </c>
      <c r="H1761" s="1">
        <v>45286.328935185185</v>
      </c>
      <c r="I1761" s="1">
        <v>45286.328935185185</v>
      </c>
      <c r="J1761" s="1">
        <v>42819.528680555559</v>
      </c>
      <c r="K1761" cm="1">
        <f t="array" ref="K1761" xml:space="preserve"> sentimentCalc(C1761)</f>
        <v>3</v>
      </c>
      <c r="L1761" t="str" cm="1">
        <f t="array" ref="L1761" xml:space="preserve"> sentimentCategory(K1761)</f>
        <v>Positive</v>
      </c>
    </row>
    <row r="1762" spans="1:12">
      <c r="A1762" t="s">
        <v>2349</v>
      </c>
      <c r="B1762" t="s">
        <v>2580</v>
      </c>
      <c r="C1762" t="str" cm="1">
        <f t="array" ref="C1762" xml:space="preserve"> CleanText(B1762)</f>
        <v>horrible cast of course</v>
      </c>
      <c r="D1762">
        <v>1</v>
      </c>
      <c r="E1762">
        <v>1</v>
      </c>
      <c r="F1762" t="s">
        <v>19</v>
      </c>
      <c r="G1762" t="str" cm="1">
        <f t="array" ref="G1762" xml:space="preserve"> FindCountryName(F1762)</f>
        <v>United States of America (the)</v>
      </c>
      <c r="H1762" s="1">
        <v>45286.296886574077</v>
      </c>
      <c r="I1762" s="1">
        <v>45286.296886574077</v>
      </c>
      <c r="J1762" s="1">
        <v>39742.25545138889</v>
      </c>
      <c r="K1762" cm="1">
        <f t="array" ref="K1762" xml:space="preserve"> sentimentCalc(C1762)</f>
        <v>-3</v>
      </c>
      <c r="L1762" t="str" cm="1">
        <f t="array" ref="L1762" xml:space="preserve"> sentimentCategory(K1762)</f>
        <v>Negative</v>
      </c>
    </row>
    <row r="1763" spans="1:12">
      <c r="A1763" t="s">
        <v>1522</v>
      </c>
      <c r="B1763" t="s">
        <v>2579</v>
      </c>
      <c r="C1763" t="str" cm="1">
        <f t="array" ref="C1763" xml:space="preserve"> CleanText(B1763)</f>
        <v>why is uncle iroh looking like monkey king in this</v>
      </c>
      <c r="D1763">
        <v>0</v>
      </c>
      <c r="E1763">
        <v>0</v>
      </c>
      <c r="F1763" t="s">
        <v>0</v>
      </c>
      <c r="G1763" t="str" cm="1">
        <f t="array" ref="G1763" xml:space="preserve"> FindCountryName(F1763)</f>
        <v>None</v>
      </c>
      <c r="H1763" s="1">
        <v>45286.092824074076</v>
      </c>
      <c r="I1763" s="1">
        <v>45286.092824074076</v>
      </c>
      <c r="J1763" s="1">
        <v>42014.266539351855</v>
      </c>
      <c r="K1763" cm="1">
        <f t="array" ref="K1763" xml:space="preserve"> sentimentCalc(C1763)</f>
        <v>2</v>
      </c>
      <c r="L1763" t="str" cm="1">
        <f t="array" ref="L1763" xml:space="preserve"> sentimentCategory(K1763)</f>
        <v>Positive</v>
      </c>
    </row>
    <row r="1764" spans="1:12">
      <c r="A1764" t="s">
        <v>774</v>
      </c>
      <c r="B1764" t="s">
        <v>2578</v>
      </c>
      <c r="C1764" t="str" cm="1">
        <f t="array" ref="C1764" xml:space="preserve"> CleanText(B1764)</f>
        <v>just looks like an over cgied bore fest nothing will beat the original animated series so why bother trying to make it in live action</v>
      </c>
      <c r="D1764">
        <v>1</v>
      </c>
      <c r="E1764">
        <v>0</v>
      </c>
      <c r="F1764" t="s">
        <v>19</v>
      </c>
      <c r="G1764" t="str" cm="1">
        <f t="array" ref="G1764" xml:space="preserve"> FindCountryName(F1764)</f>
        <v>United States of America (the)</v>
      </c>
      <c r="H1764" s="1">
        <v>45286.029756944445</v>
      </c>
      <c r="I1764" s="1">
        <v>45286.029756944445</v>
      </c>
      <c r="J1764" s="1">
        <v>43117.727442129632</v>
      </c>
      <c r="K1764" cm="1">
        <f t="array" ref="K1764" xml:space="preserve"> sentimentCalc(C1764)</f>
        <v>-2</v>
      </c>
      <c r="L1764" t="str" cm="1">
        <f t="array" ref="L1764" xml:space="preserve"> sentimentCategory(K1764)</f>
        <v>Negative</v>
      </c>
    </row>
    <row r="1765" spans="1:12">
      <c r="A1765" t="s">
        <v>2577</v>
      </c>
      <c r="B1765" t="s">
        <v>2576</v>
      </c>
      <c r="C1765" t="str" cm="1">
        <f t="array" ref="C1765" xml:space="preserve"> CleanText(B1765)</f>
        <v>this just looks bad again im sure it wont be as bad as the movie but why do they keep pushing adaptions im sure they can make more avatar cartoons that would be way better</v>
      </c>
      <c r="D1765">
        <v>0</v>
      </c>
      <c r="E1765">
        <v>0</v>
      </c>
      <c r="F1765" t="s">
        <v>1961</v>
      </c>
      <c r="G1765" t="str" cm="1">
        <f t="array" ref="G1765" xml:space="preserve"> FindCountryName(F1765)</f>
        <v>Australia</v>
      </c>
      <c r="H1765" s="1">
        <v>45286.017766203702</v>
      </c>
      <c r="I1765" s="1">
        <v>45286.017766203702</v>
      </c>
      <c r="J1765" s="1">
        <v>39347.713495370372</v>
      </c>
      <c r="K1765" cm="1">
        <f t="array" ref="K1765" xml:space="preserve"> sentimentCalc(C1765)</f>
        <v>-4</v>
      </c>
      <c r="L1765" t="str" cm="1">
        <f t="array" ref="L1765" xml:space="preserve"> sentimentCategory(K1765)</f>
        <v>Negative</v>
      </c>
    </row>
    <row r="1766" spans="1:12">
      <c r="A1766" t="s">
        <v>2575</v>
      </c>
      <c r="B1766" t="s">
        <v>2574</v>
      </c>
      <c r="C1766" t="str" cm="1">
        <f t="array" ref="C1766" xml:space="preserve"> CleanText(B1766)</f>
        <v>cgi on that flying mount looked a little worrisome</v>
      </c>
      <c r="D1766">
        <v>0</v>
      </c>
      <c r="E1766">
        <v>0</v>
      </c>
      <c r="F1766" t="s">
        <v>0</v>
      </c>
      <c r="G1766" t="str" cm="1">
        <f t="array" ref="G1766" xml:space="preserve"> FindCountryName(F1766)</f>
        <v>None</v>
      </c>
      <c r="H1766" s="1">
        <v>45286.010763888888</v>
      </c>
      <c r="I1766" s="1">
        <v>45286.010763888888</v>
      </c>
      <c r="J1766" s="1">
        <v>44909.332453703704</v>
      </c>
      <c r="K1766" cm="1">
        <f t="array" ref="K1766" xml:space="preserve"> sentimentCalc(C1766)</f>
        <v>0</v>
      </c>
      <c r="L1766" t="str" cm="1">
        <f t="array" ref="L1766" xml:space="preserve"> sentimentCategory(K1766)</f>
        <v>Neutral</v>
      </c>
    </row>
    <row r="1767" spans="1:12">
      <c r="A1767" t="s">
        <v>483</v>
      </c>
      <c r="B1767" t="s">
        <v>2573</v>
      </c>
      <c r="C1767" t="str" cm="1">
        <f t="array" ref="C1767" xml:space="preserve"> CleanText(B1767)</f>
        <v>hmm cgi looks bad maybe that means the budget went in to a good script might seem a little judgemental but weve been hurt too many times now netflix and im not sure how much longer i can keep loving you</v>
      </c>
      <c r="D1767">
        <v>0</v>
      </c>
      <c r="E1767">
        <v>0</v>
      </c>
      <c r="F1767" t="s">
        <v>0</v>
      </c>
      <c r="G1767" t="str" cm="1">
        <f t="array" ref="G1767" xml:space="preserve"> FindCountryName(F1767)</f>
        <v>None</v>
      </c>
      <c r="H1767" s="1">
        <v>45286.001087962963</v>
      </c>
      <c r="I1767" s="1">
        <v>45286.001087962963</v>
      </c>
      <c r="J1767" s="1">
        <v>41434.549837962964</v>
      </c>
      <c r="K1767" cm="1">
        <f t="array" ref="K1767" xml:space="preserve"> sentimentCalc(C1767)</f>
        <v>0</v>
      </c>
      <c r="L1767" t="str" cm="1">
        <f t="array" ref="L1767" xml:space="preserve"> sentimentCategory(K1767)</f>
        <v>Neutral</v>
      </c>
    </row>
    <row r="1768" spans="1:12">
      <c r="A1768" t="s">
        <v>2287</v>
      </c>
      <c r="B1768" t="s">
        <v>2572</v>
      </c>
      <c r="C1768" t="str" cm="1">
        <f t="array" ref="C1768" xml:space="preserve"> CleanText(B1768)</f>
        <v>they just dont want darker skinned characters like the cartoon</v>
      </c>
      <c r="D1768">
        <v>1</v>
      </c>
      <c r="E1768">
        <v>0</v>
      </c>
      <c r="F1768" t="s">
        <v>0</v>
      </c>
      <c r="G1768" t="str" cm="1">
        <f t="array" ref="G1768" xml:space="preserve"> FindCountryName(F1768)</f>
        <v>None</v>
      </c>
      <c r="H1768" s="1">
        <v>45285.921319444446</v>
      </c>
      <c r="I1768" s="1">
        <v>45285.921319444446</v>
      </c>
      <c r="J1768" s="1">
        <v>40850.828298611108</v>
      </c>
      <c r="K1768" cm="1">
        <f t="array" ref="K1768" xml:space="preserve"> sentimentCalc(C1768)</f>
        <v>3</v>
      </c>
      <c r="L1768" t="str" cm="1">
        <f t="array" ref="L1768" xml:space="preserve"> sentimentCategory(K1768)</f>
        <v>Positive</v>
      </c>
    </row>
    <row r="1769" spans="1:12">
      <c r="A1769" t="s">
        <v>717</v>
      </c>
      <c r="B1769" t="s">
        <v>2571</v>
      </c>
      <c r="C1769" t="str" cm="1">
        <f t="array" ref="C1769" xml:space="preserve"> CleanText(B1769)</f>
        <v>where is toph!</v>
      </c>
      <c r="D1769">
        <v>0</v>
      </c>
      <c r="E1769">
        <v>2</v>
      </c>
      <c r="F1769" t="s">
        <v>0</v>
      </c>
      <c r="G1769" t="str" cm="1">
        <f t="array" ref="G1769" xml:space="preserve"> FindCountryName(F1769)</f>
        <v>None</v>
      </c>
      <c r="H1769" s="1">
        <v>45285.910682870373</v>
      </c>
      <c r="I1769" s="1">
        <v>45285.910682870373</v>
      </c>
      <c r="J1769" s="1">
        <v>44075.773506944446</v>
      </c>
      <c r="K1769" cm="1">
        <f t="array" ref="K1769" xml:space="preserve"> sentimentCalc(C1769)</f>
        <v>0</v>
      </c>
      <c r="L1769" t="str" cm="1">
        <f t="array" ref="L1769" xml:space="preserve"> sentimentCategory(K1769)</f>
        <v>Neutral</v>
      </c>
    </row>
    <row r="1770" spans="1:12">
      <c r="A1770" t="s">
        <v>2453</v>
      </c>
      <c r="B1770" t="s">
        <v>2570</v>
      </c>
      <c r="C1770" t="str" cm="1">
        <f t="array" ref="C1770" xml:space="preserve"> CleanText(B1770)</f>
        <v>bahahaha you  think netflix of all producers will make a watchable avatar adaption jeez you guys are delusional</v>
      </c>
      <c r="D1770">
        <v>1</v>
      </c>
      <c r="E1770">
        <v>0</v>
      </c>
      <c r="F1770" t="s">
        <v>0</v>
      </c>
      <c r="G1770" t="str" cm="1">
        <f t="array" ref="G1770" xml:space="preserve"> FindCountryName(F1770)</f>
        <v>None</v>
      </c>
      <c r="H1770" s="1">
        <v>45285.906967592593</v>
      </c>
      <c r="I1770" s="1">
        <v>45285.906967592593</v>
      </c>
      <c r="J1770" s="1">
        <v>39806.709432870368</v>
      </c>
      <c r="K1770" cm="1">
        <f t="array" ref="K1770" xml:space="preserve"> sentimentCalc(C1770)</f>
        <v>0</v>
      </c>
      <c r="L1770" t="str" cm="1">
        <f t="array" ref="L1770" xml:space="preserve"> sentimentCategory(K1770)</f>
        <v>Neutral</v>
      </c>
    </row>
    <row r="1771" spans="1:12">
      <c r="A1771" t="s">
        <v>2569</v>
      </c>
      <c r="B1771" t="s">
        <v>2568</v>
      </c>
      <c r="C1771" t="str" cm="1">
        <f t="array" ref="C1771" xml:space="preserve"> CleanText(B1771)</f>
        <v>why am i feeling a turn in the adaption world</v>
      </c>
      <c r="D1771">
        <v>0</v>
      </c>
      <c r="E1771">
        <v>0</v>
      </c>
      <c r="F1771" t="s">
        <v>0</v>
      </c>
      <c r="G1771" t="str" cm="1">
        <f t="array" ref="G1771" xml:space="preserve"> FindCountryName(F1771)</f>
        <v>None</v>
      </c>
      <c r="H1771" s="1">
        <v>45285.877662037034</v>
      </c>
      <c r="I1771" s="1">
        <v>45285.877662037034</v>
      </c>
      <c r="J1771" s="1">
        <v>41384.790266203701</v>
      </c>
      <c r="K1771" cm="1">
        <f t="array" ref="K1771" xml:space="preserve"> sentimentCalc(C1771)</f>
        <v>1</v>
      </c>
      <c r="L1771" t="str" cm="1">
        <f t="array" ref="L1771" xml:space="preserve"> sentimentCategory(K1771)</f>
        <v>Positive</v>
      </c>
    </row>
    <row r="1772" spans="1:12">
      <c r="A1772" t="s">
        <v>2567</v>
      </c>
      <c r="B1772" t="s">
        <v>2566</v>
      </c>
      <c r="C1772" t="str" cm="1">
        <f t="array" ref="C1772" xml:space="preserve"> CleanText(B1772)</f>
        <v>this has nothing to do with the messed up one from years ago i hope so</v>
      </c>
      <c r="D1772">
        <v>1</v>
      </c>
      <c r="E1772">
        <v>0</v>
      </c>
      <c r="F1772" t="s">
        <v>0</v>
      </c>
      <c r="G1772" t="str" cm="1">
        <f t="array" ref="G1772" xml:space="preserve"> FindCountryName(F1772)</f>
        <v>None</v>
      </c>
      <c r="H1772" s="1">
        <v>45285.874768518515</v>
      </c>
      <c r="I1772" s="1">
        <v>45285.874768518515</v>
      </c>
      <c r="J1772" s="1">
        <v>40243.249247685184</v>
      </c>
      <c r="K1772" cm="1">
        <f t="array" ref="K1772" xml:space="preserve"> sentimentCalc(C1772)</f>
        <v>0</v>
      </c>
      <c r="L1772" t="str" cm="1">
        <f t="array" ref="L1772" xml:space="preserve"> sentimentCategory(K1772)</f>
        <v>Neutral</v>
      </c>
    </row>
    <row r="1773" spans="1:12">
      <c r="A1773" t="s">
        <v>2565</v>
      </c>
      <c r="B1773" t="s">
        <v>2564</v>
      </c>
      <c r="C1773" t="str" cm="1">
        <f t="array" ref="C1773" xml:space="preserve"> CleanText(B1773)</f>
        <v>this is bs_xDE2E_</v>
      </c>
      <c r="D1773">
        <v>1</v>
      </c>
      <c r="E1773">
        <v>0</v>
      </c>
      <c r="F1773" t="s">
        <v>0</v>
      </c>
      <c r="G1773" t="str" cm="1">
        <f t="array" ref="G1773" xml:space="preserve"> FindCountryName(F1773)</f>
        <v>None</v>
      </c>
      <c r="H1773" s="1">
        <v>45285.848749999997</v>
      </c>
      <c r="I1773" s="1">
        <v>45285.848749999997</v>
      </c>
      <c r="J1773" s="1">
        <v>45157.763703703706</v>
      </c>
      <c r="K1773" cm="1">
        <f t="array" ref="K1773" xml:space="preserve"> sentimentCalc(C1773)</f>
        <v>0</v>
      </c>
      <c r="L1773" t="str" cm="1">
        <f t="array" ref="L1773" xml:space="preserve"> sentimentCategory(K1773)</f>
        <v>Neutral</v>
      </c>
    </row>
    <row r="1774" spans="1:12">
      <c r="A1774" t="s">
        <v>291</v>
      </c>
      <c r="B1774" t="s">
        <v>2563</v>
      </c>
      <c r="C1774" t="str" cm="1">
        <f t="array" ref="C1774" xml:space="preserve"> CleanText(B1774)</f>
        <v>abibas habibi</v>
      </c>
      <c r="D1774">
        <v>0</v>
      </c>
      <c r="E1774">
        <v>0</v>
      </c>
      <c r="F1774" t="s">
        <v>0</v>
      </c>
      <c r="G1774" t="str" cm="1">
        <f t="array" ref="G1774" xml:space="preserve"> FindCountryName(F1774)</f>
        <v>None</v>
      </c>
      <c r="H1774" s="1">
        <v>45285.797534722224</v>
      </c>
      <c r="I1774" s="1">
        <v>45285.797534722224</v>
      </c>
      <c r="J1774" s="1">
        <v>41995.306770833333</v>
      </c>
      <c r="K1774" cm="1">
        <f t="array" ref="K1774" xml:space="preserve"> sentimentCalc(C1774)</f>
        <v>0</v>
      </c>
      <c r="L1774" t="str" cm="1">
        <f t="array" ref="L1774" xml:space="preserve"> sentimentCategory(K1774)</f>
        <v>Neutral</v>
      </c>
    </row>
    <row r="1775" spans="1:12">
      <c r="A1775" t="s">
        <v>2354</v>
      </c>
      <c r="B1775" t="s">
        <v>2562</v>
      </c>
      <c r="C1775" t="str" cm="1">
        <f t="array" ref="C1775" xml:space="preserve"> CleanText(B1775)</f>
        <v>تس   ص  ي n</v>
      </c>
      <c r="D1775">
        <v>0</v>
      </c>
      <c r="E1775">
        <v>0</v>
      </c>
      <c r="F1775" t="s">
        <v>2284</v>
      </c>
      <c r="G1775" t="str" cm="1">
        <f t="array" ref="G1775" xml:space="preserve"> FindCountryName(F1775)</f>
        <v>United Arab Emirates (the)</v>
      </c>
      <c r="H1775" s="1">
        <v>45285.794444444444</v>
      </c>
      <c r="I1775" s="1">
        <v>45285.794444444444</v>
      </c>
      <c r="J1775" s="1">
        <v>41772.5703587963</v>
      </c>
      <c r="K1775" cm="1">
        <f t="array" ref="K1775" xml:space="preserve"> sentimentCalc(C1775)</f>
        <v>0</v>
      </c>
      <c r="L1775" t="str" cm="1">
        <f t="array" ref="L1775" xml:space="preserve"> sentimentCategory(K1775)</f>
        <v>Neutral</v>
      </c>
    </row>
    <row r="1776" spans="1:12">
      <c r="A1776" t="s">
        <v>882</v>
      </c>
      <c r="B1776" t="s">
        <v>2561</v>
      </c>
      <c r="C1776" t="str" cm="1">
        <f t="array" ref="C1776" xml:space="preserve"> CleanText(B1776)</f>
        <v>im suprised that they didnt cast a black actor to play him</v>
      </c>
      <c r="D1776">
        <v>0</v>
      </c>
      <c r="E1776">
        <v>0</v>
      </c>
      <c r="F1776" t="s">
        <v>0</v>
      </c>
      <c r="G1776" t="str" cm="1">
        <f t="array" ref="G1776" xml:space="preserve"> FindCountryName(F1776)</f>
        <v>None</v>
      </c>
      <c r="H1776" s="1">
        <v>45285.777407407404</v>
      </c>
      <c r="I1776" s="1">
        <v>45285.777407407404</v>
      </c>
      <c r="J1776" s="1">
        <v>45188.685555555552</v>
      </c>
      <c r="K1776" cm="1">
        <f t="array" ref="K1776" xml:space="preserve"> sentimentCalc(C1776)</f>
        <v>0</v>
      </c>
      <c r="L1776" t="str" cm="1">
        <f t="array" ref="L1776" xml:space="preserve"> sentimentCategory(K1776)</f>
        <v>Neutral</v>
      </c>
    </row>
    <row r="1777" spans="1:12">
      <c r="A1777" t="s">
        <v>694</v>
      </c>
      <c r="B1777" t="s">
        <v>2560</v>
      </c>
      <c r="C1777" t="str" cm="1">
        <f t="array" ref="C1777" xml:space="preserve"> CleanText(B1777)</f>
        <v>looks promisingsokka and toph better be funny</v>
      </c>
      <c r="D1777">
        <v>1</v>
      </c>
      <c r="E1777">
        <v>0</v>
      </c>
      <c r="F1777" t="s">
        <v>0</v>
      </c>
      <c r="G1777" t="str" cm="1">
        <f t="array" ref="G1777" xml:space="preserve"> FindCountryName(F1777)</f>
        <v>None</v>
      </c>
      <c r="H1777" s="1">
        <v>45285.774791666663</v>
      </c>
      <c r="I1777" s="1">
        <v>45285.774791666663</v>
      </c>
      <c r="J1777" s="1">
        <v>41203.986759259256</v>
      </c>
      <c r="K1777" cm="1">
        <f t="array" ref="K1777" xml:space="preserve"> sentimentCalc(C1777)</f>
        <v>6</v>
      </c>
      <c r="L1777" t="str" cm="1">
        <f t="array" ref="L1777" xml:space="preserve"> sentimentCategory(K1777)</f>
        <v>Positive</v>
      </c>
    </row>
    <row r="1778" spans="1:12">
      <c r="A1778" t="s">
        <v>1337</v>
      </c>
      <c r="B1778" t="s">
        <v>2559</v>
      </c>
      <c r="C1778" t="str" cm="1">
        <f t="array" ref="C1778" xml:space="preserve"> CleanText(B1778)</f>
        <v>bruh why they do that to katara</v>
      </c>
      <c r="D1778">
        <v>1</v>
      </c>
      <c r="E1778">
        <v>1</v>
      </c>
      <c r="F1778" t="s">
        <v>0</v>
      </c>
      <c r="G1778" t="str" cm="1">
        <f t="array" ref="G1778" xml:space="preserve"> FindCountryName(F1778)</f>
        <v>None</v>
      </c>
      <c r="H1778" s="1">
        <v>45285.765567129631</v>
      </c>
      <c r="I1778" s="1">
        <v>45285.765567129631</v>
      </c>
      <c r="J1778" s="1">
        <v>41452.893634259257</v>
      </c>
      <c r="K1778" cm="1">
        <f t="array" ref="K1778" xml:space="preserve"> sentimentCalc(C1778)</f>
        <v>0</v>
      </c>
      <c r="L1778" t="str" cm="1">
        <f t="array" ref="L1778" xml:space="preserve"> sentimentCategory(K1778)</f>
        <v>Neutral</v>
      </c>
    </row>
    <row r="1779" spans="1:12">
      <c r="A1779" t="s">
        <v>26</v>
      </c>
      <c r="B1779" t="s">
        <v>2558</v>
      </c>
      <c r="C1779" t="str" cm="1">
        <f t="array" ref="C1779" xml:space="preserve"> CleanText(B1779)</f>
        <v>this does not look good</v>
      </c>
      <c r="D1779">
        <v>1</v>
      </c>
      <c r="E1779">
        <v>0</v>
      </c>
      <c r="F1779" t="s">
        <v>0</v>
      </c>
      <c r="G1779" t="str" cm="1">
        <f t="array" ref="G1779" xml:space="preserve"> FindCountryName(F1779)</f>
        <v>None</v>
      </c>
      <c r="H1779" s="1">
        <v>45285.745891203704</v>
      </c>
      <c r="I1779" s="1">
        <v>45285.745891203704</v>
      </c>
      <c r="J1779" s="1">
        <v>42457.047395833331</v>
      </c>
      <c r="K1779" cm="1">
        <f t="array" ref="K1779" xml:space="preserve"> sentimentCalc(C1779)</f>
        <v>3</v>
      </c>
      <c r="L1779" t="str" cm="1">
        <f t="array" ref="L1779" xml:space="preserve"> sentimentCategory(K1779)</f>
        <v>Positive</v>
      </c>
    </row>
    <row r="1780" spans="1:12">
      <c r="A1780" t="s">
        <v>606</v>
      </c>
      <c r="B1780" t="s">
        <v>2557</v>
      </c>
      <c r="C1780" t="str" cm="1">
        <f t="array" ref="C1780" xml:space="preserve"> CleanText(B1780)</f>
        <v>if they keep inclusion and diversity out and just cast appropriately this movie has a chance  i really hope it works</v>
      </c>
      <c r="D1780">
        <v>0</v>
      </c>
      <c r="E1780">
        <v>0</v>
      </c>
      <c r="F1780" t="s">
        <v>0</v>
      </c>
      <c r="G1780" t="str" cm="1">
        <f t="array" ref="G1780" xml:space="preserve"> FindCountryName(F1780)</f>
        <v>None</v>
      </c>
      <c r="H1780" s="1">
        <v>45285.716145833336</v>
      </c>
      <c r="I1780" s="1">
        <v>45285.716145833336</v>
      </c>
      <c r="J1780" s="1">
        <v>39569.880023148151</v>
      </c>
      <c r="K1780" cm="1">
        <f t="array" ref="K1780" xml:space="preserve"> sentimentCalc(C1780)</f>
        <v>4</v>
      </c>
      <c r="L1780" t="str" cm="1">
        <f t="array" ref="L1780" xml:space="preserve"> sentimentCategory(K1780)</f>
        <v>Positive</v>
      </c>
    </row>
    <row r="1781" spans="1:12">
      <c r="A1781" t="s">
        <v>2556</v>
      </c>
      <c r="B1781" t="s">
        <v>2555</v>
      </c>
      <c r="C1781" t="str" cm="1">
        <f t="array" ref="C1781" xml:space="preserve"> CleanText(B1781)</f>
        <v>у ке  n</v>
      </c>
      <c r="D1781">
        <v>0</v>
      </c>
      <c r="E1781">
        <v>0</v>
      </c>
      <c r="F1781" t="s">
        <v>2554</v>
      </c>
      <c r="G1781" t="str" cm="1">
        <f t="array" ref="G1781" xml:space="preserve"> FindCountryName(F1781)</f>
        <v>Belarus</v>
      </c>
      <c r="H1781" s="1">
        <v>45285.710034722222</v>
      </c>
      <c r="I1781" s="1">
        <v>45285.710034722222</v>
      </c>
      <c r="J1781" s="1">
        <v>44563.497071759259</v>
      </c>
      <c r="K1781" cm="1">
        <f t="array" ref="K1781" xml:space="preserve"> sentimentCalc(C1781)</f>
        <v>0</v>
      </c>
      <c r="L1781" t="str" cm="1">
        <f t="array" ref="L1781" xml:space="preserve"> sentimentCategory(K1781)</f>
        <v>Neutral</v>
      </c>
    </row>
    <row r="1782" spans="1:12">
      <c r="A1782" t="s">
        <v>1121</v>
      </c>
      <c r="B1782" t="s">
        <v>2553</v>
      </c>
      <c r="C1782" t="str" cm="1">
        <f t="array" ref="C1782" xml:space="preserve"> CleanText(B1782)</f>
        <v>why i have de ja vu</v>
      </c>
      <c r="D1782">
        <v>0</v>
      </c>
      <c r="E1782">
        <v>0</v>
      </c>
      <c r="F1782" t="s">
        <v>0</v>
      </c>
      <c r="G1782" t="str" cm="1">
        <f t="array" ref="G1782" xml:space="preserve"> FindCountryName(F1782)</f>
        <v>None</v>
      </c>
      <c r="H1782" s="1">
        <v>45285.668877314813</v>
      </c>
      <c r="I1782" s="1">
        <v>45285.668877314813</v>
      </c>
      <c r="J1782" s="1">
        <v>41491.530115740738</v>
      </c>
      <c r="K1782" cm="1">
        <f t="array" ref="K1782" xml:space="preserve"> sentimentCalc(C1782)</f>
        <v>0</v>
      </c>
      <c r="L1782" t="str" cm="1">
        <f t="array" ref="L1782" xml:space="preserve"> sentimentCategory(K1782)</f>
        <v>Neutral</v>
      </c>
    </row>
    <row r="1783" spans="1:12">
      <c r="A1783" t="s">
        <v>86</v>
      </c>
      <c r="B1783" t="s">
        <v>2552</v>
      </c>
      <c r="C1783" t="str" cm="1">
        <f t="array" ref="C1783" xml:space="preserve"> CleanText(B1783)</f>
        <v>please dont ruin this they messed up the martial arts scenes so badly with the first live action</v>
      </c>
      <c r="D1783">
        <v>1</v>
      </c>
      <c r="E1783">
        <v>0</v>
      </c>
      <c r="F1783" t="s">
        <v>0</v>
      </c>
      <c r="G1783" t="str" cm="1">
        <f t="array" ref="G1783" xml:space="preserve"> FindCountryName(F1783)</f>
        <v>None</v>
      </c>
      <c r="H1783" s="1">
        <v>45285.607256944444</v>
      </c>
      <c r="I1783" s="1">
        <v>45285.607256944444</v>
      </c>
      <c r="J1783" s="1">
        <v>41075.536921296298</v>
      </c>
      <c r="K1783" cm="1">
        <f t="array" ref="K1783" xml:space="preserve"> sentimentCalc(C1783)</f>
        <v>-6</v>
      </c>
      <c r="L1783" t="str" cm="1">
        <f t="array" ref="L1783" xml:space="preserve"> sentimentCategory(K1783)</f>
        <v>Negative</v>
      </c>
    </row>
    <row r="1784" spans="1:12">
      <c r="A1784" t="s">
        <v>730</v>
      </c>
      <c r="B1784" t="s">
        <v>2551</v>
      </c>
      <c r="C1784" t="str" cm="1">
        <f t="array" ref="C1784" xml:space="preserve"> CleanText(B1784)</f>
        <v>otra pelicula donde katara es de piel blanca y no la morenasa de la serie</v>
      </c>
      <c r="D1784">
        <v>0</v>
      </c>
      <c r="E1784">
        <v>0</v>
      </c>
      <c r="F1784" t="s">
        <v>0</v>
      </c>
      <c r="G1784" t="str" cm="1">
        <f t="array" ref="G1784" xml:space="preserve"> FindCountryName(F1784)</f>
        <v>None</v>
      </c>
      <c r="H1784" s="1">
        <v>45285.595555555556</v>
      </c>
      <c r="I1784" s="1">
        <v>45285.595555555556</v>
      </c>
      <c r="J1784" s="1">
        <v>42703.889976851853</v>
      </c>
      <c r="K1784" cm="1">
        <f t="array" ref="K1784" xml:space="preserve"> sentimentCalc(C1784)</f>
        <v>-1</v>
      </c>
      <c r="L1784" t="str" cm="1">
        <f t="array" ref="L1784" xml:space="preserve"> sentimentCategory(K1784)</f>
        <v>Negative</v>
      </c>
    </row>
    <row r="1785" spans="1:12">
      <c r="A1785" t="s">
        <v>824</v>
      </c>
      <c r="B1785" t="s">
        <v>2550</v>
      </c>
      <c r="C1785" t="str" cm="1">
        <f t="array" ref="C1785" xml:space="preserve"> CleanText(B1785)</f>
        <v>the fact that the original show has had  adaptations and is still regarded as one of the best tv shows of all time is a true testament to the quality of this story i love atla</v>
      </c>
      <c r="D1785">
        <v>2899</v>
      </c>
      <c r="E1785">
        <v>31</v>
      </c>
      <c r="F1785" t="s">
        <v>0</v>
      </c>
      <c r="G1785" t="str" cm="1">
        <f t="array" ref="G1785" xml:space="preserve"> FindCountryName(F1785)</f>
        <v>None</v>
      </c>
      <c r="H1785" s="1">
        <v>45285.579363425924</v>
      </c>
      <c r="I1785" s="1">
        <v>45285.579363425924</v>
      </c>
      <c r="J1785" s="1">
        <v>44155.393252314818</v>
      </c>
      <c r="K1785" cm="1">
        <f t="array" ref="K1785" xml:space="preserve"> sentimentCalc(C1785)</f>
        <v>8</v>
      </c>
      <c r="L1785" t="str" cm="1">
        <f t="array" ref="L1785" xml:space="preserve"> sentimentCategory(K1785)</f>
        <v>Positive</v>
      </c>
    </row>
    <row r="1786" spans="1:12">
      <c r="A1786" t="s">
        <v>141</v>
      </c>
      <c r="B1786" t="s">
        <v>2549</v>
      </c>
      <c r="C1786" t="str" cm="1">
        <f t="array" ref="C1786" xml:space="preserve"> CleanText(B1786)</f>
        <v>anyone else scared theyre gonna do a crap job on this</v>
      </c>
      <c r="D1786">
        <v>0</v>
      </c>
      <c r="E1786">
        <v>0</v>
      </c>
      <c r="F1786" t="s">
        <v>0</v>
      </c>
      <c r="G1786" t="str" cm="1">
        <f t="array" ref="G1786" xml:space="preserve"> FindCountryName(F1786)</f>
        <v>None</v>
      </c>
      <c r="H1786" s="1">
        <v>45285.54923611111</v>
      </c>
      <c r="I1786" s="1">
        <v>45285.54923611111</v>
      </c>
      <c r="J1786" s="1">
        <v>44097.642083333332</v>
      </c>
      <c r="K1786" cm="1">
        <f t="array" ref="K1786" xml:space="preserve"> sentimentCalc(C1786)</f>
        <v>-5</v>
      </c>
      <c r="L1786" t="str" cm="1">
        <f t="array" ref="L1786" xml:space="preserve"> sentimentCategory(K1786)</f>
        <v>Negative</v>
      </c>
    </row>
    <row r="1787" spans="1:12">
      <c r="A1787" t="s">
        <v>1048</v>
      </c>
      <c r="B1787" t="s">
        <v>2548</v>
      </c>
      <c r="C1787" t="str" cm="1">
        <f t="array" ref="C1787" xml:space="preserve"> CleanText(B1787)</f>
        <v>this looks awesome dont screw it up netflix</v>
      </c>
      <c r="D1787">
        <v>0</v>
      </c>
      <c r="E1787">
        <v>0</v>
      </c>
      <c r="F1787" t="s">
        <v>64</v>
      </c>
      <c r="G1787" t="str" cm="1">
        <f t="array" ref="G1787" xml:space="preserve"> FindCountryName(F1787)</f>
        <v>Philippines (the)</v>
      </c>
      <c r="H1787" s="1">
        <v>45285.545127314814</v>
      </c>
      <c r="I1787" s="1">
        <v>45285.545127314814</v>
      </c>
      <c r="J1787" s="1">
        <v>43505.967141203706</v>
      </c>
      <c r="K1787" cm="1">
        <f t="array" ref="K1787" xml:space="preserve"> sentimentCalc(C1787)</f>
        <v>4</v>
      </c>
      <c r="L1787" t="str" cm="1">
        <f t="array" ref="L1787" xml:space="preserve"> sentimentCategory(K1787)</f>
        <v>Positive</v>
      </c>
    </row>
    <row r="1788" spans="1:12">
      <c r="A1788" t="s">
        <v>2547</v>
      </c>
      <c r="B1788" t="s">
        <v>2546</v>
      </c>
      <c r="C1788" t="str" cm="1">
        <f t="array" ref="C1788" xml:space="preserve"> CleanText(B1788)</f>
        <v>well it cant be worse than the last movie we got right</v>
      </c>
      <c r="D1788">
        <v>0</v>
      </c>
      <c r="E1788">
        <v>0</v>
      </c>
      <c r="F1788" t="s">
        <v>0</v>
      </c>
      <c r="G1788" t="str" cm="1">
        <f t="array" ref="G1788" xml:space="preserve"> FindCountryName(F1788)</f>
        <v>None</v>
      </c>
      <c r="H1788" s="1">
        <v>45285.53496527778</v>
      </c>
      <c r="I1788" s="1">
        <v>45285.53496527778</v>
      </c>
      <c r="J1788" s="1">
        <v>41497.532395833332</v>
      </c>
      <c r="K1788" cm="1">
        <f t="array" ref="K1788" xml:space="preserve"> sentimentCalc(C1788)</f>
        <v>-3</v>
      </c>
      <c r="L1788" t="str" cm="1">
        <f t="array" ref="L1788" xml:space="preserve"> sentimentCategory(K1788)</f>
        <v>Negative</v>
      </c>
    </row>
    <row r="1789" spans="1:12">
      <c r="A1789" t="s">
        <v>192</v>
      </c>
      <c r="B1789" t="s">
        <v>2545</v>
      </c>
      <c r="C1789" t="str" cm="1">
        <f t="array" ref="C1789" xml:space="preserve"> CleanText(B1789)</f>
        <v>is this one gonna continue after korra because the second avatar after aang was his grandchild korra</v>
      </c>
      <c r="D1789">
        <v>0</v>
      </c>
      <c r="E1789">
        <v>0</v>
      </c>
      <c r="F1789" t="s">
        <v>2544</v>
      </c>
      <c r="G1789" t="str" cm="1">
        <f t="array" ref="G1789" xml:space="preserve"> FindCountryName(F1789)</f>
        <v>Austria</v>
      </c>
      <c r="H1789" s="1">
        <v>45285.492210648146</v>
      </c>
      <c r="I1789" s="1">
        <v>45285.492210648146</v>
      </c>
      <c r="J1789" s="1">
        <v>43094.272604166668</v>
      </c>
      <c r="K1789" cm="1">
        <f t="array" ref="K1789" xml:space="preserve"> sentimentCalc(C1789)</f>
        <v>0</v>
      </c>
      <c r="L1789" t="str" cm="1">
        <f t="array" ref="L1789" xml:space="preserve"> sentimentCategory(K1789)</f>
        <v>Neutral</v>
      </c>
    </row>
    <row r="1790" spans="1:12">
      <c r="A1790" t="s">
        <v>317</v>
      </c>
      <c r="B1790" t="s">
        <v>2543</v>
      </c>
      <c r="C1790" t="str" cm="1">
        <f t="array" ref="C1790" xml:space="preserve"> CleanText(B1790)</f>
        <v>how many of u want this to be a web series with several episodes like game of thrones   the animated version is longer with multiple episodes explained in detail and the movie that released before this shortened everything which disappointed the fans including me as a movie this should have more parts like harry potter</v>
      </c>
      <c r="D1790">
        <v>0</v>
      </c>
      <c r="E1790">
        <v>0</v>
      </c>
      <c r="F1790" t="s">
        <v>0</v>
      </c>
      <c r="G1790" t="str" cm="1">
        <f t="array" ref="G1790" xml:space="preserve"> FindCountryName(F1790)</f>
        <v>None</v>
      </c>
      <c r="H1790" s="1">
        <v>45285.485532407409</v>
      </c>
      <c r="I1790" s="1">
        <v>45285.485532407409</v>
      </c>
      <c r="J1790" s="1">
        <v>41748.233761574076</v>
      </c>
      <c r="K1790" cm="1">
        <f t="array" ref="K1790" xml:space="preserve"> sentimentCalc(C1790)</f>
        <v>3</v>
      </c>
      <c r="L1790" t="str" cm="1">
        <f t="array" ref="L1790" xml:space="preserve"> sentimentCategory(K1790)</f>
        <v>Positive</v>
      </c>
    </row>
    <row r="1791" spans="1:12">
      <c r="A1791" t="s">
        <v>2542</v>
      </c>
      <c r="B1791" t="s">
        <v>2541</v>
      </c>
      <c r="C1791" t="str" cm="1">
        <f t="array" ref="C1791" xml:space="preserve"> CleanText(B1791)</f>
        <v>_xDE08_ always remember who you are</v>
      </c>
      <c r="D1791">
        <v>0</v>
      </c>
      <c r="E1791">
        <v>0</v>
      </c>
      <c r="F1791" t="s">
        <v>0</v>
      </c>
      <c r="G1791" t="str" cm="1">
        <f t="array" ref="G1791" xml:space="preserve"> FindCountryName(F1791)</f>
        <v>None</v>
      </c>
      <c r="H1791" s="1">
        <v>45285.477129629631</v>
      </c>
      <c r="I1791" s="1">
        <v>45285.477129629631</v>
      </c>
      <c r="J1791" s="1">
        <v>40939.035231481481</v>
      </c>
      <c r="K1791" cm="1">
        <f t="array" ref="K1791" xml:space="preserve"> sentimentCalc(C1791)</f>
        <v>0</v>
      </c>
      <c r="L1791" t="str" cm="1">
        <f t="array" ref="L1791" xml:space="preserve"> sentimentCategory(K1791)</f>
        <v>Neutral</v>
      </c>
    </row>
    <row r="1792" spans="1:12">
      <c r="A1792" t="s">
        <v>2540</v>
      </c>
      <c r="B1792" t="s">
        <v>2539</v>
      </c>
      <c r="C1792" t="str" cm="1">
        <f t="array" ref="C1792" xml:space="preserve"> CleanText(B1792)</f>
        <v>the trailer is better than the last avatar movie</v>
      </c>
      <c r="D1792">
        <v>1</v>
      </c>
      <c r="E1792">
        <v>0</v>
      </c>
      <c r="F1792" t="s">
        <v>944</v>
      </c>
      <c r="G1792" t="str" cm="1">
        <f t="array" ref="G1792" xml:space="preserve"> FindCountryName(F1792)</f>
        <v>Russian Federation (the)</v>
      </c>
      <c r="H1792" s="1">
        <v>45285.458124999997</v>
      </c>
      <c r="I1792" s="1">
        <v>45285.458124999997</v>
      </c>
      <c r="J1792" s="1">
        <v>42655.242835648147</v>
      </c>
      <c r="K1792" cm="1">
        <f t="array" ref="K1792" xml:space="preserve"> sentimentCalc(C1792)</f>
        <v>2</v>
      </c>
      <c r="L1792" t="str" cm="1">
        <f t="array" ref="L1792" xml:space="preserve"> sentimentCategory(K1792)</f>
        <v>Positive</v>
      </c>
    </row>
    <row r="1793" spans="1:12">
      <c r="A1793" t="s">
        <v>2187</v>
      </c>
      <c r="B1793" t="s">
        <v>2538</v>
      </c>
      <c r="C1793" t="str" cm="1">
        <f t="array" ref="C1793" xml:space="preserve"> CleanText(B1793)</f>
        <v>god bless gordon cormier aang _xDC51__xDC4D_</v>
      </c>
      <c r="D1793">
        <v>0</v>
      </c>
      <c r="E1793">
        <v>0</v>
      </c>
      <c r="F1793" t="s">
        <v>0</v>
      </c>
      <c r="G1793" t="str" cm="1">
        <f t="array" ref="G1793" xml:space="preserve"> FindCountryName(F1793)</f>
        <v>None</v>
      </c>
      <c r="H1793" s="1">
        <v>45285.431030092594</v>
      </c>
      <c r="I1793" s="1">
        <v>45285.431030092594</v>
      </c>
      <c r="J1793" s="1">
        <v>44676.328506944446</v>
      </c>
      <c r="K1793" cm="1">
        <f t="array" ref="K1793" xml:space="preserve"> sentimentCalc(C1793)</f>
        <v>3</v>
      </c>
      <c r="L1793" t="str" cm="1">
        <f t="array" ref="L1793" xml:space="preserve"> sentimentCategory(K1793)</f>
        <v>Positive</v>
      </c>
    </row>
    <row r="1794" spans="1:12">
      <c r="A1794" t="s">
        <v>345</v>
      </c>
      <c r="B1794" t="s">
        <v>2537</v>
      </c>
      <c r="C1794" t="str" cm="1">
        <f t="array" ref="C1794" xml:space="preserve"> CleanText(B1794)</f>
        <v>trash adaptation f i shave my head i would more lookalike</v>
      </c>
      <c r="D1794">
        <v>0</v>
      </c>
      <c r="E1794">
        <v>0</v>
      </c>
      <c r="F1794" t="s">
        <v>0</v>
      </c>
      <c r="G1794" t="str" cm="1">
        <f t="array" ref="G1794" xml:space="preserve"> FindCountryName(F1794)</f>
        <v>None</v>
      </c>
      <c r="H1794" s="1">
        <v>45285.388229166667</v>
      </c>
      <c r="I1794" s="1">
        <v>45285.388993055552</v>
      </c>
      <c r="J1794" s="1">
        <v>43502.463425925926</v>
      </c>
      <c r="K1794" cm="1">
        <f t="array" ref="K1794" xml:space="preserve"> sentimentCalc(C1794)</f>
        <v>0</v>
      </c>
      <c r="L1794" t="str" cm="1">
        <f t="array" ref="L1794" xml:space="preserve"> sentimentCategory(K1794)</f>
        <v>Neutral</v>
      </c>
    </row>
    <row r="1795" spans="1:12">
      <c r="A1795" t="s">
        <v>710</v>
      </c>
      <c r="B1795" t="s">
        <v>2536</v>
      </c>
      <c r="C1795" t="str" cm="1">
        <f t="array" ref="C1795" xml:space="preserve"> CleanText(B1795)</f>
        <v>why aang looks like kid bretman</v>
      </c>
      <c r="D1795">
        <v>0</v>
      </c>
      <c r="E1795">
        <v>0</v>
      </c>
      <c r="F1795" t="s">
        <v>0</v>
      </c>
      <c r="G1795" t="str" cm="1">
        <f t="array" ref="G1795" xml:space="preserve"> FindCountryName(F1795)</f>
        <v>None</v>
      </c>
      <c r="H1795" s="1">
        <v>45285.355428240742</v>
      </c>
      <c r="I1795" s="1">
        <v>45285.355428240742</v>
      </c>
      <c r="J1795" s="1">
        <v>44763.177025462966</v>
      </c>
      <c r="K1795" cm="1">
        <f t="array" ref="K1795" xml:space="preserve"> sentimentCalc(C1795)</f>
        <v>2</v>
      </c>
      <c r="L1795" t="str" cm="1">
        <f t="array" ref="L1795" xml:space="preserve"> sentimentCategory(K1795)</f>
        <v>Positive</v>
      </c>
    </row>
    <row r="1796" spans="1:12">
      <c r="A1796" t="s">
        <v>2535</v>
      </c>
      <c r="B1796" t="s">
        <v>2534</v>
      </c>
      <c r="C1796" t="str" cm="1">
        <f t="array" ref="C1796" xml:space="preserve"> CleanText(B1796)</f>
        <v>why there is a great cartoon series of it why didnt they just continue the story with an adult aang and the gang</v>
      </c>
      <c r="D1796">
        <v>0</v>
      </c>
      <c r="E1796">
        <v>1</v>
      </c>
      <c r="F1796" t="s">
        <v>0</v>
      </c>
      <c r="G1796" t="str" cm="1">
        <f t="array" ref="G1796" xml:space="preserve"> FindCountryName(F1796)</f>
        <v>None</v>
      </c>
      <c r="H1796" s="1">
        <v>45285.318831018521</v>
      </c>
      <c r="I1796" s="1">
        <v>45285.318831018521</v>
      </c>
      <c r="J1796" s="1">
        <v>42000.448888888888</v>
      </c>
      <c r="K1796" cm="1">
        <f t="array" ref="K1796" xml:space="preserve"> sentimentCalc(C1796)</f>
        <v>3</v>
      </c>
      <c r="L1796" t="str" cm="1">
        <f t="array" ref="L1796" xml:space="preserve"> sentimentCategory(K1796)</f>
        <v>Positive</v>
      </c>
    </row>
    <row r="1797" spans="1:12">
      <c r="A1797" t="s">
        <v>1689</v>
      </c>
      <c r="B1797" t="s">
        <v>2533</v>
      </c>
      <c r="C1797" t="str" cm="1">
        <f t="array" ref="C1797" xml:space="preserve"> CleanText(B1797)</f>
        <v>🤌_xDFFB_ n</v>
      </c>
      <c r="D1797">
        <v>0</v>
      </c>
      <c r="E1797">
        <v>0</v>
      </c>
      <c r="F1797" t="s">
        <v>0</v>
      </c>
      <c r="G1797" t="str" cm="1">
        <f t="array" ref="G1797" xml:space="preserve"> FindCountryName(F1797)</f>
        <v>None</v>
      </c>
      <c r="H1797" s="1">
        <v>45285.306562500002</v>
      </c>
      <c r="I1797" s="1">
        <v>45285.306562500002</v>
      </c>
      <c r="J1797" s="1">
        <v>45136.180300925924</v>
      </c>
      <c r="K1797" cm="1">
        <f t="array" ref="K1797" xml:space="preserve"> sentimentCalc(C1797)</f>
        <v>0</v>
      </c>
      <c r="L1797" t="str" cm="1">
        <f t="array" ref="L1797" xml:space="preserve"> sentimentCategory(K1797)</f>
        <v>Neutral</v>
      </c>
    </row>
    <row r="1798" spans="1:12">
      <c r="A1798" t="s">
        <v>1106</v>
      </c>
      <c r="B1798" t="s">
        <v>2532</v>
      </c>
      <c r="C1798" t="str" cm="1">
        <f t="array" ref="C1798" xml:space="preserve"> CleanText(B1798)</f>
        <v>wow next childhood serie will be destroyed by bunch of idiots that only care about lgbt and blacks</v>
      </c>
      <c r="D1798">
        <v>0</v>
      </c>
      <c r="E1798">
        <v>0</v>
      </c>
      <c r="F1798" t="s">
        <v>0</v>
      </c>
      <c r="G1798" t="str" cm="1">
        <f t="array" ref="G1798" xml:space="preserve"> FindCountryName(F1798)</f>
        <v>None</v>
      </c>
      <c r="H1798" s="1">
        <v>45285.292280092595</v>
      </c>
      <c r="I1798" s="1">
        <v>45285.292280092595</v>
      </c>
      <c r="J1798" s="1">
        <v>41021.638935185183</v>
      </c>
      <c r="K1798" cm="1">
        <f t="array" ref="K1798" xml:space="preserve"> sentimentCalc(C1798)</f>
        <v>3</v>
      </c>
      <c r="L1798" t="str" cm="1">
        <f t="array" ref="L1798" xml:space="preserve"> sentimentCategory(K1798)</f>
        <v>Positive</v>
      </c>
    </row>
    <row r="1799" spans="1:12">
      <c r="A1799" t="s">
        <v>566</v>
      </c>
      <c r="B1799" t="s">
        <v>2531</v>
      </c>
      <c r="C1799" t="str" cm="1">
        <f t="array" ref="C1799" xml:space="preserve"> CleanText(B1799)</f>
        <v>when the trailer already looks ass</v>
      </c>
      <c r="D1799">
        <v>0</v>
      </c>
      <c r="E1799">
        <v>0</v>
      </c>
      <c r="F1799" t="s">
        <v>0</v>
      </c>
      <c r="G1799" t="str" cm="1">
        <f t="array" ref="G1799" xml:space="preserve"> FindCountryName(F1799)</f>
        <v>None</v>
      </c>
      <c r="H1799" s="1">
        <v>45285.25571759259</v>
      </c>
      <c r="I1799" s="1">
        <v>45285.25571759259</v>
      </c>
      <c r="J1799" s="1">
        <v>41918.616122685184</v>
      </c>
      <c r="K1799" cm="1">
        <f t="array" ref="K1799" xml:space="preserve"> sentimentCalc(C1799)</f>
        <v>-4</v>
      </c>
      <c r="L1799" t="str" cm="1">
        <f t="array" ref="L1799" xml:space="preserve"> sentimentCategory(K1799)</f>
        <v>Negative</v>
      </c>
    </row>
    <row r="1800" spans="1:12">
      <c r="A1800" t="s">
        <v>88</v>
      </c>
      <c r="B1800" t="s">
        <v>2530</v>
      </c>
      <c r="C1800" t="str" cm="1">
        <f t="array" ref="C1800" xml:space="preserve"> CleanText(B1800)</f>
        <v>i believe this will be an incredible redemption by netflix from the budget to the cast the soundtrack the promos the effects and this trailer i know itll be great i literally get to see my childhood favorite show come to live action as an adult its beautiful lol</v>
      </c>
      <c r="D1800">
        <v>133</v>
      </c>
      <c r="E1800">
        <v>0</v>
      </c>
      <c r="F1800" t="s">
        <v>0</v>
      </c>
      <c r="G1800" t="str" cm="1">
        <f t="array" ref="G1800" xml:space="preserve"> FindCountryName(F1800)</f>
        <v>None</v>
      </c>
      <c r="H1800" s="1">
        <v>45285.21974537037</v>
      </c>
      <c r="I1800" s="1">
        <v>45285.21974537037</v>
      </c>
      <c r="J1800" s="1">
        <v>41450.117013888892</v>
      </c>
      <c r="K1800" cm="1">
        <f t="array" ref="K1800" xml:space="preserve"> sentimentCalc(C1800)</f>
        <v>8</v>
      </c>
      <c r="L1800" t="str" cm="1">
        <f t="array" ref="L1800" xml:space="preserve"> sentimentCategory(K1800)</f>
        <v>Positive</v>
      </c>
    </row>
    <row r="1801" spans="1:12">
      <c r="A1801" t="s">
        <v>337</v>
      </c>
      <c r="B1801" t="s">
        <v>2529</v>
      </c>
      <c r="C1801" t="str" cm="1">
        <f t="array" ref="C1801" xml:space="preserve"> CleanText(B1801)</f>
        <v>where is the cabbage seller</v>
      </c>
      <c r="D1801">
        <v>0</v>
      </c>
      <c r="E1801">
        <v>0</v>
      </c>
      <c r="F1801" t="s">
        <v>1742</v>
      </c>
      <c r="G1801" t="str" cm="1">
        <f t="array" ref="G1801" xml:space="preserve"> FindCountryName(F1801)</f>
        <v>Ukraine</v>
      </c>
      <c r="H1801" s="1">
        <v>45285.143206018518</v>
      </c>
      <c r="I1801" s="1">
        <v>45285.143206018518</v>
      </c>
      <c r="J1801" s="1">
        <v>42127.041134259256</v>
      </c>
      <c r="K1801" cm="1">
        <f t="array" ref="K1801" xml:space="preserve"> sentimentCalc(C1801)</f>
        <v>0</v>
      </c>
      <c r="L1801" t="str" cm="1">
        <f t="array" ref="L1801" xml:space="preserve"> sentimentCategory(K1801)</f>
        <v>Neutral</v>
      </c>
    </row>
    <row r="1802" spans="1:12">
      <c r="A1802" t="s">
        <v>2528</v>
      </c>
      <c r="B1802" t="s">
        <v>2527</v>
      </c>
      <c r="C1802" t="str" cm="1">
        <f t="array" ref="C1802" xml:space="preserve"> CleanText(B1802)</f>
        <v>this for sure is going to be better than the one that came out in 00</v>
      </c>
      <c r="D1802">
        <v>2</v>
      </c>
      <c r="E1802">
        <v>0</v>
      </c>
      <c r="F1802" t="s">
        <v>0</v>
      </c>
      <c r="G1802" t="str" cm="1">
        <f t="array" ref="G1802" xml:space="preserve"> FindCountryName(F1802)</f>
        <v>None</v>
      </c>
      <c r="H1802" s="1">
        <v>45285.069837962961</v>
      </c>
      <c r="I1802" s="1">
        <v>45285.069837962961</v>
      </c>
      <c r="J1802" s="1">
        <v>44343.606006944443</v>
      </c>
      <c r="K1802" cm="1">
        <f t="array" ref="K1802" xml:space="preserve"> sentimentCalc(C1802)</f>
        <v>2</v>
      </c>
      <c r="L1802" t="str" cm="1">
        <f t="array" ref="L1802" xml:space="preserve"> sentimentCategory(K1802)</f>
        <v>Positive</v>
      </c>
    </row>
    <row r="1803" spans="1:12">
      <c r="A1803" t="s">
        <v>2526</v>
      </c>
      <c r="B1803" t="s">
        <v>127</v>
      </c>
      <c r="C1803" t="str" cm="1">
        <f t="array" ref="C1803" xml:space="preserve"> CleanText(B1803)</f>
        <v>finally</v>
      </c>
      <c r="D1803">
        <v>0</v>
      </c>
      <c r="E1803">
        <v>1</v>
      </c>
      <c r="F1803" t="s">
        <v>0</v>
      </c>
      <c r="G1803" t="str" cm="1">
        <f t="array" ref="G1803" xml:space="preserve"> FindCountryName(F1803)</f>
        <v>None</v>
      </c>
      <c r="H1803" s="1">
        <v>45285.069548611114</v>
      </c>
      <c r="I1803" s="1">
        <v>45285.069548611114</v>
      </c>
      <c r="J1803" s="1">
        <v>45116.761793981481</v>
      </c>
      <c r="K1803" cm="1">
        <f t="array" ref="K1803" xml:space="preserve"> sentimentCalc(C1803)</f>
        <v>0</v>
      </c>
      <c r="L1803" t="str" cm="1">
        <f t="array" ref="L1803" xml:space="preserve"> sentimentCategory(K1803)</f>
        <v>Neutral</v>
      </c>
    </row>
    <row r="1804" spans="1:12">
      <c r="A1804" t="s">
        <v>347</v>
      </c>
      <c r="B1804" t="s">
        <v>2525</v>
      </c>
      <c r="C1804" t="str" cm="1">
        <f t="array" ref="C1804" xml:space="preserve"> CleanText(B1804)</f>
        <v>i hate how much hope this trailer is giving me but im a mn vikings fan so im used to being given hope and consistently let down lol so i think im ready</v>
      </c>
      <c r="D1804">
        <v>0</v>
      </c>
      <c r="E1804">
        <v>0</v>
      </c>
      <c r="F1804" t="s">
        <v>0</v>
      </c>
      <c r="G1804" t="str" cm="1">
        <f t="array" ref="G1804" xml:space="preserve"> FindCountryName(F1804)</f>
        <v>None</v>
      </c>
      <c r="H1804" s="1">
        <v>45285.026828703703</v>
      </c>
      <c r="I1804" s="1">
        <v>45285.026828703703</v>
      </c>
      <c r="J1804" s="1">
        <v>40572.596597222226</v>
      </c>
      <c r="K1804" cm="1">
        <f t="array" ref="K1804" xml:space="preserve"> sentimentCalc(C1804)</f>
        <v>4</v>
      </c>
      <c r="L1804" t="str" cm="1">
        <f t="array" ref="L1804" xml:space="preserve"> sentimentCategory(K1804)</f>
        <v>Positive</v>
      </c>
    </row>
    <row r="1805" spans="1:12">
      <c r="A1805" t="s">
        <v>2524</v>
      </c>
      <c r="B1805" t="s">
        <v>2523</v>
      </c>
      <c r="C1805" t="str" cm="1">
        <f t="array" ref="C1805" xml:space="preserve"> CleanText(B1805)</f>
        <v>у  рв  в? к- n</v>
      </c>
      <c r="D1805">
        <v>0</v>
      </c>
      <c r="E1805">
        <v>1</v>
      </c>
      <c r="F1805" t="s">
        <v>0</v>
      </c>
      <c r="G1805" t="str" cm="1">
        <f t="array" ref="G1805" xml:space="preserve"> FindCountryName(F1805)</f>
        <v>None</v>
      </c>
      <c r="H1805" s="1">
        <v>45285.005439814813</v>
      </c>
      <c r="I1805" s="1">
        <v>45285.005439814813</v>
      </c>
      <c r="J1805" s="1">
        <v>41076.87128472222</v>
      </c>
      <c r="K1805" cm="1">
        <f t="array" ref="K1805" xml:space="preserve"> sentimentCalc(C1805)</f>
        <v>0</v>
      </c>
      <c r="L1805" t="str" cm="1">
        <f t="array" ref="L1805" xml:space="preserve"> sentimentCategory(K1805)</f>
        <v>Neutral</v>
      </c>
    </row>
    <row r="1806" spans="1:12">
      <c r="A1806" t="s">
        <v>82</v>
      </c>
      <c r="B1806" t="s">
        <v>2522</v>
      </c>
      <c r="C1806" t="str" cm="1">
        <f t="array" ref="C1806" xml:space="preserve"> CleanText(B1806)</f>
        <v>the last movie should stay in lake laogai  lets hope this series does the og one justice and is what we all hope a perfect balance of humor drama character development and good feels yip yip netflix we await with non fire nationy bated breath</v>
      </c>
      <c r="D1806">
        <v>0</v>
      </c>
      <c r="E1806">
        <v>0</v>
      </c>
      <c r="F1806" t="s">
        <v>0</v>
      </c>
      <c r="G1806" t="str" cm="1">
        <f t="array" ref="G1806" xml:space="preserve"> FindCountryName(F1806)</f>
        <v>None</v>
      </c>
      <c r="H1806" s="1">
        <v>45284.945798611108</v>
      </c>
      <c r="I1806" s="1">
        <v>45284.945798611108</v>
      </c>
      <c r="J1806" s="1">
        <v>44078.791712962964</v>
      </c>
      <c r="K1806" cm="1">
        <f t="array" ref="K1806" xml:space="preserve"> sentimentCalc(C1806)</f>
        <v>11</v>
      </c>
      <c r="L1806" t="str" cm="1">
        <f t="array" ref="L1806" xml:space="preserve"> sentimentCategory(K1806)</f>
        <v>Positive</v>
      </c>
    </row>
    <row r="1807" spans="1:12">
      <c r="A1807" t="s">
        <v>210</v>
      </c>
      <c r="B1807" t="s">
        <v>2521</v>
      </c>
      <c r="C1807" t="str" cm="1">
        <f t="array" ref="C1807" xml:space="preserve"> CleanText(B1807)</f>
        <v>thats looks good</v>
      </c>
      <c r="D1807">
        <v>0</v>
      </c>
      <c r="E1807">
        <v>0</v>
      </c>
      <c r="F1807" t="s">
        <v>0</v>
      </c>
      <c r="G1807" t="str" cm="1">
        <f t="array" ref="G1807" xml:space="preserve"> FindCountryName(F1807)</f>
        <v>None</v>
      </c>
      <c r="H1807" s="1">
        <v>45284.944652777776</v>
      </c>
      <c r="I1807" s="1">
        <v>45284.944652777776</v>
      </c>
      <c r="J1807" s="1">
        <v>43351.533587962964</v>
      </c>
      <c r="K1807" cm="1">
        <f t="array" ref="K1807" xml:space="preserve"> sentimentCalc(C1807)</f>
        <v>3</v>
      </c>
      <c r="L1807" t="str" cm="1">
        <f t="array" ref="L1807" xml:space="preserve"> sentimentCategory(K1807)</f>
        <v>Positive</v>
      </c>
    </row>
    <row r="1808" spans="1:12">
      <c r="A1808" t="s">
        <v>1685</v>
      </c>
      <c r="B1808" t="s">
        <v>2520</v>
      </c>
      <c r="C1808" t="str" cm="1">
        <f t="array" ref="C1808" xml:space="preserve"> CleanText(B1808)</f>
        <v>avatar the last airboner</v>
      </c>
      <c r="D1808">
        <v>1</v>
      </c>
      <c r="E1808">
        <v>1</v>
      </c>
      <c r="F1808" t="s">
        <v>19</v>
      </c>
      <c r="G1808" t="str" cm="1">
        <f t="array" ref="G1808" xml:space="preserve"> FindCountryName(F1808)</f>
        <v>United States of America (the)</v>
      </c>
      <c r="H1808" s="1">
        <v>45284.936562499999</v>
      </c>
      <c r="I1808" s="1">
        <v>45284.936562499999</v>
      </c>
      <c r="J1808" s="1">
        <v>42151.717361111114</v>
      </c>
      <c r="K1808" cm="1">
        <f t="array" ref="K1808" xml:space="preserve"> sentimentCalc(C1808)</f>
        <v>0</v>
      </c>
      <c r="L1808" t="str" cm="1">
        <f t="array" ref="L1808" xml:space="preserve"> sentimentCategory(K1808)</f>
        <v>Neutral</v>
      </c>
    </row>
    <row r="1809" spans="1:12">
      <c r="A1809" t="s">
        <v>82</v>
      </c>
      <c r="B1809" t="s">
        <v>2519</v>
      </c>
      <c r="C1809" t="str" cm="1">
        <f t="array" ref="C1809" xml:space="preserve"> CleanText(B1809)</f>
        <v>i dunno this seems a lil the unmentionable movie we all hateish mostly because it was all darkness and intensity without a single lick of the iconic lightness and humor and depth of character we all love about the series i know this is just the trailer and its short but the trailer sets the tone with the exception of aang smiling momentarily and a brief visual of momo who makes us smile by his presence alone this trailer was pure intensity and drama and i hoped that maybe there would be a hint of the humor here a way to let those of us the og fans  who truly love the original series know  dont worry we didnt mess this amazing show up agaaaain   so far i didnt see it im worried already _xDE15_  everyone has high hopes but this trailer gives me pause to wonder if i should just lower my expectations and go along for the visual ride expecting round  of the first series portrayal and utter cinematic flop and if we get anything above that to rejoice with a showering of confetti in the shape and taste of popcorn yeah itll just be popcorn side note  im unsure at present how i feel about the borrowing of the lion king quote i dont yet know if that proves to be a clever nod to another classic daddy issues story or just a general lack of creativity the script and its characters that deliver it will display well know the answer soon enough  netflix were counting on you</v>
      </c>
      <c r="D1809">
        <v>0</v>
      </c>
      <c r="E1809">
        <v>0</v>
      </c>
      <c r="F1809" t="s">
        <v>0</v>
      </c>
      <c r="G1809" t="str" cm="1">
        <f t="array" ref="G1809" xml:space="preserve"> FindCountryName(F1809)</f>
        <v>None</v>
      </c>
      <c r="H1809" s="1">
        <v>45284.930081018516</v>
      </c>
      <c r="I1809" s="1">
        <v>45284.930752314816</v>
      </c>
      <c r="J1809" s="1">
        <v>44078.791712962964</v>
      </c>
      <c r="K1809" cm="1">
        <f t="array" ref="K1809" xml:space="preserve"> sentimentCalc(C1809)</f>
        <v>11</v>
      </c>
      <c r="L1809" t="str" cm="1">
        <f t="array" ref="L1809" xml:space="preserve"> sentimentCategory(K1809)</f>
        <v>Positive</v>
      </c>
    </row>
    <row r="1810" spans="1:12">
      <c r="A1810" t="s">
        <v>1327</v>
      </c>
      <c r="B1810" t="s">
        <v>2518</v>
      </c>
      <c r="C1810" t="str" cm="1">
        <f t="array" ref="C1810" xml:space="preserve"> CleanText(B1810)</f>
        <v>ima be honest i wasnt sure about the actress who was gonna play azulanot on cause she doesnt look much like herbut also because she doesnt have the same agebut that one shot at 0 won me overshes perfect</v>
      </c>
      <c r="D1810">
        <v>0</v>
      </c>
      <c r="E1810">
        <v>0</v>
      </c>
      <c r="F1810" t="s">
        <v>0</v>
      </c>
      <c r="G1810" t="str" cm="1">
        <f t="array" ref="G1810" xml:space="preserve"> FindCountryName(F1810)</f>
        <v>None</v>
      </c>
      <c r="H1810" s="1">
        <v>45284.895150462966</v>
      </c>
      <c r="I1810" s="1">
        <v>45284.895150462966</v>
      </c>
      <c r="J1810" s="1">
        <v>43368.873043981483</v>
      </c>
      <c r="K1810" cm="1">
        <f t="array" ref="K1810" xml:space="preserve"> sentimentCalc(C1810)</f>
        <v>10</v>
      </c>
      <c r="L1810" t="str" cm="1">
        <f t="array" ref="L1810" xml:space="preserve"> sentimentCategory(K1810)</f>
        <v>Positive</v>
      </c>
    </row>
    <row r="1811" spans="1:12">
      <c r="A1811" t="s">
        <v>529</v>
      </c>
      <c r="B1811" t="s">
        <v>2517</v>
      </c>
      <c r="C1811" t="str" cm="1">
        <f t="array" ref="C1811" xml:space="preserve"> CleanText(B1811)</f>
        <v>im going to hold off hope until i hear how they pronounce aang</v>
      </c>
      <c r="D1811">
        <v>0</v>
      </c>
      <c r="E1811">
        <v>0</v>
      </c>
      <c r="F1811" t="s">
        <v>0</v>
      </c>
      <c r="G1811" t="str" cm="1">
        <f t="array" ref="G1811" xml:space="preserve"> FindCountryName(F1811)</f>
        <v>None</v>
      </c>
      <c r="H1811" s="1">
        <v>45284.87939814815</v>
      </c>
      <c r="I1811" s="1">
        <v>45284.879490740743</v>
      </c>
      <c r="J1811" s="1">
        <v>39097.855763888889</v>
      </c>
      <c r="K1811" cm="1">
        <f t="array" ref="K1811" xml:space="preserve"> sentimentCalc(C1811)</f>
        <v>2</v>
      </c>
      <c r="L1811" t="str" cm="1">
        <f t="array" ref="L1811" xml:space="preserve"> sentimentCategory(K1811)</f>
        <v>Positive</v>
      </c>
    </row>
    <row r="1812" spans="1:12">
      <c r="A1812" t="s">
        <v>227</v>
      </c>
      <c r="B1812" t="s">
        <v>2516</v>
      </c>
      <c r="C1812" t="str" cm="1">
        <f t="array" ref="C1812" xml:space="preserve"> CleanText(B1812)</f>
        <v>im getting m night vibes a little</v>
      </c>
      <c r="D1812">
        <v>0</v>
      </c>
      <c r="E1812">
        <v>0</v>
      </c>
      <c r="F1812" t="s">
        <v>0</v>
      </c>
      <c r="G1812" t="str" cm="1">
        <f t="array" ref="G1812" xml:space="preserve"> FindCountryName(F1812)</f>
        <v>None</v>
      </c>
      <c r="H1812" s="1">
        <v>45284.879374999997</v>
      </c>
      <c r="I1812" s="1">
        <v>45284.879374999997</v>
      </c>
      <c r="J1812" s="1">
        <v>40816.93550925926</v>
      </c>
      <c r="K1812" cm="1">
        <f t="array" ref="K1812" xml:space="preserve"> sentimentCalc(C1812)</f>
        <v>0</v>
      </c>
      <c r="L1812" t="str" cm="1">
        <f t="array" ref="L1812" xml:space="preserve"> sentimentCategory(K1812)</f>
        <v>Neutral</v>
      </c>
    </row>
    <row r="1813" spans="1:12">
      <c r="A1813" t="s">
        <v>2142</v>
      </c>
      <c r="B1813" t="s">
        <v>2515</v>
      </c>
      <c r="C1813" t="str" cm="1">
        <f t="array" ref="C1813" xml:space="preserve"> CleanText(B1813)</f>
        <v>3 n</v>
      </c>
      <c r="D1813">
        <v>0</v>
      </c>
      <c r="E1813">
        <v>0</v>
      </c>
      <c r="F1813" t="s">
        <v>0</v>
      </c>
      <c r="G1813" t="str" cm="1">
        <f t="array" ref="G1813" xml:space="preserve"> FindCountryName(F1813)</f>
        <v>None</v>
      </c>
      <c r="H1813" s="1">
        <v>45284.849490740744</v>
      </c>
      <c r="I1813" s="1">
        <v>45284.849490740744</v>
      </c>
      <c r="J1813" s="1">
        <v>43310.630949074075</v>
      </c>
      <c r="K1813" cm="1">
        <f t="array" ref="K1813" xml:space="preserve"> sentimentCalc(C1813)</f>
        <v>0</v>
      </c>
      <c r="L1813" t="str" cm="1">
        <f t="array" ref="L1813" xml:space="preserve"> sentimentCategory(K1813)</f>
        <v>Neutral</v>
      </c>
    </row>
    <row r="1814" spans="1:12">
      <c r="A1814" t="s">
        <v>221</v>
      </c>
      <c r="B1814" t="s">
        <v>2514</v>
      </c>
      <c r="C1814" t="str" cm="1">
        <f t="array" ref="C1814" xml:space="preserve"> CleanText(B1814)</f>
        <v>please dont mess this up like you did with the witcher</v>
      </c>
      <c r="D1814">
        <v>0</v>
      </c>
      <c r="E1814">
        <v>0</v>
      </c>
      <c r="F1814" t="s">
        <v>0</v>
      </c>
      <c r="G1814" t="str" cm="1">
        <f t="array" ref="G1814" xml:space="preserve"> FindCountryName(F1814)</f>
        <v>None</v>
      </c>
      <c r="H1814" s="1">
        <v>45284.838495370372</v>
      </c>
      <c r="I1814" s="1">
        <v>45284.838495370372</v>
      </c>
      <c r="J1814" s="1">
        <v>41274.694374999999</v>
      </c>
      <c r="K1814" cm="1">
        <f t="array" ref="K1814" xml:space="preserve"> sentimentCalc(C1814)</f>
        <v>1</v>
      </c>
      <c r="L1814" t="str" cm="1">
        <f t="array" ref="L1814" xml:space="preserve"> sentimentCategory(K1814)</f>
        <v>Positive</v>
      </c>
    </row>
    <row r="1815" spans="1:12">
      <c r="A1815" t="s">
        <v>267</v>
      </c>
      <c r="B1815" t="s">
        <v>2513</v>
      </c>
      <c r="C1815" t="str" cm="1">
        <f t="array" ref="C1815" xml:space="preserve"> CleanText(B1815)</f>
        <v>glad everyone is of asian decent _xDD25_</v>
      </c>
      <c r="D1815">
        <v>0</v>
      </c>
      <c r="E1815">
        <v>0</v>
      </c>
      <c r="F1815" t="s">
        <v>0</v>
      </c>
      <c r="G1815" t="str" cm="1">
        <f t="array" ref="G1815" xml:space="preserve"> FindCountryName(F1815)</f>
        <v>None</v>
      </c>
      <c r="H1815" s="1">
        <v>45284.795497685183</v>
      </c>
      <c r="I1815" s="1">
        <v>45284.795497685183</v>
      </c>
      <c r="J1815" s="1">
        <v>44711.671203703707</v>
      </c>
      <c r="K1815" cm="1">
        <f t="array" ref="K1815" xml:space="preserve"> sentimentCalc(C1815)</f>
        <v>3</v>
      </c>
      <c r="L1815" t="str" cm="1">
        <f t="array" ref="L1815" xml:space="preserve"> sentimentCategory(K1815)</f>
        <v>Positive</v>
      </c>
    </row>
    <row r="1816" spans="1:12">
      <c r="A1816" t="s">
        <v>2512</v>
      </c>
      <c r="B1816" t="s">
        <v>2511</v>
      </c>
      <c r="C1816" t="str" cm="1">
        <f t="array" ref="C1816" xml:space="preserve"> CleanText(B1816)</f>
        <v>dont f this one up netflix</v>
      </c>
      <c r="D1816">
        <v>0</v>
      </c>
      <c r="E1816">
        <v>0</v>
      </c>
      <c r="F1816" t="s">
        <v>0</v>
      </c>
      <c r="G1816" t="str" cm="1">
        <f t="array" ref="G1816" xml:space="preserve"> FindCountryName(F1816)</f>
        <v>None</v>
      </c>
      <c r="H1816" s="1">
        <v>45284.772847222222</v>
      </c>
      <c r="I1816" s="1">
        <v>45284.772847222222</v>
      </c>
      <c r="J1816" s="1">
        <v>40305.88821759259</v>
      </c>
      <c r="K1816" cm="1">
        <f t="array" ref="K1816" xml:space="preserve"> sentimentCalc(C1816)</f>
        <v>0</v>
      </c>
      <c r="L1816" t="str" cm="1">
        <f t="array" ref="L1816" xml:space="preserve"> sentimentCategory(K1816)</f>
        <v>Neutral</v>
      </c>
    </row>
    <row r="1817" spans="1:12">
      <c r="A1817" t="s">
        <v>1059</v>
      </c>
      <c r="B1817" t="s">
        <v>2510</v>
      </c>
      <c r="C1817" t="str" cm="1">
        <f t="array" ref="C1817" xml:space="preserve"> CleanText(B1817)</f>
        <v>wait katara is not white</v>
      </c>
      <c r="D1817">
        <v>1</v>
      </c>
      <c r="E1817">
        <v>0</v>
      </c>
      <c r="F1817" t="s">
        <v>0</v>
      </c>
      <c r="G1817" t="str" cm="1">
        <f t="array" ref="G1817" xml:space="preserve"> FindCountryName(F1817)</f>
        <v>None</v>
      </c>
      <c r="H1817" s="1">
        <v>45284.772141203706</v>
      </c>
      <c r="I1817" s="1">
        <v>45284.772141203706</v>
      </c>
      <c r="J1817" s="1">
        <v>42108.021273148152</v>
      </c>
      <c r="K1817" cm="1">
        <f t="array" ref="K1817" xml:space="preserve"> sentimentCalc(C1817)</f>
        <v>0</v>
      </c>
      <c r="L1817" t="str" cm="1">
        <f t="array" ref="L1817" xml:space="preserve"> sentimentCategory(K1817)</f>
        <v>Neutral</v>
      </c>
    </row>
    <row r="1818" spans="1:12">
      <c r="A1818" t="s">
        <v>82</v>
      </c>
      <c r="B1818" t="s">
        <v>2509</v>
      </c>
      <c r="C1818" t="str" cm="1">
        <f t="array" ref="C1818" xml:space="preserve"> CleanText(B1818)</f>
        <v>hmm this might not suck</v>
      </c>
      <c r="D1818">
        <v>0</v>
      </c>
      <c r="E1818">
        <v>0</v>
      </c>
      <c r="F1818" t="s">
        <v>0</v>
      </c>
      <c r="G1818" t="str" cm="1">
        <f t="array" ref="G1818" xml:space="preserve"> FindCountryName(F1818)</f>
        <v>None</v>
      </c>
      <c r="H1818" s="1">
        <v>45284.750104166669</v>
      </c>
      <c r="I1818" s="1">
        <v>45284.750104166669</v>
      </c>
      <c r="J1818" s="1">
        <v>41154.752627314818</v>
      </c>
      <c r="K1818" cm="1">
        <f t="array" ref="K1818" xml:space="preserve"> sentimentCalc(C1818)</f>
        <v>-3</v>
      </c>
      <c r="L1818" t="str" cm="1">
        <f t="array" ref="L1818" xml:space="preserve"> sentimentCategory(K1818)</f>
        <v>Negative</v>
      </c>
    </row>
    <row r="1819" spans="1:12">
      <c r="A1819" t="s">
        <v>255</v>
      </c>
      <c r="B1819" t="s">
        <v>2508</v>
      </c>
      <c r="C1819" t="str" cm="1">
        <f t="array" ref="C1819" xml:space="preserve"> CleanText(B1819)</f>
        <v>dude yes</v>
      </c>
      <c r="D1819">
        <v>0</v>
      </c>
      <c r="E1819">
        <v>0</v>
      </c>
      <c r="F1819" t="s">
        <v>0</v>
      </c>
      <c r="G1819" t="str" cm="1">
        <f t="array" ref="G1819" xml:space="preserve"> FindCountryName(F1819)</f>
        <v>None</v>
      </c>
      <c r="H1819" s="1">
        <v>45284.730509259258</v>
      </c>
      <c r="I1819" s="1">
        <v>45284.730509259258</v>
      </c>
      <c r="J1819" s="1">
        <v>44415.114745370367</v>
      </c>
      <c r="K1819" cm="1">
        <f t="array" ref="K1819" xml:space="preserve"> sentimentCalc(C1819)</f>
        <v>1</v>
      </c>
      <c r="L1819" t="str" cm="1">
        <f t="array" ref="L1819" xml:space="preserve"> sentimentCategory(K1819)</f>
        <v>Positive</v>
      </c>
    </row>
    <row r="1820" spans="1:12">
      <c r="A1820" t="s">
        <v>257</v>
      </c>
      <c r="B1820" t="s">
        <v>2507</v>
      </c>
      <c r="C1820" t="str" cm="1">
        <f t="array" ref="C1820" xml:space="preserve"> CleanText(B1820)</f>
        <v>why cant we just leave certain things animated and not try to cash grab people with a shitty live action show that no one even asked for in the first place _xDD26__xDFFC_♂ maybe its gonna be good maybe its gonna be bad but like for once could we just respect that something did really good for what it was originally and just leave it at that</v>
      </c>
      <c r="D1820">
        <v>1</v>
      </c>
      <c r="E1820">
        <v>0</v>
      </c>
      <c r="F1820" t="s">
        <v>0</v>
      </c>
      <c r="G1820" t="str" cm="1">
        <f t="array" ref="G1820" xml:space="preserve"> FindCountryName(F1820)</f>
        <v>None</v>
      </c>
      <c r="H1820" s="1">
        <v>45284.724340277775</v>
      </c>
      <c r="I1820" s="1">
        <v>45284.724340277775</v>
      </c>
      <c r="J1820" s="1">
        <v>42797.887557870374</v>
      </c>
      <c r="K1820" cm="1">
        <f t="array" ref="K1820" xml:space="preserve"> sentimentCalc(C1820)</f>
        <v>3</v>
      </c>
      <c r="L1820" t="str" cm="1">
        <f t="array" ref="L1820" xml:space="preserve"> sentimentCategory(K1820)</f>
        <v>Positive</v>
      </c>
    </row>
    <row r="1821" spans="1:12">
      <c r="A1821" t="s">
        <v>1454</v>
      </c>
      <c r="B1821" t="s">
        <v>2506</v>
      </c>
      <c r="C1821" t="str" cm="1">
        <f t="array" ref="C1821" xml:space="preserve"> CleanText(B1821)</f>
        <v>the irony that netflix is using actors that match the race of the characters unlike the first airbender movie that used indian actors yet for documentaries they feel a need to swap races lol if you havent heard denzel washington has been cast as hannibal who sacked rome</v>
      </c>
      <c r="D1821">
        <v>0</v>
      </c>
      <c r="E1821">
        <v>0</v>
      </c>
      <c r="F1821" t="s">
        <v>0</v>
      </c>
      <c r="G1821" t="str" cm="1">
        <f t="array" ref="G1821" xml:space="preserve"> FindCountryName(F1821)</f>
        <v>None</v>
      </c>
      <c r="H1821" s="1">
        <v>45284.722905092596</v>
      </c>
      <c r="I1821" s="1">
        <v>45284.722905092596</v>
      </c>
      <c r="J1821" s="1">
        <v>45070.009085648147</v>
      </c>
      <c r="K1821" cm="1">
        <f t="array" ref="K1821" xml:space="preserve"> sentimentCalc(C1821)</f>
        <v>-1</v>
      </c>
      <c r="L1821" t="str" cm="1">
        <f t="array" ref="L1821" xml:space="preserve"> sentimentCategory(K1821)</f>
        <v>Negative</v>
      </c>
    </row>
    <row r="1822" spans="1:12">
      <c r="A1822" t="s">
        <v>2505</v>
      </c>
      <c r="B1822" t="s">
        <v>2504</v>
      </c>
      <c r="C1822" t="str" cm="1">
        <f t="array" ref="C1822" xml:space="preserve"> CleanText(B1822)</f>
        <v>konene je tu</v>
      </c>
      <c r="D1822">
        <v>0</v>
      </c>
      <c r="E1822">
        <v>0</v>
      </c>
      <c r="F1822" t="s">
        <v>0</v>
      </c>
      <c r="G1822" t="str" cm="1">
        <f t="array" ref="G1822" xml:space="preserve"> FindCountryName(F1822)</f>
        <v>None</v>
      </c>
      <c r="H1822" s="1">
        <v>45284.708969907406</v>
      </c>
      <c r="I1822" s="1">
        <v>45284.708969907406</v>
      </c>
      <c r="J1822" s="1">
        <v>40541.438078703701</v>
      </c>
      <c r="K1822" cm="1">
        <f t="array" ref="K1822" xml:space="preserve"> sentimentCalc(C1822)</f>
        <v>0</v>
      </c>
      <c r="L1822" t="str" cm="1">
        <f t="array" ref="L1822" xml:space="preserve"> sentimentCategory(K1822)</f>
        <v>Neutral</v>
      </c>
    </row>
    <row r="1823" spans="1:12">
      <c r="A1823" t="s">
        <v>2503</v>
      </c>
      <c r="B1823" t="s">
        <v>2502</v>
      </c>
      <c r="C1823" t="str" cm="1">
        <f t="array" ref="C1823" xml:space="preserve"> CleanText(B1823)</f>
        <v>aint no way netflix casting actually makes sense and looks incredible</v>
      </c>
      <c r="D1823">
        <v>0</v>
      </c>
      <c r="E1823">
        <v>0</v>
      </c>
      <c r="F1823" t="s">
        <v>0</v>
      </c>
      <c r="G1823" t="str" cm="1">
        <f t="array" ref="G1823" xml:space="preserve"> FindCountryName(F1823)</f>
        <v>None</v>
      </c>
      <c r="H1823" s="1">
        <v>45284.659733796296</v>
      </c>
      <c r="I1823" s="1">
        <v>45284.659733796296</v>
      </c>
      <c r="J1823" s="1">
        <v>41707.432384259257</v>
      </c>
      <c r="K1823" cm="1">
        <f t="array" ref="K1823" xml:space="preserve"> sentimentCalc(C1823)</f>
        <v>-1</v>
      </c>
      <c r="L1823" t="str" cm="1">
        <f t="array" ref="L1823" xml:space="preserve"> sentimentCategory(K1823)</f>
        <v>Negative</v>
      </c>
    </row>
    <row r="1824" spans="1:12">
      <c r="A1824" t="s">
        <v>2404</v>
      </c>
      <c r="B1824" t="s">
        <v>2501</v>
      </c>
      <c r="C1824" t="str" cm="1">
        <f t="array" ref="C1824" xml:space="preserve"> CleanText(B1824)</f>
        <v>did you finally fired most of your shit writers and woke retardsbecause this looks fire</v>
      </c>
      <c r="D1824">
        <v>0</v>
      </c>
      <c r="E1824">
        <v>0</v>
      </c>
      <c r="F1824" t="s">
        <v>0</v>
      </c>
      <c r="G1824" t="str" cm="1">
        <f t="array" ref="G1824" xml:space="preserve"> FindCountryName(F1824)</f>
        <v>None</v>
      </c>
      <c r="H1824" s="1">
        <v>45284.651412037034</v>
      </c>
      <c r="I1824" s="1">
        <v>45284.651412037034</v>
      </c>
      <c r="J1824" s="1">
        <v>41198.671759259261</v>
      </c>
      <c r="K1824" cm="1">
        <f t="array" ref="K1824" xml:space="preserve"> sentimentCalc(C1824)</f>
        <v>-4</v>
      </c>
      <c r="L1824" t="str" cm="1">
        <f t="array" ref="L1824" xml:space="preserve"> sentimentCategory(K1824)</f>
        <v>Negative</v>
      </c>
    </row>
    <row r="1825" spans="1:12">
      <c r="A1825" t="s">
        <v>730</v>
      </c>
      <c r="B1825" t="s">
        <v>2500</v>
      </c>
      <c r="C1825" t="str" cm="1">
        <f t="array" ref="C1825" xml:space="preserve"> CleanText(B1825)</f>
        <v>finally live action bending that actually looks devastating unlike the movie from long ago</v>
      </c>
      <c r="D1825">
        <v>2</v>
      </c>
      <c r="E1825">
        <v>1</v>
      </c>
      <c r="F1825" t="s">
        <v>0</v>
      </c>
      <c r="G1825" t="str" cm="1">
        <f t="array" ref="G1825" xml:space="preserve"> FindCountryName(F1825)</f>
        <v>None</v>
      </c>
      <c r="H1825" s="1">
        <v>45284.612303240741</v>
      </c>
      <c r="I1825" s="1">
        <v>45284.612303240741</v>
      </c>
      <c r="J1825" s="1">
        <v>41245.004780092589</v>
      </c>
      <c r="K1825" cm="1">
        <f t="array" ref="K1825" xml:space="preserve"> sentimentCalc(C1825)</f>
        <v>-2</v>
      </c>
      <c r="L1825" t="str" cm="1">
        <f t="array" ref="L1825" xml:space="preserve"> sentimentCategory(K1825)</f>
        <v>Negative</v>
      </c>
    </row>
    <row r="1826" spans="1:12">
      <c r="A1826" t="s">
        <v>60</v>
      </c>
      <c r="B1826" t="s">
        <v>2499</v>
      </c>
      <c r="C1826" t="str" cm="1">
        <f t="array" ref="C1826" xml:space="preserve"> CleanText(B1826)</f>
        <v>this got me screaming like a little girl</v>
      </c>
      <c r="D1826">
        <v>2</v>
      </c>
      <c r="E1826">
        <v>0</v>
      </c>
      <c r="F1826" t="s">
        <v>0</v>
      </c>
      <c r="G1826" t="str" cm="1">
        <f t="array" ref="G1826" xml:space="preserve"> FindCountryName(F1826)</f>
        <v>None</v>
      </c>
      <c r="H1826" s="1">
        <v>45284.602407407408</v>
      </c>
      <c r="I1826" s="1">
        <v>45284.602407407408</v>
      </c>
      <c r="J1826" s="1">
        <v>42242.625081018516</v>
      </c>
      <c r="K1826" cm="1">
        <f t="array" ref="K1826" xml:space="preserve"> sentimentCalc(C1826)</f>
        <v>0</v>
      </c>
      <c r="L1826" t="str" cm="1">
        <f t="array" ref="L1826" xml:space="preserve"> sentimentCategory(K1826)</f>
        <v>Neutral</v>
      </c>
    </row>
    <row r="1827" spans="1:12">
      <c r="A1827" t="s">
        <v>2293</v>
      </c>
      <c r="B1827" t="s">
        <v>2498</v>
      </c>
      <c r="C1827" t="str" cm="1">
        <f t="array" ref="C1827" xml:space="preserve"> CleanText(B1827)</f>
        <v>is this a remake of the first movie or the second part of the story</v>
      </c>
      <c r="D1827">
        <v>0</v>
      </c>
      <c r="E1827">
        <v>0</v>
      </c>
      <c r="F1827" t="s">
        <v>0</v>
      </c>
      <c r="G1827" t="str" cm="1">
        <f t="array" ref="G1827" xml:space="preserve"> FindCountryName(F1827)</f>
        <v>None</v>
      </c>
      <c r="H1827" s="1">
        <v>45284.583680555559</v>
      </c>
      <c r="I1827" s="1">
        <v>45284.583680555559</v>
      </c>
      <c r="J1827" s="1">
        <v>44727.340138888889</v>
      </c>
      <c r="K1827" cm="1">
        <f t="array" ref="K1827" xml:space="preserve"> sentimentCalc(C1827)</f>
        <v>0</v>
      </c>
      <c r="L1827" t="str" cm="1">
        <f t="array" ref="L1827" xml:space="preserve"> sentimentCategory(K1827)</f>
        <v>Neutral</v>
      </c>
    </row>
    <row r="1828" spans="1:12">
      <c r="A1828" t="s">
        <v>297</v>
      </c>
      <c r="B1828" t="s">
        <v>2497</v>
      </c>
      <c r="C1828" t="str" cm="1">
        <f t="array" ref="C1828" xml:space="preserve"> CleanText(B1828)</f>
        <v>that looks amazing</v>
      </c>
      <c r="D1828">
        <v>1</v>
      </c>
      <c r="E1828">
        <v>0</v>
      </c>
      <c r="F1828" t="s">
        <v>0</v>
      </c>
      <c r="G1828" t="str" cm="1">
        <f t="array" ref="G1828" xml:space="preserve"> FindCountryName(F1828)</f>
        <v>None</v>
      </c>
      <c r="H1828" s="1">
        <v>45284.561006944445</v>
      </c>
      <c r="I1828" s="1">
        <v>45284.561006944445</v>
      </c>
      <c r="J1828" s="1">
        <v>41650.253541666665</v>
      </c>
      <c r="K1828" cm="1">
        <f t="array" ref="K1828" xml:space="preserve"> sentimentCalc(C1828)</f>
        <v>4</v>
      </c>
      <c r="L1828" t="str" cm="1">
        <f t="array" ref="L1828" xml:space="preserve"> sentimentCategory(K1828)</f>
        <v>Positive</v>
      </c>
    </row>
    <row r="1829" spans="1:12">
      <c r="A1829" t="s">
        <v>32</v>
      </c>
      <c r="B1829" t="s">
        <v>2496</v>
      </c>
      <c r="C1829" t="str" cm="1">
        <f t="array" ref="C1829" xml:space="preserve"> CleanText(B1829)</f>
        <v>team azula _xDE18_</v>
      </c>
      <c r="D1829">
        <v>0</v>
      </c>
      <c r="E1829">
        <v>0</v>
      </c>
      <c r="F1829" t="s">
        <v>0</v>
      </c>
      <c r="G1829" t="str" cm="1">
        <f t="array" ref="G1829" xml:space="preserve"> FindCountryName(F1829)</f>
        <v>None</v>
      </c>
      <c r="H1829" s="1">
        <v>45284.546666666669</v>
      </c>
      <c r="I1829" s="1">
        <v>45284.546666666669</v>
      </c>
      <c r="J1829" s="1">
        <v>43625.543229166666</v>
      </c>
      <c r="K1829" cm="1">
        <f t="array" ref="K1829" xml:space="preserve"> sentimentCalc(C1829)</f>
        <v>0</v>
      </c>
      <c r="L1829" t="str" cm="1">
        <f t="array" ref="L1829" xml:space="preserve"> sentimentCategory(K1829)</f>
        <v>Neutral</v>
      </c>
    </row>
    <row r="1830" spans="1:12">
      <c r="A1830" t="s">
        <v>2495</v>
      </c>
      <c r="B1830" t="s">
        <v>2494</v>
      </c>
      <c r="C1830" t="str" cm="1">
        <f t="array" ref="C1830" xml:space="preserve"> CleanText(B1830)</f>
        <v>love the look but its hard to get over the controversy about the guy whos playing sokka it sucks to think to they spend alot of time vetting people and here comes that guy lying saying that hes some part native american just to get the part typical white man move</v>
      </c>
      <c r="D1830">
        <v>0</v>
      </c>
      <c r="E1830">
        <v>0</v>
      </c>
      <c r="F1830" t="s">
        <v>0</v>
      </c>
      <c r="G1830" t="str" cm="1">
        <f t="array" ref="G1830" xml:space="preserve"> FindCountryName(F1830)</f>
        <v>None</v>
      </c>
      <c r="H1830" s="1">
        <v>45284.54215277778</v>
      </c>
      <c r="I1830" s="1">
        <v>45284.54215277778</v>
      </c>
      <c r="J1830" s="1">
        <v>40145.851261574076</v>
      </c>
      <c r="K1830" cm="1">
        <f t="array" ref="K1830" xml:space="preserve"> sentimentCalc(C1830)</f>
        <v>-1</v>
      </c>
      <c r="L1830" t="str" cm="1">
        <f t="array" ref="L1830" xml:space="preserve"> sentimentCategory(K1830)</f>
        <v>Negative</v>
      </c>
    </row>
    <row r="1831" spans="1:12">
      <c r="A1831" t="s">
        <v>2493</v>
      </c>
      <c r="B1831" t="s">
        <v>2492</v>
      </c>
      <c r="C1831" t="str" cm="1">
        <f t="array" ref="C1831" xml:space="preserve"> CleanText(B1831)</f>
        <v>goes fire with the screen turned off</v>
      </c>
      <c r="D1831">
        <v>0</v>
      </c>
      <c r="E1831">
        <v>0</v>
      </c>
      <c r="F1831" t="s">
        <v>0</v>
      </c>
      <c r="G1831" t="str" cm="1">
        <f t="array" ref="G1831" xml:space="preserve"> FindCountryName(F1831)</f>
        <v>None</v>
      </c>
      <c r="H1831" s="1">
        <v>45284.503229166665</v>
      </c>
      <c r="I1831" s="1">
        <v>45284.503229166665</v>
      </c>
      <c r="J1831" s="1">
        <v>42328.936585648145</v>
      </c>
      <c r="K1831" cm="1">
        <f t="array" ref="K1831" xml:space="preserve"> sentimentCalc(C1831)</f>
        <v>-2</v>
      </c>
      <c r="L1831" t="str" cm="1">
        <f t="array" ref="L1831" xml:space="preserve"> sentimentCategory(K1831)</f>
        <v>Negative</v>
      </c>
    </row>
    <row r="1832" spans="1:12">
      <c r="A1832" t="s">
        <v>146</v>
      </c>
      <c r="B1832" t="s">
        <v>2491</v>
      </c>
      <c r="C1832" t="str" cm="1">
        <f t="array" ref="C1832" xml:space="preserve"> CleanText(B1832)</f>
        <v>the graphics are going to be good but the characters just look way too off</v>
      </c>
      <c r="D1832">
        <v>0</v>
      </c>
      <c r="E1832">
        <v>0</v>
      </c>
      <c r="F1832" t="s">
        <v>0</v>
      </c>
      <c r="G1832" t="str" cm="1">
        <f t="array" ref="G1832" xml:space="preserve"> FindCountryName(F1832)</f>
        <v>None</v>
      </c>
      <c r="H1832" s="1">
        <v>45284.426863425928</v>
      </c>
      <c r="I1832" s="1">
        <v>45284.426863425928</v>
      </c>
      <c r="J1832" s="1">
        <v>42325.436168981483</v>
      </c>
      <c r="K1832" cm="1">
        <f t="array" ref="K1832" xml:space="preserve"> sentimentCalc(C1832)</f>
        <v>3</v>
      </c>
      <c r="L1832" t="str" cm="1">
        <f t="array" ref="L1832" xml:space="preserve"> sentimentCategory(K1832)</f>
        <v>Positive</v>
      </c>
    </row>
    <row r="1833" spans="1:12">
      <c r="A1833" t="s">
        <v>2490</v>
      </c>
      <c r="B1833" t="s">
        <v>2489</v>
      </c>
      <c r="C1833" t="str" cm="1">
        <f t="array" ref="C1833" xml:space="preserve"> CleanText(B1833)</f>
        <v>exiting but must aks santa could you give us a new animated series a prequel would be fantastic please</v>
      </c>
      <c r="D1833">
        <v>0</v>
      </c>
      <c r="E1833">
        <v>0</v>
      </c>
      <c r="F1833" t="s">
        <v>0</v>
      </c>
      <c r="G1833" t="str" cm="1">
        <f t="array" ref="G1833" xml:space="preserve"> FindCountryName(F1833)</f>
        <v>None</v>
      </c>
      <c r="H1833" s="1">
        <v>45284.418553240743</v>
      </c>
      <c r="I1833" s="1">
        <v>45284.418553240743</v>
      </c>
      <c r="J1833" s="1">
        <v>41222.748518518521</v>
      </c>
      <c r="K1833" cm="1">
        <f t="array" ref="K1833" xml:space="preserve"> sentimentCalc(C1833)</f>
        <v>5</v>
      </c>
      <c r="L1833" t="str" cm="1">
        <f t="array" ref="L1833" xml:space="preserve"> sentimentCategory(K1833)</f>
        <v>Positive</v>
      </c>
    </row>
    <row r="1834" spans="1:12">
      <c r="A1834" t="s">
        <v>745</v>
      </c>
      <c r="B1834" t="s">
        <v>2488</v>
      </c>
      <c r="C1834" t="str" cm="1">
        <f t="array" ref="C1834" xml:space="preserve"> CleanText(B1834)</f>
        <v>ive been hearing about netflix adapting the anime for like  years  i truly hope this is going to be as a banger as the original  because i love the anime sooooooooooooooooo much  its all my childhood the story is amazing im counting the days</v>
      </c>
      <c r="D1834">
        <v>0</v>
      </c>
      <c r="E1834">
        <v>0</v>
      </c>
      <c r="F1834" t="s">
        <v>0</v>
      </c>
      <c r="G1834" t="str" cm="1">
        <f t="array" ref="G1834" xml:space="preserve"> FindCountryName(F1834)</f>
        <v>None</v>
      </c>
      <c r="H1834" s="1">
        <v>45284.409537037034</v>
      </c>
      <c r="I1834" s="1">
        <v>45284.409537037034</v>
      </c>
      <c r="J1834" s="1">
        <v>41286.527905092589</v>
      </c>
      <c r="K1834" cm="1">
        <f t="array" ref="K1834" xml:space="preserve"> sentimentCalc(C1834)</f>
        <v>11</v>
      </c>
      <c r="L1834" t="str" cm="1">
        <f t="array" ref="L1834" xml:space="preserve"> sentimentCategory(K1834)</f>
        <v>Positive</v>
      </c>
    </row>
    <row r="1835" spans="1:12">
      <c r="A1835" t="s">
        <v>1129</v>
      </c>
      <c r="B1835" t="s">
        <v>2487</v>
      </c>
      <c r="C1835" t="str" cm="1">
        <f t="array" ref="C1835" xml:space="preserve"> CleanText(B1835)</f>
        <v>ый    й ?         ых   э 6         n</v>
      </c>
      <c r="D1835">
        <v>0</v>
      </c>
      <c r="E1835">
        <v>0</v>
      </c>
      <c r="F1835" t="s">
        <v>0</v>
      </c>
      <c r="G1835" t="str" cm="1">
        <f t="array" ref="G1835" xml:space="preserve"> FindCountryName(F1835)</f>
        <v>None</v>
      </c>
      <c r="H1835" s="1">
        <v>45284.4</v>
      </c>
      <c r="I1835" s="1">
        <v>45284.4</v>
      </c>
      <c r="J1835" s="1">
        <v>41170.359768518516</v>
      </c>
      <c r="K1835" cm="1">
        <f t="array" ref="K1835" xml:space="preserve"> sentimentCalc(C1835)</f>
        <v>0</v>
      </c>
      <c r="L1835" t="str" cm="1">
        <f t="array" ref="L1835" xml:space="preserve"> sentimentCategory(K1835)</f>
        <v>Neutral</v>
      </c>
    </row>
    <row r="1836" spans="1:12">
      <c r="A1836" t="s">
        <v>28</v>
      </c>
      <c r="B1836" t="s">
        <v>2486</v>
      </c>
      <c r="C1836" t="str" cm="1">
        <f t="array" ref="C1836" xml:space="preserve"> CleanText(B1836)</f>
        <v>greattt but please make live action of naruto too that will shed my tears even more</v>
      </c>
      <c r="D1836">
        <v>0</v>
      </c>
      <c r="E1836">
        <v>0</v>
      </c>
      <c r="F1836" t="s">
        <v>0</v>
      </c>
      <c r="G1836" t="str" cm="1">
        <f t="array" ref="G1836" xml:space="preserve"> FindCountryName(F1836)</f>
        <v>None</v>
      </c>
      <c r="H1836" s="1">
        <v>45284.374988425923</v>
      </c>
      <c r="I1836" s="1">
        <v>45284.374988425923</v>
      </c>
      <c r="J1836" s="1">
        <v>42815.517638888887</v>
      </c>
      <c r="K1836" cm="1">
        <f t="array" ref="K1836" xml:space="preserve"> sentimentCalc(C1836)</f>
        <v>-1</v>
      </c>
      <c r="L1836" t="str" cm="1">
        <f t="array" ref="L1836" xml:space="preserve"> sentimentCategory(K1836)</f>
        <v>Negative</v>
      </c>
    </row>
    <row r="1837" spans="1:12">
      <c r="A1837" t="s">
        <v>32</v>
      </c>
      <c r="B1837" t="s">
        <v>2485</v>
      </c>
      <c r="C1837" t="str" cm="1">
        <f t="array" ref="C1837" xml:space="preserve"> CleanText(B1837)</f>
        <v>im ready to be hurt again</v>
      </c>
      <c r="D1837">
        <v>0</v>
      </c>
      <c r="E1837">
        <v>0</v>
      </c>
      <c r="F1837" t="s">
        <v>0</v>
      </c>
      <c r="G1837" t="str" cm="1">
        <f t="array" ref="G1837" xml:space="preserve"> FindCountryName(F1837)</f>
        <v>None</v>
      </c>
      <c r="H1837" s="1">
        <v>45284.345405092594</v>
      </c>
      <c r="I1837" s="1">
        <v>45284.345405092594</v>
      </c>
      <c r="J1837" s="1">
        <v>41237.939421296294</v>
      </c>
      <c r="K1837" cm="1">
        <f t="array" ref="K1837" xml:space="preserve"> sentimentCalc(C1837)</f>
        <v>-2</v>
      </c>
      <c r="L1837" t="str" cm="1">
        <f t="array" ref="L1837" xml:space="preserve"> sentimentCategory(K1837)</f>
        <v>Negative</v>
      </c>
    </row>
    <row r="1838" spans="1:12">
      <c r="A1838" t="s">
        <v>2060</v>
      </c>
      <c r="B1838" t="s">
        <v>2484</v>
      </c>
      <c r="C1838" t="str" cm="1">
        <f t="array" ref="C1838" xml:space="preserve"> CleanText(B1838)</f>
        <v>yeahhhhhhhh</v>
      </c>
      <c r="D1838">
        <v>0</v>
      </c>
      <c r="E1838">
        <v>0</v>
      </c>
      <c r="F1838" t="s">
        <v>0</v>
      </c>
      <c r="G1838" t="str" cm="1">
        <f t="array" ref="G1838" xml:space="preserve"> FindCountryName(F1838)</f>
        <v>None</v>
      </c>
      <c r="H1838" s="1">
        <v>45284.341064814813</v>
      </c>
      <c r="I1838" s="1">
        <v>45284.341064814813</v>
      </c>
      <c r="J1838" s="1">
        <v>44126.931250000001</v>
      </c>
      <c r="K1838" cm="1">
        <f t="array" ref="K1838" xml:space="preserve"> sentimentCalc(C1838)</f>
        <v>0</v>
      </c>
      <c r="L1838" t="str" cm="1">
        <f t="array" ref="L1838" xml:space="preserve"> sentimentCategory(K1838)</f>
        <v>Neutral</v>
      </c>
    </row>
    <row r="1839" spans="1:12">
      <c r="A1839" t="s">
        <v>458</v>
      </c>
      <c r="B1839" t="s">
        <v>2483</v>
      </c>
      <c r="C1839" t="str" cm="1">
        <f t="array" ref="C1839" xml:space="preserve"> CleanText(B1839)</f>
        <v>i really hope its good because it looks so fake</v>
      </c>
      <c r="D1839">
        <v>0</v>
      </c>
      <c r="E1839">
        <v>0</v>
      </c>
      <c r="F1839" t="s">
        <v>0</v>
      </c>
      <c r="G1839" t="str" cm="1">
        <f t="array" ref="G1839" xml:space="preserve"> FindCountryName(F1839)</f>
        <v>None</v>
      </c>
      <c r="H1839" s="1">
        <v>45284.340682870374</v>
      </c>
      <c r="I1839" s="1">
        <v>45284.340682870374</v>
      </c>
      <c r="J1839" s="1">
        <v>44389.204664351855</v>
      </c>
      <c r="K1839" cm="1">
        <f t="array" ref="K1839" xml:space="preserve"> sentimentCalc(C1839)</f>
        <v>2</v>
      </c>
      <c r="L1839" t="str" cm="1">
        <f t="array" ref="L1839" xml:space="preserve"> sentimentCategory(K1839)</f>
        <v>Positive</v>
      </c>
    </row>
    <row r="1840" spans="1:12">
      <c r="A1840" t="s">
        <v>2287</v>
      </c>
      <c r="B1840" t="s">
        <v>2482</v>
      </c>
      <c r="C1840" t="str" cm="1">
        <f t="array" ref="C1840" xml:space="preserve"> CleanText(B1840)</f>
        <v>calling it now its gonna be mid at best</v>
      </c>
      <c r="D1840">
        <v>0</v>
      </c>
      <c r="E1840">
        <v>0</v>
      </c>
      <c r="F1840" t="s">
        <v>0</v>
      </c>
      <c r="G1840" t="str" cm="1">
        <f t="array" ref="G1840" xml:space="preserve"> FindCountryName(F1840)</f>
        <v>None</v>
      </c>
      <c r="H1840" s="1">
        <v>45284.332997685182</v>
      </c>
      <c r="I1840" s="1">
        <v>45284.332997685182</v>
      </c>
      <c r="J1840" s="1">
        <v>44072.174699074072</v>
      </c>
      <c r="K1840" cm="1">
        <f t="array" ref="K1840" xml:space="preserve"> sentimentCalc(C1840)</f>
        <v>3</v>
      </c>
      <c r="L1840" t="str" cm="1">
        <f t="array" ref="L1840" xml:space="preserve"> sentimentCategory(K1840)</f>
        <v>Positive</v>
      </c>
    </row>
    <row r="1841" spans="1:12">
      <c r="A1841" t="s">
        <v>2481</v>
      </c>
      <c r="B1841" t="s">
        <v>2480</v>
      </c>
      <c r="C1841" t="str" cm="1">
        <f t="array" ref="C1841" xml:space="preserve"> CleanText(B1841)</f>
        <v>ю н. нв    шы ь. ь ш в ы n</v>
      </c>
      <c r="D1841">
        <v>0</v>
      </c>
      <c r="E1841">
        <v>0</v>
      </c>
      <c r="F1841" t="s">
        <v>944</v>
      </c>
      <c r="G1841" t="str" cm="1">
        <f t="array" ref="G1841" xml:space="preserve"> FindCountryName(F1841)</f>
        <v>Russian Federation (the)</v>
      </c>
      <c r="H1841" s="1">
        <v>45284.313078703701</v>
      </c>
      <c r="I1841" s="1">
        <v>45284.313078703701</v>
      </c>
      <c r="J1841" s="1">
        <v>42885.488402777781</v>
      </c>
      <c r="K1841" cm="1">
        <f t="array" ref="K1841" xml:space="preserve"> sentimentCalc(C1841)</f>
        <v>0</v>
      </c>
      <c r="L1841" t="str" cm="1">
        <f t="array" ref="L1841" xml:space="preserve"> sentimentCategory(K1841)</f>
        <v>Neutral</v>
      </c>
    </row>
    <row r="1842" spans="1:12">
      <c r="A1842" t="s">
        <v>1000</v>
      </c>
      <c r="B1842" t="s">
        <v>2479</v>
      </c>
      <c r="C1842" t="str" cm="1">
        <f t="array" ref="C1842" xml:space="preserve"> CleanText(B1842)</f>
        <v>if its a shot for shot remake it might be good but it would be pointless to watch if its a reboot its not pointless but also not going to be even near as good i wont be watching this cashgrab sorry</v>
      </c>
      <c r="D1842">
        <v>0</v>
      </c>
      <c r="E1842">
        <v>0</v>
      </c>
      <c r="F1842" t="s">
        <v>0</v>
      </c>
      <c r="G1842" t="str" cm="1">
        <f t="array" ref="G1842" xml:space="preserve"> FindCountryName(F1842)</f>
        <v>None</v>
      </c>
      <c r="H1842" s="1">
        <v>45284.278680555559</v>
      </c>
      <c r="I1842" s="1">
        <v>45284.278680555559</v>
      </c>
      <c r="J1842" s="1">
        <v>42437.503946759258</v>
      </c>
      <c r="K1842" cm="1">
        <f t="array" ref="K1842" xml:space="preserve"> sentimentCalc(C1842)</f>
        <v>5</v>
      </c>
      <c r="L1842" t="str" cm="1">
        <f t="array" ref="L1842" xml:space="preserve"> sentimentCategory(K1842)</f>
        <v>Positive</v>
      </c>
    </row>
    <row r="1843" spans="1:12">
      <c r="A1843" t="s">
        <v>2478</v>
      </c>
      <c r="B1843" t="s">
        <v>2477</v>
      </c>
      <c r="C1843" t="str" cm="1">
        <f t="array" ref="C1843" xml:space="preserve"> CleanText(B1843)</f>
        <v>pls pls pls pls god make it good this time</v>
      </c>
      <c r="D1843">
        <v>0</v>
      </c>
      <c r="E1843">
        <v>0</v>
      </c>
      <c r="F1843" t="s">
        <v>0</v>
      </c>
      <c r="G1843" t="str" cm="1">
        <f t="array" ref="G1843" xml:space="preserve"> FindCountryName(F1843)</f>
        <v>None</v>
      </c>
      <c r="H1843" s="1">
        <v>45284.267384259256</v>
      </c>
      <c r="I1843" s="1">
        <v>45284.267384259256</v>
      </c>
      <c r="J1843" s="1">
        <v>40438.72824074074</v>
      </c>
      <c r="K1843" cm="1">
        <f t="array" ref="K1843" xml:space="preserve"> sentimentCalc(C1843)</f>
        <v>4</v>
      </c>
      <c r="L1843" t="str" cm="1">
        <f t="array" ref="L1843" xml:space="preserve"> sentimentCategory(K1843)</f>
        <v>Positive</v>
      </c>
    </row>
    <row r="1844" spans="1:12">
      <c r="A1844" t="s">
        <v>2476</v>
      </c>
      <c r="B1844" t="s">
        <v>2475</v>
      </c>
      <c r="C1844" t="str" cm="1">
        <f t="array" ref="C1844" xml:space="preserve"> CleanText(B1844)</f>
        <v>ty netflixbut i watch this in torrent</v>
      </c>
      <c r="D1844">
        <v>1</v>
      </c>
      <c r="E1844">
        <v>0</v>
      </c>
      <c r="F1844" t="s">
        <v>0</v>
      </c>
      <c r="G1844" t="str" cm="1">
        <f t="array" ref="G1844" xml:space="preserve"> FindCountryName(F1844)</f>
        <v>None</v>
      </c>
      <c r="H1844" s="1">
        <v>45284.245393518519</v>
      </c>
      <c r="I1844" s="1">
        <v>45284.245393518519</v>
      </c>
      <c r="J1844" s="1">
        <v>41598.617407407408</v>
      </c>
      <c r="K1844" cm="1">
        <f t="array" ref="K1844" xml:space="preserve"> sentimentCalc(C1844)</f>
        <v>0</v>
      </c>
      <c r="L1844" t="str" cm="1">
        <f t="array" ref="L1844" xml:space="preserve"> sentimentCategory(K1844)</f>
        <v>Neutral</v>
      </c>
    </row>
    <row r="1845" spans="1:12">
      <c r="A1845" t="s">
        <v>2474</v>
      </c>
      <c r="B1845" t="s">
        <v>2473</v>
      </c>
      <c r="C1845" t="str" cm="1">
        <f t="array" ref="C1845" xml:space="preserve"> CleanText(B1845)</f>
        <v>good night shaymalan go to sleep</v>
      </c>
      <c r="D1845">
        <v>0</v>
      </c>
      <c r="E1845">
        <v>0</v>
      </c>
      <c r="F1845" t="s">
        <v>0</v>
      </c>
      <c r="G1845" t="str" cm="1">
        <f t="array" ref="G1845" xml:space="preserve"> FindCountryName(F1845)</f>
        <v>None</v>
      </c>
      <c r="H1845" s="1">
        <v>45284.241956018515</v>
      </c>
      <c r="I1845" s="1">
        <v>45284.241956018515</v>
      </c>
      <c r="J1845" s="1">
        <v>40827.402453703704</v>
      </c>
      <c r="K1845" cm="1">
        <f t="array" ref="K1845" xml:space="preserve"> sentimentCalc(C1845)</f>
        <v>3</v>
      </c>
      <c r="L1845" t="str" cm="1">
        <f t="array" ref="L1845" xml:space="preserve"> sentimentCategory(K1845)</f>
        <v>Positive</v>
      </c>
    </row>
    <row r="1846" spans="1:12">
      <c r="A1846" t="s">
        <v>239</v>
      </c>
      <c r="B1846" t="s">
        <v>2472</v>
      </c>
      <c r="C1846" t="str" cm="1">
        <f t="array" ref="C1846" xml:space="preserve"> CleanText(B1846)</f>
        <v>im keen</v>
      </c>
      <c r="D1846">
        <v>0</v>
      </c>
      <c r="E1846">
        <v>0</v>
      </c>
      <c r="F1846" t="s">
        <v>0</v>
      </c>
      <c r="G1846" t="str" cm="1">
        <f t="array" ref="G1846" xml:space="preserve"> FindCountryName(F1846)</f>
        <v>None</v>
      </c>
      <c r="H1846" s="1">
        <v>45284.222384259258</v>
      </c>
      <c r="I1846" s="1">
        <v>45284.222384259258</v>
      </c>
      <c r="J1846" s="1">
        <v>44031.485335648147</v>
      </c>
      <c r="K1846" cm="1">
        <f t="array" ref="K1846" xml:space="preserve"> sentimentCalc(C1846)</f>
        <v>1</v>
      </c>
      <c r="L1846" t="str" cm="1">
        <f t="array" ref="L1846" xml:space="preserve"> sentimentCategory(K1846)</f>
        <v>Positive</v>
      </c>
    </row>
    <row r="1847" spans="1:12">
      <c r="A1847" t="s">
        <v>255</v>
      </c>
      <c r="B1847" t="s">
        <v>2471</v>
      </c>
      <c r="C1847" t="str" cm="1">
        <f t="array" ref="C1847" xml:space="preserve"> CleanText(B1847)</f>
        <v>_xDE0D_ n</v>
      </c>
      <c r="D1847">
        <v>0</v>
      </c>
      <c r="E1847">
        <v>0</v>
      </c>
      <c r="F1847" t="s">
        <v>0</v>
      </c>
      <c r="G1847" t="str" cm="1">
        <f t="array" ref="G1847" xml:space="preserve"> FindCountryName(F1847)</f>
        <v>None</v>
      </c>
      <c r="H1847" s="1">
        <v>45284.218877314815</v>
      </c>
      <c r="I1847" s="1">
        <v>45284.218877314815</v>
      </c>
      <c r="J1847" s="1">
        <v>42632.478680555556</v>
      </c>
      <c r="K1847" cm="1">
        <f t="array" ref="K1847" xml:space="preserve"> sentimentCalc(C1847)</f>
        <v>0</v>
      </c>
      <c r="L1847" t="str" cm="1">
        <f t="array" ref="L1847" xml:space="preserve"> sentimentCategory(K1847)</f>
        <v>Neutral</v>
      </c>
    </row>
    <row r="1848" spans="1:12">
      <c r="A1848" t="s">
        <v>82</v>
      </c>
      <c r="B1848" t="s">
        <v>2470</v>
      </c>
      <c r="C1848" t="str" cm="1">
        <f t="array" ref="C1848" xml:space="preserve"> CleanText(B1848)</f>
        <v>avatar the last airbender  update synopsisthe series is set in an asiatic wartorn world where certain people can bend one of the four classical elementswater earth fire or air aang the avatar and the last living airbender is the bridge between the mortal and spirit world and the only one capable of bending all four of the elements the avatar maintains the balance of the world and nature to bring peace and aang is now faced with the responsibility of ending the ambitions of the militaristic fire nation to conquer the world with his new companions katara and sokka aang sets out to master the four classical elements while pursued by the exiled fire nation crown prince zuko who seeks to regain his honor by capturing himavatar the last airbender netflix live action season  cast update synopsislist of potential castings for the netflix live action avatar the last airbender season avatar the last airbender netflix live action season  cast update synopsislist of potential castings for the netflix live action avatar the last airbender season avatar the last airbender netflix season   book  water update synopsisavatar on netflix book   wateravatar the last airbender netflix season   book  earth update synopsisavatar on netflix book  earthavatar the last airbender netflix season   book  fire update synopsisavatar on netflix book   fire</v>
      </c>
      <c r="D1848">
        <v>1</v>
      </c>
      <c r="E1848">
        <v>0</v>
      </c>
      <c r="F1848" t="s">
        <v>0</v>
      </c>
      <c r="G1848" t="str" cm="1">
        <f t="array" ref="G1848" xml:space="preserve"> FindCountryName(F1848)</f>
        <v>None</v>
      </c>
      <c r="H1848" s="1">
        <v>45284.209965277776</v>
      </c>
      <c r="I1848" s="1">
        <v>45284.209965277776</v>
      </c>
      <c r="J1848" s="1">
        <v>41433.67627314815</v>
      </c>
      <c r="K1848" cm="1">
        <f t="array" ref="K1848" xml:space="preserve"> sentimentCalc(C1848)</f>
        <v>-3</v>
      </c>
      <c r="L1848" t="str" cm="1">
        <f t="array" ref="L1848" xml:space="preserve"> sentimentCategory(K1848)</f>
        <v>Negative</v>
      </c>
    </row>
    <row r="1849" spans="1:12">
      <c r="A1849" t="s">
        <v>2469</v>
      </c>
      <c r="B1849" t="s">
        <v>2468</v>
      </c>
      <c r="C1849" t="str" cm="1">
        <f t="array" ref="C1849" xml:space="preserve"> CleanText(B1849)</f>
        <v>why the hell does zuko have eyebrows on the burnt side of his face</v>
      </c>
      <c r="D1849">
        <v>1</v>
      </c>
      <c r="E1849">
        <v>0</v>
      </c>
      <c r="F1849" t="s">
        <v>0</v>
      </c>
      <c r="G1849" t="str" cm="1">
        <f t="array" ref="G1849" xml:space="preserve"> FindCountryName(F1849)</f>
        <v>None</v>
      </c>
      <c r="H1849" s="1">
        <v>45284.156574074077</v>
      </c>
      <c r="I1849" s="1">
        <v>45284.156574074077</v>
      </c>
      <c r="J1849" s="1">
        <v>41186.141550925924</v>
      </c>
      <c r="K1849" cm="1">
        <f t="array" ref="K1849" xml:space="preserve"> sentimentCalc(C1849)</f>
        <v>-4</v>
      </c>
      <c r="L1849" t="str" cm="1">
        <f t="array" ref="L1849" xml:space="preserve"> sentimentCategory(K1849)</f>
        <v>Negative</v>
      </c>
    </row>
    <row r="1850" spans="1:12">
      <c r="A1850" t="s">
        <v>2467</v>
      </c>
      <c r="B1850" t="s">
        <v>2466</v>
      </c>
      <c r="C1850" t="str" cm="1">
        <f t="array" ref="C1850" xml:space="preserve"> CleanText(B1850)</f>
        <v>this looks intensely promising</v>
      </c>
      <c r="D1850">
        <v>0</v>
      </c>
      <c r="E1850">
        <v>0</v>
      </c>
      <c r="F1850" t="s">
        <v>0</v>
      </c>
      <c r="G1850" t="str" cm="1">
        <f t="array" ref="G1850" xml:space="preserve"> FindCountryName(F1850)</f>
        <v>None</v>
      </c>
      <c r="H1850" s="1">
        <v>45284.144421296296</v>
      </c>
      <c r="I1850" s="1">
        <v>45284.144421296296</v>
      </c>
      <c r="J1850" s="1">
        <v>40693.267812500002</v>
      </c>
      <c r="K1850" cm="1">
        <f t="array" ref="K1850" xml:space="preserve"> sentimentCalc(C1850)</f>
        <v>0</v>
      </c>
      <c r="L1850" t="str" cm="1">
        <f t="array" ref="L1850" xml:space="preserve"> sentimentCategory(K1850)</f>
        <v>Neutral</v>
      </c>
    </row>
    <row r="1851" spans="1:12">
      <c r="A1851" t="s">
        <v>1721</v>
      </c>
      <c r="B1851" t="s">
        <v>2465</v>
      </c>
      <c r="C1851" t="str" cm="1">
        <f t="array" ref="C1851" xml:space="preserve"> CleanText(B1851)</f>
        <v>its gonna suck</v>
      </c>
      <c r="D1851">
        <v>0</v>
      </c>
      <c r="E1851">
        <v>0</v>
      </c>
      <c r="F1851" t="s">
        <v>19</v>
      </c>
      <c r="G1851" t="str" cm="1">
        <f t="array" ref="G1851" xml:space="preserve"> FindCountryName(F1851)</f>
        <v>United States of America (the)</v>
      </c>
      <c r="H1851" s="1">
        <v>45284.124918981484</v>
      </c>
      <c r="I1851" s="1">
        <v>45284.124918981484</v>
      </c>
      <c r="J1851" s="1">
        <v>40778.41505787037</v>
      </c>
      <c r="K1851" cm="1">
        <f t="array" ref="K1851" xml:space="preserve"> sentimentCalc(C1851)</f>
        <v>-3</v>
      </c>
      <c r="L1851" t="str" cm="1">
        <f t="array" ref="L1851" xml:space="preserve"> sentimentCategory(K1851)</f>
        <v>Negative</v>
      </c>
    </row>
    <row r="1852" spans="1:12">
      <c r="A1852" t="s">
        <v>1857</v>
      </c>
      <c r="B1852" t="s">
        <v>2464</v>
      </c>
      <c r="C1852" t="str" cm="1">
        <f t="array" ref="C1852" xml:space="preserve"> CleanText(B1852)</f>
        <v>my name is aauugh</v>
      </c>
      <c r="D1852">
        <v>0</v>
      </c>
      <c r="E1852">
        <v>0</v>
      </c>
      <c r="F1852" t="s">
        <v>0</v>
      </c>
      <c r="G1852" t="str" cm="1">
        <f t="array" ref="G1852" xml:space="preserve"> FindCountryName(F1852)</f>
        <v>None</v>
      </c>
      <c r="H1852" s="1">
        <v>45284.109039351853</v>
      </c>
      <c r="I1852" s="1">
        <v>45284.109039351853</v>
      </c>
      <c r="J1852" s="1">
        <v>44390.732592592591</v>
      </c>
      <c r="K1852" cm="1">
        <f t="array" ref="K1852" xml:space="preserve"> sentimentCalc(C1852)</f>
        <v>0</v>
      </c>
      <c r="L1852" t="str" cm="1">
        <f t="array" ref="L1852" xml:space="preserve"> sentimentCategory(K1852)</f>
        <v>Neutral</v>
      </c>
    </row>
    <row r="1853" spans="1:12">
      <c r="A1853" t="s">
        <v>2463</v>
      </c>
      <c r="B1853" t="s">
        <v>2462</v>
      </c>
      <c r="C1853" t="str" cm="1">
        <f t="array" ref="C1853" xml:space="preserve"> CleanText(B1853)</f>
        <v>me ve uma asinatura gratis porfavor</v>
      </c>
      <c r="D1853">
        <v>0</v>
      </c>
      <c r="E1853">
        <v>0</v>
      </c>
      <c r="F1853" t="s">
        <v>0</v>
      </c>
      <c r="G1853" t="str" cm="1">
        <f t="array" ref="G1853" xml:space="preserve"> FindCountryName(F1853)</f>
        <v>None</v>
      </c>
      <c r="H1853" s="1">
        <v>45284.100416666668</v>
      </c>
      <c r="I1853" s="1">
        <v>45284.100416666668</v>
      </c>
      <c r="J1853" s="1">
        <v>42268.550625000003</v>
      </c>
      <c r="K1853" cm="1">
        <f t="array" ref="K1853" xml:space="preserve"> sentimentCalc(C1853)</f>
        <v>0</v>
      </c>
      <c r="L1853" t="str" cm="1">
        <f t="array" ref="L1853" xml:space="preserve"> sentimentCategory(K1853)</f>
        <v>Neutral</v>
      </c>
    </row>
    <row r="1854" spans="1:12">
      <c r="A1854" t="s">
        <v>2461</v>
      </c>
      <c r="B1854" t="s">
        <v>2460</v>
      </c>
      <c r="C1854" t="str" cm="1">
        <f t="array" ref="C1854" xml:space="preserve"> CleanText(B1854)</f>
        <v>i dont think atla is a show that could ever be adapted wellfaithful or not</v>
      </c>
      <c r="D1854">
        <v>0</v>
      </c>
      <c r="E1854">
        <v>0</v>
      </c>
      <c r="F1854" t="s">
        <v>19</v>
      </c>
      <c r="G1854" t="str" cm="1">
        <f t="array" ref="G1854" xml:space="preserve"> FindCountryName(F1854)</f>
        <v>United States of America (the)</v>
      </c>
      <c r="H1854" s="1">
        <v>45284.025972222225</v>
      </c>
      <c r="I1854" s="1">
        <v>45284.025972222225</v>
      </c>
      <c r="J1854" s="1">
        <v>41021.269606481481</v>
      </c>
      <c r="K1854" cm="1">
        <f t="array" ref="K1854" xml:space="preserve"> sentimentCalc(C1854)</f>
        <v>0</v>
      </c>
      <c r="L1854" t="str" cm="1">
        <f t="array" ref="L1854" xml:space="preserve"> sentimentCategory(K1854)</f>
        <v>Neutral</v>
      </c>
    </row>
    <row r="1855" spans="1:12">
      <c r="A1855" t="s">
        <v>1857</v>
      </c>
      <c r="B1855" t="s">
        <v>2459</v>
      </c>
      <c r="C1855" t="str" cm="1">
        <f t="array" ref="C1855" xml:space="preserve"> CleanText(B1855)</f>
        <v>the special effects looks pretty bad but hopefully this is good</v>
      </c>
      <c r="D1855">
        <v>0</v>
      </c>
      <c r="E1855">
        <v>0</v>
      </c>
      <c r="F1855" t="s">
        <v>0</v>
      </c>
      <c r="G1855" t="str" cm="1">
        <f t="array" ref="G1855" xml:space="preserve"> FindCountryName(F1855)</f>
        <v>None</v>
      </c>
      <c r="H1855" s="1">
        <v>45284.020868055559</v>
      </c>
      <c r="I1855" s="1">
        <v>45284.020868055559</v>
      </c>
      <c r="J1855" s="1">
        <v>41985.912129629629</v>
      </c>
      <c r="K1855" cm="1">
        <f t="array" ref="K1855" xml:space="preserve"> sentimentCalc(C1855)</f>
        <v>3</v>
      </c>
      <c r="L1855" t="str" cm="1">
        <f t="array" ref="L1855" xml:space="preserve"> sentimentCategory(K1855)</f>
        <v>Positive</v>
      </c>
    </row>
    <row r="1856" spans="1:12">
      <c r="A1856" t="s">
        <v>301</v>
      </c>
      <c r="B1856" t="s">
        <v>2458</v>
      </c>
      <c r="C1856" t="str" cm="1">
        <f t="array" ref="C1856" xml:space="preserve"> CleanText(B1856)</f>
        <v>they really tried a live action again</v>
      </c>
      <c r="D1856">
        <v>0</v>
      </c>
      <c r="E1856">
        <v>0</v>
      </c>
      <c r="F1856" t="s">
        <v>0</v>
      </c>
      <c r="G1856" t="str" cm="1">
        <f t="array" ref="G1856" xml:space="preserve"> FindCountryName(F1856)</f>
        <v>None</v>
      </c>
      <c r="H1856" s="1">
        <v>45284.012719907405</v>
      </c>
      <c r="I1856" s="1">
        <v>45284.012719907405</v>
      </c>
      <c r="J1856" s="1">
        <v>41632.259895833333</v>
      </c>
      <c r="K1856" cm="1">
        <f t="array" ref="K1856" xml:space="preserve"> sentimentCalc(C1856)</f>
        <v>0</v>
      </c>
      <c r="L1856" t="str" cm="1">
        <f t="array" ref="L1856" xml:space="preserve"> sentimentCategory(K1856)</f>
        <v>Neutral</v>
      </c>
    </row>
    <row r="1857" spans="1:12">
      <c r="A1857" t="s">
        <v>1554</v>
      </c>
      <c r="B1857" t="s">
        <v>2457</v>
      </c>
      <c r="C1857" t="str" cm="1">
        <f t="array" ref="C1857" xml:space="preserve"> CleanText(B1857)</f>
        <v>this trailer is already better than whatever happened 3 years ago</v>
      </c>
      <c r="D1857">
        <v>0</v>
      </c>
      <c r="E1857">
        <v>0</v>
      </c>
      <c r="F1857" t="s">
        <v>0</v>
      </c>
      <c r="G1857" t="str" cm="1">
        <f t="array" ref="G1857" xml:space="preserve"> FindCountryName(F1857)</f>
        <v>None</v>
      </c>
      <c r="H1857" s="1">
        <v>45283.958749999998</v>
      </c>
      <c r="I1857" s="1">
        <v>45283.958749999998</v>
      </c>
      <c r="J1857" s="1">
        <v>42607.388819444444</v>
      </c>
      <c r="K1857" cm="1">
        <f t="array" ref="K1857" xml:space="preserve"> sentimentCalc(C1857)</f>
        <v>2</v>
      </c>
      <c r="L1857" t="str" cm="1">
        <f t="array" ref="L1857" xml:space="preserve"> sentimentCategory(K1857)</f>
        <v>Positive</v>
      </c>
    </row>
    <row r="1858" spans="1:12">
      <c r="A1858" t="s">
        <v>710</v>
      </c>
      <c r="B1858" t="s">
        <v>2456</v>
      </c>
      <c r="C1858" t="str" cm="1">
        <f t="array" ref="C1858" xml:space="preserve"> CleanText(B1858)</f>
        <v>please im begging you netflix dont screw this up</v>
      </c>
      <c r="D1858">
        <v>0</v>
      </c>
      <c r="E1858">
        <v>0</v>
      </c>
      <c r="F1858" t="s">
        <v>0</v>
      </c>
      <c r="G1858" t="str" cm="1">
        <f t="array" ref="G1858" xml:space="preserve"> FindCountryName(F1858)</f>
        <v>None</v>
      </c>
      <c r="H1858" s="1">
        <v>45283.898425925923</v>
      </c>
      <c r="I1858" s="1">
        <v>45283.898425925923</v>
      </c>
      <c r="J1858" s="1">
        <v>44784.803182870368</v>
      </c>
      <c r="K1858" cm="1">
        <f t="array" ref="K1858" xml:space="preserve"> sentimentCalc(C1858)</f>
        <v>1</v>
      </c>
      <c r="L1858" t="str" cm="1">
        <f t="array" ref="L1858" xml:space="preserve"> sentimentCategory(K1858)</f>
        <v>Positive</v>
      </c>
    </row>
    <row r="1859" spans="1:12">
      <c r="A1859" t="s">
        <v>68</v>
      </c>
      <c r="B1859" t="s">
        <v>2455</v>
      </c>
      <c r="C1859" t="str" cm="1">
        <f t="array" ref="C1859" xml:space="preserve"> CleanText(B1859)</f>
        <v>i wish they would have upped the buddget for the cgi just a bit more oppa and momo are pretty central to everything the bending looks great though</v>
      </c>
      <c r="D1859">
        <v>0</v>
      </c>
      <c r="E1859">
        <v>0</v>
      </c>
      <c r="F1859" t="s">
        <v>0</v>
      </c>
      <c r="G1859" t="str" cm="1">
        <f t="array" ref="G1859" xml:space="preserve"> FindCountryName(F1859)</f>
        <v>None</v>
      </c>
      <c r="H1859" s="1">
        <v>45283.857175925928</v>
      </c>
      <c r="I1859" s="1">
        <v>45283.857175925928</v>
      </c>
      <c r="J1859" s="1">
        <v>43337.656840277778</v>
      </c>
      <c r="K1859" cm="1">
        <f t="array" ref="K1859" xml:space="preserve"> sentimentCalc(C1859)</f>
        <v>5</v>
      </c>
      <c r="L1859" t="str" cm="1">
        <f t="array" ref="L1859" xml:space="preserve"> sentimentCategory(K1859)</f>
        <v>Positive</v>
      </c>
    </row>
    <row r="1860" spans="1:12">
      <c r="A1860" t="s">
        <v>139</v>
      </c>
      <c r="B1860" t="s">
        <v>2454</v>
      </c>
      <c r="C1860" t="str" cm="1">
        <f t="array" ref="C1860" xml:space="preserve"> CleanText(B1860)</f>
        <v>when is the release of the next trailer with more plot and dialogue</v>
      </c>
      <c r="D1860">
        <v>0</v>
      </c>
      <c r="E1860">
        <v>0</v>
      </c>
      <c r="F1860" t="s">
        <v>0</v>
      </c>
      <c r="G1860" t="str" cm="1">
        <f t="array" ref="G1860" xml:space="preserve"> FindCountryName(F1860)</f>
        <v>None</v>
      </c>
      <c r="H1860" s="1">
        <v>45283.829664351855</v>
      </c>
      <c r="I1860" s="1">
        <v>45283.829664351855</v>
      </c>
      <c r="J1860" s="1">
        <v>40873.511307870373</v>
      </c>
      <c r="K1860" cm="1">
        <f t="array" ref="K1860" xml:space="preserve"> sentimentCalc(C1860)</f>
        <v>0</v>
      </c>
      <c r="L1860" t="str" cm="1">
        <f t="array" ref="L1860" xml:space="preserve"> sentimentCategory(K1860)</f>
        <v>Neutral</v>
      </c>
    </row>
    <row r="1861" spans="1:12">
      <c r="A1861" t="s">
        <v>2453</v>
      </c>
      <c r="B1861" t="s">
        <v>2452</v>
      </c>
      <c r="C1861" t="str" cm="1">
        <f t="array" ref="C1861" xml:space="preserve"> CleanText(B1861)</f>
        <v>claramente no va a desepcionar por mas que sea una shit esperamos 0 aos a volver a ver algo relacionado con la leyenda de ang adems de los comics</v>
      </c>
      <c r="D1861">
        <v>1</v>
      </c>
      <c r="E1861">
        <v>0</v>
      </c>
      <c r="F1861" t="s">
        <v>2451</v>
      </c>
      <c r="G1861" t="str" cm="1">
        <f t="array" ref="G1861" xml:space="preserve"> FindCountryName(F1861)</f>
        <v>Afghanistan</v>
      </c>
      <c r="H1861" s="1">
        <v>45283.82953703704</v>
      </c>
      <c r="I1861" s="1">
        <v>45283.82953703704</v>
      </c>
      <c r="J1861" s="1">
        <v>44015.528645833336</v>
      </c>
      <c r="K1861" cm="1">
        <f t="array" ref="K1861" xml:space="preserve"> sentimentCalc(C1861)</f>
        <v>-1</v>
      </c>
      <c r="L1861" t="str" cm="1">
        <f t="array" ref="L1861" xml:space="preserve"> sentimentCategory(K1861)</f>
        <v>Negative</v>
      </c>
    </row>
    <row r="1862" spans="1:12">
      <c r="A1862" t="s">
        <v>1119</v>
      </c>
      <c r="B1862" t="s">
        <v>2450</v>
      </c>
      <c r="C1862" t="str" cm="1">
        <f t="array" ref="C1862" xml:space="preserve"> CleanText(B1862)</f>
        <v>les franais qui attendent le club jdg on est l</v>
      </c>
      <c r="D1862">
        <v>0</v>
      </c>
      <c r="E1862">
        <v>0</v>
      </c>
      <c r="F1862" t="s">
        <v>0</v>
      </c>
      <c r="G1862" t="str" cm="1">
        <f t="array" ref="G1862" xml:space="preserve"> FindCountryName(F1862)</f>
        <v>None</v>
      </c>
      <c r="H1862" s="1">
        <v>45283.828645833331</v>
      </c>
      <c r="I1862" s="1">
        <v>45283.828645833331</v>
      </c>
      <c r="J1862" s="1">
        <v>43484.517997685187</v>
      </c>
      <c r="K1862" cm="1">
        <f t="array" ref="K1862" xml:space="preserve"> sentimentCalc(C1862)</f>
        <v>0</v>
      </c>
      <c r="L1862" t="str" cm="1">
        <f t="array" ref="L1862" xml:space="preserve"> sentimentCategory(K1862)</f>
        <v>Neutral</v>
      </c>
    </row>
    <row r="1863" spans="1:12">
      <c r="A1863" t="s">
        <v>2449</v>
      </c>
      <c r="B1863" t="s">
        <v>2448</v>
      </c>
      <c r="C1863" t="str" cm="1">
        <f t="array" ref="C1863" xml:space="preserve"> CleanText(B1863)</f>
        <v>this is either gonna be really good or extremely disappointing im betting the latter</v>
      </c>
      <c r="D1863">
        <v>0</v>
      </c>
      <c r="E1863">
        <v>0</v>
      </c>
      <c r="F1863" t="s">
        <v>0</v>
      </c>
      <c r="G1863" t="str" cm="1">
        <f t="array" ref="G1863" xml:space="preserve"> FindCountryName(F1863)</f>
        <v>None</v>
      </c>
      <c r="H1863" s="1">
        <v>45283.813425925924</v>
      </c>
      <c r="I1863" s="1">
        <v>45283.813425925924</v>
      </c>
      <c r="J1863" s="1">
        <v>41612.541666666664</v>
      </c>
      <c r="K1863" cm="1">
        <f t="array" ref="K1863" xml:space="preserve"> sentimentCalc(C1863)</f>
        <v>1</v>
      </c>
      <c r="L1863" t="str" cm="1">
        <f t="array" ref="L1863" xml:space="preserve"> sentimentCategory(K1863)</f>
        <v>Positive</v>
      </c>
    </row>
    <row r="1864" spans="1:12">
      <c r="A1864" t="s">
        <v>1696</v>
      </c>
      <c r="B1864" t="s">
        <v>2447</v>
      </c>
      <c r="C1864" t="str" cm="1">
        <f t="array" ref="C1864" xml:space="preserve"> CleanText(B1864)</f>
        <v>have we learned nothing from disney</v>
      </c>
      <c r="D1864">
        <v>0</v>
      </c>
      <c r="E1864">
        <v>0</v>
      </c>
      <c r="F1864" t="s">
        <v>0</v>
      </c>
      <c r="G1864" t="str" cm="1">
        <f t="array" ref="G1864" xml:space="preserve"> FindCountryName(F1864)</f>
        <v>None</v>
      </c>
      <c r="H1864" s="1">
        <v>45283.809965277775</v>
      </c>
      <c r="I1864" s="1">
        <v>45283.809965277775</v>
      </c>
      <c r="J1864" s="1">
        <v>44564.729687500003</v>
      </c>
      <c r="K1864" cm="1">
        <f t="array" ref="K1864" xml:space="preserve"> sentimentCalc(C1864)</f>
        <v>0</v>
      </c>
      <c r="L1864" t="str" cm="1">
        <f t="array" ref="L1864" xml:space="preserve"> sentimentCategory(K1864)</f>
        <v>Neutral</v>
      </c>
    </row>
    <row r="1865" spans="1:12">
      <c r="A1865" t="s">
        <v>1038</v>
      </c>
      <c r="B1865" t="s">
        <v>2446</v>
      </c>
      <c r="C1865" t="str" cm="1">
        <f t="array" ref="C1865" xml:space="preserve"> CleanText(B1865)</f>
        <v>holy shit i am % ready for this</v>
      </c>
      <c r="D1865">
        <v>1</v>
      </c>
      <c r="E1865">
        <v>0</v>
      </c>
      <c r="F1865" t="s">
        <v>0</v>
      </c>
      <c r="G1865" t="str" cm="1">
        <f t="array" ref="G1865" xml:space="preserve"> FindCountryName(F1865)</f>
        <v>None</v>
      </c>
      <c r="H1865" s="1">
        <v>45283.738761574074</v>
      </c>
      <c r="I1865" s="1">
        <v>45283.738761574074</v>
      </c>
      <c r="J1865" s="1">
        <v>45148.732893518521</v>
      </c>
      <c r="K1865" cm="1">
        <f t="array" ref="K1865" xml:space="preserve"> sentimentCalc(C1865)</f>
        <v>0</v>
      </c>
      <c r="L1865" t="str" cm="1">
        <f t="array" ref="L1865" xml:space="preserve"> sentimentCategory(K1865)</f>
        <v>Neutral</v>
      </c>
    </row>
    <row r="1866" spans="1:12">
      <c r="A1866" t="s">
        <v>2281</v>
      </c>
      <c r="B1866" t="s">
        <v>2445</v>
      </c>
      <c r="C1866" t="str" cm="1">
        <f t="array" ref="C1866" xml:space="preserve"> CleanText(B1866)</f>
        <v>ok so actors and music seems good lets just hope they dont mess it up like the first time</v>
      </c>
      <c r="D1866">
        <v>0</v>
      </c>
      <c r="E1866">
        <v>0</v>
      </c>
      <c r="F1866" t="s">
        <v>0</v>
      </c>
      <c r="G1866" t="str" cm="1">
        <f t="array" ref="G1866" xml:space="preserve"> FindCountryName(F1866)</f>
        <v>None</v>
      </c>
      <c r="H1866" s="1">
        <v>45283.71603009259</v>
      </c>
      <c r="I1866" s="1">
        <v>45283.71603009259</v>
      </c>
      <c r="J1866" s="1">
        <v>40913.401944444442</v>
      </c>
      <c r="K1866" cm="1">
        <f t="array" ref="K1866" xml:space="preserve"> sentimentCalc(C1866)</f>
        <v>5</v>
      </c>
      <c r="L1866" t="str" cm="1">
        <f t="array" ref="L1866" xml:space="preserve"> sentimentCategory(K1866)</f>
        <v>Positive</v>
      </c>
    </row>
    <row r="1867" spans="1:12">
      <c r="A1867" t="s">
        <v>2444</v>
      </c>
      <c r="B1867" t="s">
        <v>2443</v>
      </c>
      <c r="C1867" t="str" cm="1">
        <f t="array" ref="C1867" xml:space="preserve"> CleanText(B1867)</f>
        <v>this doesnt look like the movieperfect</v>
      </c>
      <c r="D1867">
        <v>1</v>
      </c>
      <c r="E1867">
        <v>0</v>
      </c>
      <c r="F1867" t="s">
        <v>0</v>
      </c>
      <c r="G1867" t="str" cm="1">
        <f t="array" ref="G1867" xml:space="preserve"> FindCountryName(F1867)</f>
        <v>None</v>
      </c>
      <c r="H1867" s="1">
        <v>45283.705509259256</v>
      </c>
      <c r="I1867" s="1">
        <v>45283.705509259256</v>
      </c>
      <c r="J1867" s="1">
        <v>39719.38957175926</v>
      </c>
      <c r="K1867" cm="1">
        <f t="array" ref="K1867" xml:space="preserve"> sentimentCalc(C1867)</f>
        <v>2</v>
      </c>
      <c r="L1867" t="str" cm="1">
        <f t="array" ref="L1867" xml:space="preserve"> sentimentCategory(K1867)</f>
        <v>Positive</v>
      </c>
    </row>
    <row r="1868" spans="1:12">
      <c r="A1868" t="s">
        <v>158</v>
      </c>
      <c r="B1868" t="s">
        <v>2442</v>
      </c>
      <c r="C1868" t="str" cm="1">
        <f t="array" ref="C1868" xml:space="preserve"> CleanText(B1868)</f>
        <v>cant wait_xD83D_ very curious to see how the characters are portrayed most curious about azula and sokka i think those  are the hardest to portray</v>
      </c>
      <c r="D1868">
        <v>6</v>
      </c>
      <c r="E1868">
        <v>1</v>
      </c>
      <c r="F1868" t="s">
        <v>0</v>
      </c>
      <c r="G1868" t="str" cm="1">
        <f t="array" ref="G1868" xml:space="preserve"> FindCountryName(F1868)</f>
        <v>None</v>
      </c>
      <c r="H1868" s="1">
        <v>45283.665706018517</v>
      </c>
      <c r="I1868" s="1">
        <v>45283.665706018517</v>
      </c>
      <c r="J1868" s="1">
        <v>41749.51053240741</v>
      </c>
      <c r="K1868" cm="1">
        <f t="array" ref="K1868" xml:space="preserve"> sentimentCalc(C1868)</f>
        <v>2</v>
      </c>
      <c r="L1868" t="str" cm="1">
        <f t="array" ref="L1868" xml:space="preserve"> sentimentCategory(K1868)</f>
        <v>Positive</v>
      </c>
    </row>
    <row r="1869" spans="1:12">
      <c r="A1869" t="s">
        <v>194</v>
      </c>
      <c r="B1869" t="s">
        <v>2441</v>
      </c>
      <c r="C1869" t="str" cm="1">
        <f t="array" ref="C1869" xml:space="preserve"> CleanText(B1869)</f>
        <v>i didnt like it _xDE22_</v>
      </c>
      <c r="D1869">
        <v>0</v>
      </c>
      <c r="E1869">
        <v>0</v>
      </c>
      <c r="F1869" t="s">
        <v>0</v>
      </c>
      <c r="G1869" t="str" cm="1">
        <f t="array" ref="G1869" xml:space="preserve"> FindCountryName(F1869)</f>
        <v>None</v>
      </c>
      <c r="H1869" s="1">
        <v>45283.654710648145</v>
      </c>
      <c r="I1869" s="1">
        <v>45283.654710648145</v>
      </c>
      <c r="J1869" s="1">
        <v>42254.565833333334</v>
      </c>
      <c r="K1869" cm="1">
        <f t="array" ref="K1869" xml:space="preserve"> sentimentCalc(C1869)</f>
        <v>2</v>
      </c>
      <c r="L1869" t="str" cm="1">
        <f t="array" ref="L1869" xml:space="preserve"> sentimentCategory(K1869)</f>
        <v>Positive</v>
      </c>
    </row>
    <row r="1870" spans="1:12">
      <c r="A1870" t="s">
        <v>28</v>
      </c>
      <c r="B1870" t="s">
        <v>2440</v>
      </c>
      <c r="C1870" t="str" cm="1">
        <f t="array" ref="C1870" xml:space="preserve"> CleanText(B1870)</f>
        <v>as a big avatar fan please stop it will be the next catastrophethe last movie was fault that i have stopped watched one of my favourite series years agoplease stop it</v>
      </c>
      <c r="D1870">
        <v>0</v>
      </c>
      <c r="E1870">
        <v>0</v>
      </c>
      <c r="F1870" t="s">
        <v>0</v>
      </c>
      <c r="G1870" t="str" cm="1">
        <f t="array" ref="G1870" xml:space="preserve"> FindCountryName(F1870)</f>
        <v>None</v>
      </c>
      <c r="H1870" s="1">
        <v>45283.632754629631</v>
      </c>
      <c r="I1870" s="1">
        <v>45283.632754629631</v>
      </c>
      <c r="J1870" s="1">
        <v>41590.353043981479</v>
      </c>
      <c r="K1870" cm="1">
        <f t="array" ref="K1870" xml:space="preserve"> sentimentCalc(C1870)</f>
        <v>2</v>
      </c>
      <c r="L1870" t="str" cm="1">
        <f t="array" ref="L1870" xml:space="preserve"> sentimentCategory(K1870)</f>
        <v>Positive</v>
      </c>
    </row>
    <row r="1871" spans="1:12">
      <c r="A1871" t="s">
        <v>88</v>
      </c>
      <c r="B1871" t="s">
        <v>2439</v>
      </c>
      <c r="C1871" t="str" cm="1">
        <f t="array" ref="C1871" xml:space="preserve"> CleanText(B1871)</f>
        <v>yeah</v>
      </c>
      <c r="D1871">
        <v>0</v>
      </c>
      <c r="E1871">
        <v>0</v>
      </c>
      <c r="F1871" t="s">
        <v>0</v>
      </c>
      <c r="G1871" t="str" cm="1">
        <f t="array" ref="G1871" xml:space="preserve"> FindCountryName(F1871)</f>
        <v>None</v>
      </c>
      <c r="H1871" s="1">
        <v>45283.589143518519</v>
      </c>
      <c r="I1871" s="1">
        <v>45283.589143518519</v>
      </c>
      <c r="J1871" s="1">
        <v>45074.56527777778</v>
      </c>
      <c r="K1871" cm="1">
        <f t="array" ref="K1871" xml:space="preserve"> sentimentCalc(C1871)</f>
        <v>1</v>
      </c>
      <c r="L1871" t="str" cm="1">
        <f t="array" ref="L1871" xml:space="preserve"> sentimentCategory(K1871)</f>
        <v>Positive</v>
      </c>
    </row>
    <row r="1872" spans="1:12">
      <c r="A1872" t="s">
        <v>1087</v>
      </c>
      <c r="B1872" t="s">
        <v>2438</v>
      </c>
      <c r="C1872" t="str" cm="1">
        <f t="array" ref="C1872" xml:space="preserve"> CleanText(B1872)</f>
        <v>alright it looks good please dont mess it up im begging you</v>
      </c>
      <c r="D1872">
        <v>1</v>
      </c>
      <c r="E1872">
        <v>0</v>
      </c>
      <c r="F1872" t="s">
        <v>0</v>
      </c>
      <c r="G1872" t="str" cm="1">
        <f t="array" ref="G1872" xml:space="preserve"> FindCountryName(F1872)</f>
        <v>None</v>
      </c>
      <c r="H1872" s="1">
        <v>45283.583449074074</v>
      </c>
      <c r="I1872" s="1">
        <v>45283.583449074074</v>
      </c>
      <c r="J1872" s="1">
        <v>42510.203958333332</v>
      </c>
      <c r="K1872" cm="1">
        <f t="array" ref="K1872" xml:space="preserve"> sentimentCalc(C1872)</f>
        <v>2</v>
      </c>
      <c r="L1872" t="str" cm="1">
        <f t="array" ref="L1872" xml:space="preserve"> sentimentCategory(K1872)</f>
        <v>Positive</v>
      </c>
    </row>
    <row r="1873" spans="1:12">
      <c r="A1873" t="s">
        <v>136</v>
      </c>
      <c r="B1873" t="s">
        <v>2437</v>
      </c>
      <c r="C1873" t="str" cm="1">
        <f t="array" ref="C1873" xml:space="preserve"> CleanText(B1873)</f>
        <v>ang better be funny</v>
      </c>
      <c r="D1873">
        <v>2</v>
      </c>
      <c r="E1873">
        <v>0</v>
      </c>
      <c r="F1873" t="s">
        <v>0</v>
      </c>
      <c r="G1873" t="str" cm="1">
        <f t="array" ref="G1873" xml:space="preserve"> FindCountryName(F1873)</f>
        <v>None</v>
      </c>
      <c r="H1873" s="1">
        <v>45283.571979166663</v>
      </c>
      <c r="I1873" s="1">
        <v>45283.571979166663</v>
      </c>
      <c r="J1873" s="1">
        <v>41183.075428240743</v>
      </c>
      <c r="K1873" cm="1">
        <f t="array" ref="K1873" xml:space="preserve"> sentimentCalc(C1873)</f>
        <v>6</v>
      </c>
      <c r="L1873" t="str" cm="1">
        <f t="array" ref="L1873" xml:space="preserve"> sentimentCategory(K1873)</f>
        <v>Positive</v>
      </c>
    </row>
    <row r="1874" spans="1:12">
      <c r="A1874" t="s">
        <v>180</v>
      </c>
      <c r="B1874" t="s">
        <v>2436</v>
      </c>
      <c r="C1874" t="str" cm="1">
        <f t="array" ref="C1874" xml:space="preserve"> CleanText(B1874)</f>
        <v>momo looks like shit</v>
      </c>
      <c r="D1874">
        <v>0</v>
      </c>
      <c r="E1874">
        <v>0</v>
      </c>
      <c r="F1874" t="s">
        <v>0</v>
      </c>
      <c r="G1874" t="str" cm="1">
        <f t="array" ref="G1874" xml:space="preserve"> FindCountryName(F1874)</f>
        <v>None</v>
      </c>
      <c r="H1874" s="1">
        <v>45283.563287037039</v>
      </c>
      <c r="I1874" s="1">
        <v>45283.563287037039</v>
      </c>
      <c r="J1874" s="1">
        <v>41653.816574074073</v>
      </c>
      <c r="K1874" cm="1">
        <f t="array" ref="K1874" xml:space="preserve"> sentimentCalc(C1874)</f>
        <v>2</v>
      </c>
      <c r="L1874" t="str" cm="1">
        <f t="array" ref="L1874" xml:space="preserve"> sentimentCategory(K1874)</f>
        <v>Positive</v>
      </c>
    </row>
    <row r="1875" spans="1:12">
      <c r="A1875" t="s">
        <v>223</v>
      </c>
      <c r="B1875" t="s">
        <v>2435</v>
      </c>
      <c r="C1875" t="str" cm="1">
        <f t="array" ref="C1875" xml:space="preserve"> CleanText(B1875)</f>
        <v>aaaaaaahhhhhh the background music at the last part if you dont feel goosebumps this teaser is not for you leave</v>
      </c>
      <c r="D1875">
        <v>2</v>
      </c>
      <c r="E1875">
        <v>0</v>
      </c>
      <c r="F1875" t="s">
        <v>0</v>
      </c>
      <c r="G1875" t="str" cm="1">
        <f t="array" ref="G1875" xml:space="preserve"> FindCountryName(F1875)</f>
        <v>None</v>
      </c>
      <c r="H1875" s="1">
        <v>45283.490011574075</v>
      </c>
      <c r="I1875" s="1">
        <v>45284.096018518518</v>
      </c>
      <c r="J1875" s="1">
        <v>40930.274942129632</v>
      </c>
      <c r="K1875" cm="1">
        <f t="array" ref="K1875" xml:space="preserve"> sentimentCalc(C1875)</f>
        <v>-1</v>
      </c>
      <c r="L1875" t="str" cm="1">
        <f t="array" ref="L1875" xml:space="preserve"> sentimentCategory(K1875)</f>
        <v>Negative</v>
      </c>
    </row>
    <row r="1876" spans="1:12">
      <c r="A1876" t="s">
        <v>2434</v>
      </c>
      <c r="B1876" t="s">
        <v>2433</v>
      </c>
      <c r="C1876" t="str" cm="1">
        <f t="array" ref="C1876" xml:space="preserve"> CleanText(B1876)</f>
        <v>can we talk about the fact that zuko was the hottest character in the animated show but now its suki not complaining thosuki is hot</v>
      </c>
      <c r="D1876">
        <v>0</v>
      </c>
      <c r="E1876">
        <v>0</v>
      </c>
      <c r="F1876" t="s">
        <v>0</v>
      </c>
      <c r="G1876" t="str" cm="1">
        <f t="array" ref="G1876" xml:space="preserve"> FindCountryName(F1876)</f>
        <v>None</v>
      </c>
      <c r="H1876" s="1">
        <v>45283.47824074074</v>
      </c>
      <c r="I1876" s="1">
        <v>45283.47824074074</v>
      </c>
      <c r="J1876" s="1">
        <v>41990.051759259259</v>
      </c>
      <c r="K1876" cm="1">
        <f t="array" ref="K1876" xml:space="preserve"> sentimentCalc(C1876)</f>
        <v>0</v>
      </c>
      <c r="L1876" t="str" cm="1">
        <f t="array" ref="L1876" xml:space="preserve"> sentimentCategory(K1876)</f>
        <v>Neutral</v>
      </c>
    </row>
    <row r="1877" spans="1:12">
      <c r="A1877" t="s">
        <v>2432</v>
      </c>
      <c r="B1877" t="s">
        <v>2431</v>
      </c>
      <c r="C1877" t="str" cm="1">
        <f t="array" ref="C1877" xml:space="preserve"> CleanText(B1877)</f>
        <v>looks identically bad as the movie ngl but wait the actors are actually racially accurate so that must mean it has to be good thats what the internet has been telling me _xD83C__xD83E_</v>
      </c>
      <c r="D1877">
        <v>0</v>
      </c>
      <c r="E1877">
        <v>0</v>
      </c>
      <c r="F1877" t="s">
        <v>19</v>
      </c>
      <c r="G1877" t="str" cm="1">
        <f t="array" ref="G1877" xml:space="preserve"> FindCountryName(F1877)</f>
        <v>United States of America (the)</v>
      </c>
      <c r="H1877" s="1">
        <v>45283.477337962962</v>
      </c>
      <c r="I1877" s="1">
        <v>45283.484293981484</v>
      </c>
      <c r="J1877" s="1">
        <v>41766.837280092594</v>
      </c>
      <c r="K1877" cm="1">
        <f t="array" ref="K1877" xml:space="preserve"> sentimentCalc(C1877)</f>
        <v>0</v>
      </c>
      <c r="L1877" t="str" cm="1">
        <f t="array" ref="L1877" xml:space="preserve"> sentimentCategory(K1877)</f>
        <v>Neutral</v>
      </c>
    </row>
    <row r="1878" spans="1:12">
      <c r="A1878" t="s">
        <v>2181</v>
      </c>
      <c r="B1878" t="s">
        <v>2430</v>
      </c>
      <c r="C1878" t="str" cm="1">
        <f t="array" ref="C1878" xml:space="preserve"> CleanText(B1878)</f>
        <v>zuko look like zuko</v>
      </c>
      <c r="D1878">
        <v>0</v>
      </c>
      <c r="E1878">
        <v>0</v>
      </c>
      <c r="F1878" t="s">
        <v>0</v>
      </c>
      <c r="G1878" t="str" cm="1">
        <f t="array" ref="G1878" xml:space="preserve"> FindCountryName(F1878)</f>
        <v>None</v>
      </c>
      <c r="H1878" s="1">
        <v>45283.45108796296</v>
      </c>
      <c r="I1878" s="1">
        <v>45283.45108796296</v>
      </c>
      <c r="J1878" s="1">
        <v>42131.985798611109</v>
      </c>
      <c r="K1878" cm="1">
        <f t="array" ref="K1878" xml:space="preserve"> sentimentCalc(C1878)</f>
        <v>2</v>
      </c>
      <c r="L1878" t="str" cm="1">
        <f t="array" ref="L1878" xml:space="preserve"> sentimentCategory(K1878)</f>
        <v>Positive</v>
      </c>
    </row>
    <row r="1879" spans="1:12">
      <c r="A1879" t="s">
        <v>2429</v>
      </c>
      <c r="B1879" t="s">
        <v>2428</v>
      </c>
      <c r="C1879" t="str" cm="1">
        <f t="array" ref="C1879" xml:space="preserve"> CleanText(B1879)</f>
        <v>if netflix can successfully adapt one piece they can do so with avatar the last airbender _xDD1E__xDD25_ lets go</v>
      </c>
      <c r="D1879">
        <v>2</v>
      </c>
      <c r="E1879">
        <v>0</v>
      </c>
      <c r="F1879" t="s">
        <v>0</v>
      </c>
      <c r="G1879" t="str" cm="1">
        <f t="array" ref="G1879" xml:space="preserve"> FindCountryName(F1879)</f>
        <v>None</v>
      </c>
      <c r="H1879" s="1">
        <v>45283.417650462965</v>
      </c>
      <c r="I1879" s="1">
        <v>45283.417650462965</v>
      </c>
      <c r="J1879" s="1">
        <v>44784.96162037037</v>
      </c>
      <c r="K1879" cm="1">
        <f t="array" ref="K1879" xml:space="preserve"> sentimentCalc(C1879)</f>
        <v>0</v>
      </c>
      <c r="L1879" t="str" cm="1">
        <f t="array" ref="L1879" xml:space="preserve"> sentimentCategory(K1879)</f>
        <v>Neutral</v>
      </c>
    </row>
    <row r="1880" spans="1:12">
      <c r="A1880" t="s">
        <v>2427</v>
      </c>
      <c r="B1880" t="s">
        <v>2426</v>
      </c>
      <c r="C1880" t="str" cm="1">
        <f t="array" ref="C1880" xml:space="preserve"> CleanText(B1880)</f>
        <v>if this was made by disney theyd all be black and gay</v>
      </c>
      <c r="D1880">
        <v>1</v>
      </c>
      <c r="E1880">
        <v>1</v>
      </c>
      <c r="F1880" t="s">
        <v>19</v>
      </c>
      <c r="G1880" t="str" cm="1">
        <f t="array" ref="G1880" xml:space="preserve"> FindCountryName(F1880)</f>
        <v>United States of America (the)</v>
      </c>
      <c r="H1880" s="1">
        <v>45283.410057870373</v>
      </c>
      <c r="I1880" s="1">
        <v>45283.410057870373</v>
      </c>
      <c r="J1880" s="1">
        <v>40138.534849537034</v>
      </c>
      <c r="K1880" cm="1">
        <f t="array" ref="K1880" xml:space="preserve"> sentimentCalc(C1880)</f>
        <v>0</v>
      </c>
      <c r="L1880" t="str" cm="1">
        <f t="array" ref="L1880" xml:space="preserve"> sentimentCategory(K1880)</f>
        <v>Neutral</v>
      </c>
    </row>
    <row r="1881" spans="1:12">
      <c r="A1881" t="s">
        <v>2425</v>
      </c>
      <c r="B1881" t="s">
        <v>2424</v>
      </c>
      <c r="C1881" t="str" cm="1">
        <f t="array" ref="C1881" xml:space="preserve"> CleanText(B1881)</f>
        <v>we dont need a live action avatar movie again what we really need is a new avatar series we had aang kora and now we need a new or old one)</v>
      </c>
      <c r="D1881">
        <v>1</v>
      </c>
      <c r="E1881">
        <v>0</v>
      </c>
      <c r="F1881" t="s">
        <v>0</v>
      </c>
      <c r="G1881" t="str" cm="1">
        <f t="array" ref="G1881" xml:space="preserve"> FindCountryName(F1881)</f>
        <v>None</v>
      </c>
      <c r="H1881" s="1">
        <v>45283.39303240741</v>
      </c>
      <c r="I1881" s="1">
        <v>45283.39303240741</v>
      </c>
      <c r="J1881" s="1">
        <v>42214.639444444445</v>
      </c>
      <c r="K1881" cm="1">
        <f t="array" ref="K1881" xml:space="preserve"> sentimentCalc(C1881)</f>
        <v>0</v>
      </c>
      <c r="L1881" t="str" cm="1">
        <f t="array" ref="L1881" xml:space="preserve"> sentimentCategory(K1881)</f>
        <v>Neutral</v>
      </c>
    </row>
    <row r="1882" spans="1:12">
      <c r="A1882" t="s">
        <v>2423</v>
      </c>
      <c r="B1882" t="s">
        <v>2422</v>
      </c>
      <c r="C1882" t="str" cm="1">
        <f t="array" ref="C1882" xml:space="preserve"> CleanText(B1882)</f>
        <v>please please please make it right</v>
      </c>
      <c r="D1882">
        <v>0</v>
      </c>
      <c r="E1882">
        <v>0</v>
      </c>
      <c r="F1882" t="s">
        <v>0</v>
      </c>
      <c r="G1882" t="str" cm="1">
        <f t="array" ref="G1882" xml:space="preserve"> FindCountryName(F1882)</f>
        <v>None</v>
      </c>
      <c r="H1882" s="1">
        <v>45283.351689814815</v>
      </c>
      <c r="I1882" s="1">
        <v>45283.351689814815</v>
      </c>
      <c r="J1882" s="1">
        <v>41161.087245370371</v>
      </c>
      <c r="K1882" cm="1">
        <f t="array" ref="K1882" xml:space="preserve"> sentimentCalc(C1882)</f>
        <v>3</v>
      </c>
      <c r="L1882" t="str" cm="1">
        <f t="array" ref="L1882" xml:space="preserve"> sentimentCategory(K1882)</f>
        <v>Positive</v>
      </c>
    </row>
    <row r="1883" spans="1:12">
      <c r="A1883" t="s">
        <v>2421</v>
      </c>
      <c r="B1883" t="s">
        <v>2420</v>
      </c>
      <c r="C1883" t="str" cm="1">
        <f t="array" ref="C1883" xml:space="preserve"> CleanText(B1883)</f>
        <v>real talk that better have the cabbage guy in here he was great comic relief</v>
      </c>
      <c r="D1883">
        <v>0</v>
      </c>
      <c r="E1883">
        <v>0</v>
      </c>
      <c r="F1883" t="s">
        <v>0</v>
      </c>
      <c r="G1883" t="str" cm="1">
        <f t="array" ref="G1883" xml:space="preserve"> FindCountryName(F1883)</f>
        <v>None</v>
      </c>
      <c r="H1883" s="1">
        <v>45283.347777777781</v>
      </c>
      <c r="I1883" s="1">
        <v>45283.347777777781</v>
      </c>
      <c r="J1883" s="1">
        <v>45170.237453703703</v>
      </c>
      <c r="K1883" cm="1">
        <f t="array" ref="K1883" xml:space="preserve"> sentimentCalc(C1883)</f>
        <v>5</v>
      </c>
      <c r="L1883" t="str" cm="1">
        <f t="array" ref="L1883" xml:space="preserve"> sentimentCategory(K1883)</f>
        <v>Positive</v>
      </c>
    </row>
    <row r="1884" spans="1:12">
      <c r="A1884" t="s">
        <v>178</v>
      </c>
      <c r="B1884" t="s">
        <v>2419</v>
      </c>
      <c r="C1884" t="str" cm="1">
        <f t="array" ref="C1884" xml:space="preserve"> CleanText(B1884)</f>
        <v>im so curious about tophs character</v>
      </c>
      <c r="D1884">
        <v>0</v>
      </c>
      <c r="E1884">
        <v>3</v>
      </c>
      <c r="F1884" t="s">
        <v>0</v>
      </c>
      <c r="G1884" t="str" cm="1">
        <f t="array" ref="G1884" xml:space="preserve"> FindCountryName(F1884)</f>
        <v>None</v>
      </c>
      <c r="H1884" s="1">
        <v>45283.292488425926</v>
      </c>
      <c r="I1884" s="1">
        <v>45283.292488425926</v>
      </c>
      <c r="J1884" s="1">
        <v>41321.61928240741</v>
      </c>
      <c r="K1884" cm="1">
        <f t="array" ref="K1884" xml:space="preserve"> sentimentCalc(C1884)</f>
        <v>1</v>
      </c>
      <c r="L1884" t="str" cm="1">
        <f t="array" ref="L1884" xml:space="preserve"> sentimentCategory(K1884)</f>
        <v>Positive</v>
      </c>
    </row>
    <row r="1885" spans="1:12">
      <c r="A1885" t="s">
        <v>1347</v>
      </c>
      <c r="B1885" t="s">
        <v>2418</v>
      </c>
      <c r="C1885" t="str" cm="1">
        <f t="array" ref="C1885" xml:space="preserve"> CleanText(B1885)</f>
        <v>i never want to hear about the little mermaids skin color after this btw im fine with it but i dont wanna hear any rigamarole about skin color anymore</v>
      </c>
      <c r="D1885">
        <v>0</v>
      </c>
      <c r="E1885">
        <v>0</v>
      </c>
      <c r="F1885" t="s">
        <v>0</v>
      </c>
      <c r="G1885" t="str" cm="1">
        <f t="array" ref="G1885" xml:space="preserve"> FindCountryName(F1885)</f>
        <v>None</v>
      </c>
      <c r="H1885" s="1">
        <v>45283.268726851849</v>
      </c>
      <c r="I1885" s="1">
        <v>45283.268726851849</v>
      </c>
      <c r="J1885" s="1">
        <v>40755.882939814815</v>
      </c>
      <c r="K1885" cm="1">
        <f t="array" ref="K1885" xml:space="preserve"> sentimentCalc(C1885)</f>
        <v>3</v>
      </c>
      <c r="L1885" t="str" cm="1">
        <f t="array" ref="L1885" xml:space="preserve"> sentimentCategory(K1885)</f>
        <v>Positive</v>
      </c>
    </row>
    <row r="1886" spans="1:12">
      <c r="A1886" t="s">
        <v>694</v>
      </c>
      <c r="B1886" t="s">
        <v>2417</v>
      </c>
      <c r="C1886" t="str" cm="1">
        <f t="array" ref="C1886" xml:space="preserve"> CleanText(B1886)</f>
        <v>this actually looks good wtf lets hope their acting chops do it justice unlike one piece</v>
      </c>
      <c r="D1886">
        <v>2</v>
      </c>
      <c r="E1886">
        <v>0</v>
      </c>
      <c r="F1886" t="s">
        <v>0</v>
      </c>
      <c r="G1886" t="str" cm="1">
        <f t="array" ref="G1886" xml:space="preserve"> FindCountryName(F1886)</f>
        <v>None</v>
      </c>
      <c r="H1886" s="1">
        <v>45283.248206018521</v>
      </c>
      <c r="I1886" s="1">
        <v>45283.248206018521</v>
      </c>
      <c r="J1886" s="1">
        <v>39219.356666666667</v>
      </c>
      <c r="K1886" cm="1">
        <f t="array" ref="K1886" xml:space="preserve"> sentimentCalc(C1886)</f>
        <v>7</v>
      </c>
      <c r="L1886" t="str" cm="1">
        <f t="array" ref="L1886" xml:space="preserve"> sentimentCategory(K1886)</f>
        <v>Positive</v>
      </c>
    </row>
    <row r="1887" spans="1:12">
      <c r="A1887" t="s">
        <v>56</v>
      </c>
      <c r="B1887" t="s">
        <v>2416</v>
      </c>
      <c r="C1887" t="str" cm="1">
        <f t="array" ref="C1887" xml:space="preserve"> CleanText(B1887)</f>
        <v>its becoming increasingly more difficult for studios to respect the source material these days in favour of making it political woke or giving a commentary on todays society netflix just tell the story we want to see</v>
      </c>
      <c r="D1887">
        <v>2</v>
      </c>
      <c r="E1887">
        <v>1</v>
      </c>
      <c r="F1887" t="s">
        <v>0</v>
      </c>
      <c r="G1887" t="str" cm="1">
        <f t="array" ref="G1887" xml:space="preserve"> FindCountryName(F1887)</f>
        <v>None</v>
      </c>
      <c r="H1887" s="1">
        <v>45283.191157407404</v>
      </c>
      <c r="I1887" s="1">
        <v>45283.191157407404</v>
      </c>
      <c r="J1887" s="1">
        <v>44312.042962962965</v>
      </c>
      <c r="K1887" cm="1">
        <f t="array" ref="K1887" xml:space="preserve"> sentimentCalc(C1887)</f>
        <v>0</v>
      </c>
      <c r="L1887" t="str" cm="1">
        <f t="array" ref="L1887" xml:space="preserve"> sentimentCategory(K1887)</f>
        <v>Neutral</v>
      </c>
    </row>
    <row r="1888" spans="1:12">
      <c r="A1888" t="s">
        <v>190</v>
      </c>
      <c r="B1888" t="s">
        <v>2415</v>
      </c>
      <c r="C1888" t="str" cm="1">
        <f t="array" ref="C1888" xml:space="preserve"> CleanText(B1888)</f>
        <v>zukos scar is trash why didnt they keep it like in the show its a brutal scar that burned all the way to his ear he looks like he has a black eye</v>
      </c>
      <c r="D1888">
        <v>1</v>
      </c>
      <c r="E1888">
        <v>0</v>
      </c>
      <c r="F1888" t="s">
        <v>0</v>
      </c>
      <c r="G1888" t="str" cm="1">
        <f t="array" ref="G1888" xml:space="preserve"> FindCountryName(F1888)</f>
        <v>None</v>
      </c>
      <c r="H1888" s="1">
        <v>45283.127187500002</v>
      </c>
      <c r="I1888" s="1">
        <v>45283.127187500002</v>
      </c>
      <c r="J1888" s="1">
        <v>39389.904803240737</v>
      </c>
      <c r="K1888" cm="1">
        <f t="array" ref="K1888" xml:space="preserve"> sentimentCalc(C1888)</f>
        <v>4</v>
      </c>
      <c r="L1888" t="str" cm="1">
        <f t="array" ref="L1888" xml:space="preserve"> sentimentCategory(K1888)</f>
        <v>Positive</v>
      </c>
    </row>
    <row r="1889" spans="1:12">
      <c r="A1889" t="s">
        <v>786</v>
      </c>
      <c r="B1889" t="s">
        <v>2414</v>
      </c>
      <c r="C1889" t="str" cm="1">
        <f t="array" ref="C1889" xml:space="preserve"> CleanText(B1889)</f>
        <v>my first epression was a feelng of cringe as a huge avatar fan lol</v>
      </c>
      <c r="D1889">
        <v>1</v>
      </c>
      <c r="E1889">
        <v>0</v>
      </c>
      <c r="F1889" t="s">
        <v>0</v>
      </c>
      <c r="G1889" t="str" cm="1">
        <f t="array" ref="G1889" xml:space="preserve"> FindCountryName(F1889)</f>
        <v>None</v>
      </c>
      <c r="H1889" s="1">
        <v>45283.116643518515</v>
      </c>
      <c r="I1889" s="1">
        <v>45283.116643518515</v>
      </c>
      <c r="J1889" s="1">
        <v>43079.230405092596</v>
      </c>
      <c r="K1889" cm="1">
        <f t="array" ref="K1889" xml:space="preserve"> sentimentCalc(C1889)</f>
        <v>4</v>
      </c>
      <c r="L1889" t="str" cm="1">
        <f t="array" ref="L1889" xml:space="preserve"> sentimentCategory(K1889)</f>
        <v>Positive</v>
      </c>
    </row>
    <row r="1890" spans="1:12">
      <c r="A1890" t="s">
        <v>2413</v>
      </c>
      <c r="B1890" t="s">
        <v>2412</v>
      </c>
      <c r="C1890" t="str" cm="1">
        <f t="array" ref="C1890" xml:space="preserve"> CleanText(B1890)</f>
        <v>please be better than the first live action please please plaease please</v>
      </c>
      <c r="D1890">
        <v>1</v>
      </c>
      <c r="E1890">
        <v>0</v>
      </c>
      <c r="F1890" t="s">
        <v>0</v>
      </c>
      <c r="G1890" t="str" cm="1">
        <f t="array" ref="G1890" xml:space="preserve"> FindCountryName(F1890)</f>
        <v>None</v>
      </c>
      <c r="H1890" s="1">
        <v>45283.103078703702</v>
      </c>
      <c r="I1890" s="1">
        <v>45283.103078703702</v>
      </c>
      <c r="J1890" s="1">
        <v>41967.708043981482</v>
      </c>
      <c r="K1890" cm="1">
        <f t="array" ref="K1890" xml:space="preserve"> sentimentCalc(C1890)</f>
        <v>6</v>
      </c>
      <c r="L1890" t="str" cm="1">
        <f t="array" ref="L1890" xml:space="preserve"> sentimentCategory(K1890)</f>
        <v>Positive</v>
      </c>
    </row>
    <row r="1891" spans="1:12">
      <c r="A1891" t="s">
        <v>1469</v>
      </c>
      <c r="B1891" t="s">
        <v>2411</v>
      </c>
      <c r="C1891" t="str" cm="1">
        <f t="array" ref="C1891" xml:space="preserve"> CleanText(B1891)</f>
        <v>-     ю         ь  0   .      ь.         й _xDE02_ n</v>
      </c>
      <c r="D1891">
        <v>0</v>
      </c>
      <c r="E1891">
        <v>0</v>
      </c>
      <c r="F1891" t="s">
        <v>0</v>
      </c>
      <c r="G1891" t="str" cm="1">
        <f t="array" ref="G1891" xml:space="preserve"> FindCountryName(F1891)</f>
        <v>None</v>
      </c>
      <c r="H1891" s="1">
        <v>45283.095694444448</v>
      </c>
      <c r="I1891" s="1">
        <v>45283.095694444448</v>
      </c>
      <c r="J1891" s="1">
        <v>44042.15320601852</v>
      </c>
      <c r="K1891" cm="1">
        <f t="array" ref="K1891" xml:space="preserve"> sentimentCalc(C1891)</f>
        <v>0</v>
      </c>
      <c r="L1891" t="str" cm="1">
        <f t="array" ref="L1891" xml:space="preserve"> sentimentCategory(K1891)</f>
        <v>Neutral</v>
      </c>
    </row>
    <row r="1892" spans="1:12">
      <c r="A1892" t="s">
        <v>233</v>
      </c>
      <c r="B1892" t="s">
        <v>2410</v>
      </c>
      <c r="C1892" t="str" cm="1">
        <f t="array" ref="C1892" xml:space="preserve"> CleanText(B1892)</f>
        <v>i dont think this will be a good</v>
      </c>
      <c r="D1892">
        <v>1</v>
      </c>
      <c r="E1892">
        <v>0</v>
      </c>
      <c r="F1892" t="s">
        <v>0</v>
      </c>
      <c r="G1892" t="str" cm="1">
        <f t="array" ref="G1892" xml:space="preserve"> FindCountryName(F1892)</f>
        <v>None</v>
      </c>
      <c r="H1892" s="1">
        <v>45283.07440972222</v>
      </c>
      <c r="I1892" s="1">
        <v>45283.07440972222</v>
      </c>
      <c r="J1892" s="1">
        <v>41829.136122685188</v>
      </c>
      <c r="K1892" cm="1">
        <f t="array" ref="K1892" xml:space="preserve"> sentimentCalc(C1892)</f>
        <v>3</v>
      </c>
      <c r="L1892" t="str" cm="1">
        <f t="array" ref="L1892" xml:space="preserve"> sentimentCategory(K1892)</f>
        <v>Positive</v>
      </c>
    </row>
    <row r="1893" spans="1:12">
      <c r="A1893" t="s">
        <v>1611</v>
      </c>
      <c r="B1893" t="s">
        <v>2409</v>
      </c>
      <c r="C1893" t="str" cm="1">
        <f t="array" ref="C1893" xml:space="preserve"> CleanText(B1893)</f>
        <v>uncle looks so adorable just wanna pinch his cheeks</v>
      </c>
      <c r="D1893">
        <v>1</v>
      </c>
      <c r="E1893">
        <v>0</v>
      </c>
      <c r="F1893" t="s">
        <v>19</v>
      </c>
      <c r="G1893" t="str" cm="1">
        <f t="array" ref="G1893" xml:space="preserve"> FindCountryName(F1893)</f>
        <v>United States of America (the)</v>
      </c>
      <c r="H1893" s="1">
        <v>45283.067812499998</v>
      </c>
      <c r="I1893" s="1">
        <v>45283.067812499998</v>
      </c>
      <c r="J1893" s="1">
        <v>44253.845925925925</v>
      </c>
      <c r="K1893" cm="1">
        <f t="array" ref="K1893" xml:space="preserve"> sentimentCalc(C1893)</f>
        <v>3</v>
      </c>
      <c r="L1893" t="str" cm="1">
        <f t="array" ref="L1893" xml:space="preserve"> sentimentCategory(K1893)</f>
        <v>Positive</v>
      </c>
    </row>
    <row r="1894" spans="1:12">
      <c r="A1894" t="s">
        <v>1190</v>
      </c>
      <c r="B1894" t="s">
        <v>2408</v>
      </c>
      <c r="C1894" t="str" cm="1">
        <f t="array" ref="C1894" xml:space="preserve"> CleanText(B1894)</f>
        <v>am here for sokka</v>
      </c>
      <c r="D1894">
        <v>0</v>
      </c>
      <c r="E1894">
        <v>0</v>
      </c>
      <c r="F1894" t="s">
        <v>0</v>
      </c>
      <c r="G1894" t="str" cm="1">
        <f t="array" ref="G1894" xml:space="preserve"> FindCountryName(F1894)</f>
        <v>None</v>
      </c>
      <c r="H1894" s="1">
        <v>45283.059467592589</v>
      </c>
      <c r="I1894" s="1">
        <v>45283.059467592589</v>
      </c>
      <c r="J1894" s="1">
        <v>41968.999259259261</v>
      </c>
      <c r="K1894" cm="1">
        <f t="array" ref="K1894" xml:space="preserve"> sentimentCalc(C1894)</f>
        <v>0</v>
      </c>
      <c r="L1894" t="str" cm="1">
        <f t="array" ref="L1894" xml:space="preserve"> sentimentCategory(K1894)</f>
        <v>Neutral</v>
      </c>
    </row>
    <row r="1895" spans="1:12">
      <c r="A1895" t="s">
        <v>2202</v>
      </c>
      <c r="B1895" t="s">
        <v>2407</v>
      </c>
      <c r="C1895" t="str" cm="1">
        <f t="array" ref="C1895" xml:space="preserve"> CleanText(B1895)</f>
        <v>momo</v>
      </c>
      <c r="D1895">
        <v>0</v>
      </c>
      <c r="E1895">
        <v>0</v>
      </c>
      <c r="F1895" t="s">
        <v>0</v>
      </c>
      <c r="G1895" t="str" cm="1">
        <f t="array" ref="G1895" xml:space="preserve"> FindCountryName(F1895)</f>
        <v>None</v>
      </c>
      <c r="H1895" s="1">
        <v>45283.020902777775</v>
      </c>
      <c r="I1895" s="1">
        <v>45283.020902777775</v>
      </c>
      <c r="J1895" s="1">
        <v>42528.485925925925</v>
      </c>
      <c r="K1895" cm="1">
        <f t="array" ref="K1895" xml:space="preserve"> sentimentCalc(C1895)</f>
        <v>0</v>
      </c>
      <c r="L1895" t="str" cm="1">
        <f t="array" ref="L1895" xml:space="preserve"> sentimentCategory(K1895)</f>
        <v>Neutral</v>
      </c>
    </row>
    <row r="1896" spans="1:12">
      <c r="A1896" t="s">
        <v>2406</v>
      </c>
      <c r="B1896" t="s">
        <v>2405</v>
      </c>
      <c r="C1896" t="str" cm="1">
        <f t="array" ref="C1896" xml:space="preserve"> CleanText(B1896)</f>
        <v>finally giving the people what they want</v>
      </c>
      <c r="D1896">
        <v>0</v>
      </c>
      <c r="E1896">
        <v>0</v>
      </c>
      <c r="F1896" t="s">
        <v>0</v>
      </c>
      <c r="G1896" t="str" cm="1">
        <f t="array" ref="G1896" xml:space="preserve"> FindCountryName(F1896)</f>
        <v>None</v>
      </c>
      <c r="H1896" s="1">
        <v>45282.960023148145</v>
      </c>
      <c r="I1896" s="1">
        <v>45282.960023148145</v>
      </c>
      <c r="J1896" s="1">
        <v>39629.754965277774</v>
      </c>
      <c r="K1896" cm="1">
        <f t="array" ref="K1896" xml:space="preserve"> sentimentCalc(C1896)</f>
        <v>1</v>
      </c>
      <c r="L1896" t="str" cm="1">
        <f t="array" ref="L1896" xml:space="preserve"> sentimentCategory(K1896)</f>
        <v>Positive</v>
      </c>
    </row>
    <row r="1897" spans="1:12">
      <c r="A1897" t="s">
        <v>2404</v>
      </c>
      <c r="B1897" t="s">
        <v>2403</v>
      </c>
      <c r="C1897" t="str" cm="1">
        <f t="array" ref="C1897" xml:space="preserve"> CleanText(B1897)</f>
        <v>just please pronounce his name right</v>
      </c>
      <c r="D1897">
        <v>2</v>
      </c>
      <c r="E1897">
        <v>1</v>
      </c>
      <c r="F1897" t="s">
        <v>0</v>
      </c>
      <c r="G1897" t="str" cm="1">
        <f t="array" ref="G1897" xml:space="preserve"> FindCountryName(F1897)</f>
        <v>None</v>
      </c>
      <c r="H1897" s="1">
        <v>45282.915393518517</v>
      </c>
      <c r="I1897" s="1">
        <v>45282.915393518517</v>
      </c>
      <c r="J1897" s="1">
        <v>38786.658483796295</v>
      </c>
      <c r="K1897" cm="1">
        <f t="array" ref="K1897" xml:space="preserve"> sentimentCalc(C1897)</f>
        <v>1</v>
      </c>
      <c r="L1897" t="str" cm="1">
        <f t="array" ref="L1897" xml:space="preserve"> sentimentCategory(K1897)</f>
        <v>Positive</v>
      </c>
    </row>
    <row r="1898" spans="1:12">
      <c r="A1898" t="s">
        <v>320</v>
      </c>
      <c r="B1898" t="s">
        <v>2402</v>
      </c>
      <c r="C1898" t="str" cm="1">
        <f t="array" ref="C1898" xml:space="preserve"> CleanText(B1898)</f>
        <v>this might be good crossing fingers guess we will see at  february</v>
      </c>
      <c r="D1898">
        <v>1</v>
      </c>
      <c r="E1898">
        <v>0</v>
      </c>
      <c r="F1898" t="s">
        <v>0</v>
      </c>
      <c r="G1898" t="str" cm="1">
        <f t="array" ref="G1898" xml:space="preserve"> FindCountryName(F1898)</f>
        <v>None</v>
      </c>
      <c r="H1898" s="1">
        <v>45282.913726851853</v>
      </c>
      <c r="I1898" s="1">
        <v>45282.913726851853</v>
      </c>
      <c r="J1898" s="1">
        <v>41635.282916666663</v>
      </c>
      <c r="K1898" cm="1">
        <f t="array" ref="K1898" xml:space="preserve"> sentimentCalc(C1898)</f>
        <v>3</v>
      </c>
      <c r="L1898" t="str" cm="1">
        <f t="array" ref="L1898" xml:space="preserve"> sentimentCategory(K1898)</f>
        <v>Positive</v>
      </c>
    </row>
    <row r="1899" spans="1:12">
      <c r="A1899" t="s">
        <v>2401</v>
      </c>
      <c r="B1899" t="s">
        <v>2400</v>
      </c>
      <c r="C1899" t="str" cm="1">
        <f t="array" ref="C1899" xml:space="preserve"> CleanText(B1899)</f>
        <v>love it</v>
      </c>
      <c r="D1899">
        <v>0</v>
      </c>
      <c r="E1899">
        <v>0</v>
      </c>
      <c r="F1899" t="s">
        <v>0</v>
      </c>
      <c r="G1899" t="str" cm="1">
        <f t="array" ref="G1899" xml:space="preserve"> FindCountryName(F1899)</f>
        <v>None</v>
      </c>
      <c r="H1899" s="1">
        <v>45282.912615740737</v>
      </c>
      <c r="I1899" s="1">
        <v>45282.912615740737</v>
      </c>
      <c r="J1899" s="1">
        <v>40376.977280092593</v>
      </c>
      <c r="K1899" cm="1">
        <f t="array" ref="K1899" xml:space="preserve"> sentimentCalc(C1899)</f>
        <v>3</v>
      </c>
      <c r="L1899" t="str" cm="1">
        <f t="array" ref="L1899" xml:space="preserve"> sentimentCategory(K1899)</f>
        <v>Positive</v>
      </c>
    </row>
    <row r="1900" spans="1:12">
      <c r="A1900" t="s">
        <v>622</v>
      </c>
      <c r="B1900" t="s">
        <v>2399</v>
      </c>
      <c r="C1900" t="str" cm="1">
        <f t="array" ref="C1900" xml:space="preserve"> CleanText(B1900)</f>
        <v>m night kiss my ass this is the real deal for real</v>
      </c>
      <c r="D1900">
        <v>1</v>
      </c>
      <c r="E1900">
        <v>0</v>
      </c>
      <c r="F1900" t="s">
        <v>19</v>
      </c>
      <c r="G1900" t="str" cm="1">
        <f t="array" ref="G1900" xml:space="preserve"> FindCountryName(F1900)</f>
        <v>United States of America (the)</v>
      </c>
      <c r="H1900" s="1">
        <v>45282.910752314812</v>
      </c>
      <c r="I1900" s="1">
        <v>45282.910752314812</v>
      </c>
      <c r="J1900" s="1">
        <v>39568.675949074073</v>
      </c>
      <c r="K1900" cm="1">
        <f t="array" ref="K1900" xml:space="preserve"> sentimentCalc(C1900)</f>
        <v>-2</v>
      </c>
      <c r="L1900" t="str" cm="1">
        <f t="array" ref="L1900" xml:space="preserve"> sentimentCategory(K1900)</f>
        <v>Negative</v>
      </c>
    </row>
    <row r="1901" spans="1:12">
      <c r="A1901" t="s">
        <v>2398</v>
      </c>
      <c r="B1901" t="s">
        <v>2397</v>
      </c>
      <c r="C1901" t="str" cm="1">
        <f t="array" ref="C1901" xml:space="preserve"> CleanText(B1901)</f>
        <v>im too excited thats why im commenting again lol _xDD37_ but for real  the avatar cartoon has gave so many people happiness the world needs a show that teaches compassion in these dark times _xDE4F_  keep the avatar around for long time</v>
      </c>
      <c r="D1901">
        <v>2</v>
      </c>
      <c r="E1901">
        <v>0</v>
      </c>
      <c r="F1901" t="s">
        <v>0</v>
      </c>
      <c r="G1901" t="str" cm="1">
        <f t="array" ref="G1901" xml:space="preserve"> FindCountryName(F1901)</f>
        <v>None</v>
      </c>
      <c r="H1901" s="1">
        <v>45282.904143518521</v>
      </c>
      <c r="I1901" s="1">
        <v>45282.904143518521</v>
      </c>
      <c r="J1901" s="1">
        <v>40604.430092592593</v>
      </c>
      <c r="K1901" cm="1">
        <f t="array" ref="K1901" xml:space="preserve"> sentimentCalc(C1901)</f>
        <v>6</v>
      </c>
      <c r="L1901" t="str" cm="1">
        <f t="array" ref="L1901" xml:space="preserve"> sentimentCategory(K1901)</f>
        <v>Positive</v>
      </c>
    </row>
    <row r="1902" spans="1:12">
      <c r="A1902" t="s">
        <v>367</v>
      </c>
      <c r="B1902" t="s">
        <v>2396</v>
      </c>
      <c r="C1902" t="str" cm="1">
        <f t="array" ref="C1902" xml:space="preserve"> CleanText(B1902)</f>
        <v>if i only hear his name said wrong im done watching</v>
      </c>
      <c r="D1902">
        <v>2</v>
      </c>
      <c r="E1902">
        <v>1</v>
      </c>
      <c r="F1902" t="s">
        <v>0</v>
      </c>
      <c r="G1902" t="str" cm="1">
        <f t="array" ref="G1902" xml:space="preserve"> FindCountryName(F1902)</f>
        <v>None</v>
      </c>
      <c r="H1902" s="1">
        <v>45282.903275462966</v>
      </c>
      <c r="I1902" s="1">
        <v>45282.903275462966</v>
      </c>
      <c r="J1902" s="1">
        <v>40646.007673611108</v>
      </c>
      <c r="K1902" cm="1">
        <f t="array" ref="K1902" xml:space="preserve"> sentimentCalc(C1902)</f>
        <v>-2</v>
      </c>
      <c r="L1902" t="str" cm="1">
        <f t="array" ref="L1902" xml:space="preserve"> sentimentCategory(K1902)</f>
        <v>Negative</v>
      </c>
    </row>
    <row r="1903" spans="1:12">
      <c r="A1903" t="s">
        <v>430</v>
      </c>
      <c r="B1903" t="s">
        <v>2395</v>
      </c>
      <c r="C1903" t="str" cm="1">
        <f t="array" ref="C1903" xml:space="preserve"> CleanText(B1903)</f>
        <v>i am so happy they are using the original music only thing i dont like is so far soka looks very serious in ever picture and scene hes in if hes not funny like he is in the cartoon that will be a huge mistake with fans</v>
      </c>
      <c r="D1903">
        <v>4</v>
      </c>
      <c r="E1903">
        <v>0</v>
      </c>
      <c r="F1903" t="s">
        <v>0</v>
      </c>
      <c r="G1903" t="str" cm="1">
        <f t="array" ref="G1903" xml:space="preserve"> FindCountryName(F1903)</f>
        <v>None</v>
      </c>
      <c r="H1903" s="1">
        <v>45282.901469907411</v>
      </c>
      <c r="I1903" s="1">
        <v>45282.901469907411</v>
      </c>
      <c r="J1903" s="1">
        <v>45280.035636574074</v>
      </c>
      <c r="K1903" cm="1">
        <f t="array" ref="K1903" xml:space="preserve"> sentimentCalc(C1903)</f>
        <v>10</v>
      </c>
      <c r="L1903" t="str" cm="1">
        <f t="array" ref="L1903" xml:space="preserve"> sentimentCategory(K1903)</f>
        <v>Positive</v>
      </c>
    </row>
    <row r="1904" spans="1:12">
      <c r="A1904" t="s">
        <v>2394</v>
      </c>
      <c r="B1904" t="s">
        <v>2393</v>
      </c>
      <c r="C1904" t="str" cm="1">
        <f t="array" ref="C1904" xml:space="preserve"> CleanText(B1904)</f>
        <v>looks sickespecially the fire bending scenes</v>
      </c>
      <c r="D1904">
        <v>1</v>
      </c>
      <c r="E1904">
        <v>0</v>
      </c>
      <c r="F1904" t="s">
        <v>0</v>
      </c>
      <c r="G1904" t="str" cm="1">
        <f t="array" ref="G1904" xml:space="preserve"> FindCountryName(F1904)</f>
        <v>None</v>
      </c>
      <c r="H1904" s="1">
        <v>45282.893506944441</v>
      </c>
      <c r="I1904" s="1">
        <v>45282.893506944441</v>
      </c>
      <c r="J1904" s="1">
        <v>44201.122037037036</v>
      </c>
      <c r="K1904" cm="1">
        <f t="array" ref="K1904" xml:space="preserve"> sentimentCalc(C1904)</f>
        <v>-2</v>
      </c>
      <c r="L1904" t="str" cm="1">
        <f t="array" ref="L1904" xml:space="preserve"> sentimentCategory(K1904)</f>
        <v>Negative</v>
      </c>
    </row>
    <row r="1905" spans="1:12">
      <c r="A1905" t="s">
        <v>2392</v>
      </c>
      <c r="B1905" t="s">
        <v>2391</v>
      </c>
      <c r="C1905" t="str" cm="1">
        <f t="array" ref="C1905" xml:space="preserve"> CleanText(B1905)</f>
        <v>be fair looks kinda scuffed way to cheap cgi</v>
      </c>
      <c r="D1905">
        <v>0</v>
      </c>
      <c r="E1905">
        <v>0</v>
      </c>
      <c r="F1905" t="s">
        <v>0</v>
      </c>
      <c r="G1905" t="str" cm="1">
        <f t="array" ref="G1905" xml:space="preserve"> FindCountryName(F1905)</f>
        <v>None</v>
      </c>
      <c r="H1905" s="1">
        <v>45282.853136574071</v>
      </c>
      <c r="I1905" s="1">
        <v>45282.853136574071</v>
      </c>
      <c r="J1905" s="1">
        <v>42301.444166666668</v>
      </c>
      <c r="K1905" cm="1">
        <f t="array" ref="K1905" xml:space="preserve"> sentimentCalc(C1905)</f>
        <v>2</v>
      </c>
      <c r="L1905" t="str" cm="1">
        <f t="array" ref="L1905" xml:space="preserve"> sentimentCategory(K1905)</f>
        <v>Positive</v>
      </c>
    </row>
    <row r="1906" spans="1:12">
      <c r="A1906" t="s">
        <v>223</v>
      </c>
      <c r="B1906" t="s">
        <v>2390</v>
      </c>
      <c r="C1906" t="str" cm="1">
        <f t="array" ref="C1906" xml:space="preserve"> CleanText(B1906)</f>
        <v>come on netflixdont spoil this pleaseeeeee</v>
      </c>
      <c r="D1906">
        <v>1</v>
      </c>
      <c r="E1906">
        <v>0</v>
      </c>
      <c r="F1906" t="s">
        <v>0</v>
      </c>
      <c r="G1906" t="str" cm="1">
        <f t="array" ref="G1906" xml:space="preserve"> FindCountryName(F1906)</f>
        <v>None</v>
      </c>
      <c r="H1906" s="1">
        <v>45282.819131944445</v>
      </c>
      <c r="I1906" s="1">
        <v>45282.819131944445</v>
      </c>
      <c r="J1906" s="1">
        <v>40235.928831018522</v>
      </c>
      <c r="K1906" cm="1">
        <f t="array" ref="K1906" xml:space="preserve"> sentimentCalc(C1906)</f>
        <v>0</v>
      </c>
      <c r="L1906" t="str" cm="1">
        <f t="array" ref="L1906" xml:space="preserve"> sentimentCategory(K1906)</f>
        <v>Neutral</v>
      </c>
    </row>
    <row r="1907" spans="1:12">
      <c r="A1907" t="s">
        <v>2389</v>
      </c>
      <c r="B1907" t="s">
        <v>2388</v>
      </c>
      <c r="C1907" t="str" cm="1">
        <f t="array" ref="C1907" xml:space="preserve"> CleanText(B1907)</f>
        <v>sad not a single joke or bit mark missed again for sure</v>
      </c>
      <c r="D1907">
        <v>1</v>
      </c>
      <c r="E1907">
        <v>0</v>
      </c>
      <c r="F1907" t="s">
        <v>0</v>
      </c>
      <c r="G1907" t="str" cm="1">
        <f t="array" ref="G1907" xml:space="preserve"> FindCountryName(F1907)</f>
        <v>None</v>
      </c>
      <c r="H1907" s="1">
        <v>45282.817349537036</v>
      </c>
      <c r="I1907" s="1">
        <v>45282.817349537036</v>
      </c>
      <c r="J1907" s="1">
        <v>42056.921863425923</v>
      </c>
      <c r="K1907" cm="1">
        <f t="array" ref="K1907" xml:space="preserve"> sentimentCalc(C1907)</f>
        <v>-2</v>
      </c>
      <c r="L1907" t="str" cm="1">
        <f t="array" ref="L1907" xml:space="preserve"> sentimentCategory(K1907)</f>
        <v>Negative</v>
      </c>
    </row>
    <row r="1908" spans="1:12">
      <c r="A1908" t="s">
        <v>86</v>
      </c>
      <c r="B1908" t="s">
        <v>2387</v>
      </c>
      <c r="C1908" t="str" cm="1">
        <f t="array" ref="C1908" xml:space="preserve"> CleanText(B1908)</f>
        <v>i love you netflix</v>
      </c>
      <c r="D1908">
        <v>0</v>
      </c>
      <c r="E1908">
        <v>0</v>
      </c>
      <c r="F1908" t="s">
        <v>0</v>
      </c>
      <c r="G1908" t="str" cm="1">
        <f t="array" ref="G1908" xml:space="preserve"> FindCountryName(F1908)</f>
        <v>None</v>
      </c>
      <c r="H1908" s="1">
        <v>45282.804629629631</v>
      </c>
      <c r="I1908" s="1">
        <v>45282.804629629631</v>
      </c>
      <c r="J1908" s="1">
        <v>43422.075925925928</v>
      </c>
      <c r="K1908" cm="1">
        <f t="array" ref="K1908" xml:space="preserve"> sentimentCalc(C1908)</f>
        <v>3</v>
      </c>
      <c r="L1908" t="str" cm="1">
        <f t="array" ref="L1908" xml:space="preserve"> sentimentCategory(K1908)</f>
        <v>Positive</v>
      </c>
    </row>
    <row r="1909" spans="1:12">
      <c r="A1909" t="s">
        <v>317</v>
      </c>
      <c r="B1909" t="s">
        <v>2386</v>
      </c>
      <c r="C1909" t="str" cm="1">
        <f t="array" ref="C1909" xml:space="preserve"> CleanText(B1909)</f>
        <v>aang and uncle iroh are perfectly cast imo but zukooof</v>
      </c>
      <c r="D1909">
        <v>1</v>
      </c>
      <c r="E1909">
        <v>0</v>
      </c>
      <c r="F1909" t="s">
        <v>19</v>
      </c>
      <c r="G1909" t="str" cm="1">
        <f t="array" ref="G1909" xml:space="preserve"> FindCountryName(F1909)</f>
        <v>United States of America (the)</v>
      </c>
      <c r="H1909" s="1">
        <v>45282.781898148147</v>
      </c>
      <c r="I1909" s="1">
        <v>45282.781898148147</v>
      </c>
      <c r="J1909" s="1">
        <v>44147.58252314815</v>
      </c>
      <c r="K1909" cm="1">
        <f t="array" ref="K1909" xml:space="preserve"> sentimentCalc(C1909)</f>
        <v>3</v>
      </c>
      <c r="L1909" t="str" cm="1">
        <f t="array" ref="L1909" xml:space="preserve"> sentimentCategory(K1909)</f>
        <v>Positive</v>
      </c>
    </row>
    <row r="1910" spans="1:12">
      <c r="A1910" t="s">
        <v>2385</v>
      </c>
      <c r="B1910" t="s">
        <v>2384</v>
      </c>
      <c r="C1910" t="str" cm="1">
        <f t="array" ref="C1910" xml:space="preserve"> CleanText(B1910)</f>
        <v>i dont want to watch this fall in love with it only for them to cancel it at its height just like they did to everything else</v>
      </c>
      <c r="D1910">
        <v>1</v>
      </c>
      <c r="E1910">
        <v>0</v>
      </c>
      <c r="F1910" t="s">
        <v>0</v>
      </c>
      <c r="G1910" t="str" cm="1">
        <f t="array" ref="G1910" xml:space="preserve"> FindCountryName(F1910)</f>
        <v>None</v>
      </c>
      <c r="H1910" s="1">
        <v>45282.769687499997</v>
      </c>
      <c r="I1910" s="1">
        <v>45282.769687499997</v>
      </c>
      <c r="J1910" s="1">
        <v>43035.730254629627</v>
      </c>
      <c r="K1910" cm="1">
        <f t="array" ref="K1910" xml:space="preserve"> sentimentCalc(C1910)</f>
        <v>5</v>
      </c>
      <c r="L1910" t="str" cm="1">
        <f t="array" ref="L1910" xml:space="preserve"> sentimentCategory(K1910)</f>
        <v>Positive</v>
      </c>
    </row>
    <row r="1911" spans="1:12">
      <c r="A1911" t="s">
        <v>130</v>
      </c>
      <c r="B1911" t="s">
        <v>2383</v>
      </c>
      <c r="C1911" t="str" cm="1">
        <f t="array" ref="C1911" xml:space="preserve"> CleanText(B1911)</f>
        <v>please stop</v>
      </c>
      <c r="D1911">
        <v>1</v>
      </c>
      <c r="E1911">
        <v>0</v>
      </c>
      <c r="F1911" t="s">
        <v>0</v>
      </c>
      <c r="G1911" t="str" cm="1">
        <f t="array" ref="G1911" xml:space="preserve"> FindCountryName(F1911)</f>
        <v>None</v>
      </c>
      <c r="H1911" s="1">
        <v>45282.765081018515</v>
      </c>
      <c r="I1911" s="1">
        <v>45282.765081018515</v>
      </c>
      <c r="J1911" s="1">
        <v>42264.605023148149</v>
      </c>
      <c r="K1911" cm="1">
        <f t="array" ref="K1911" xml:space="preserve"> sentimentCalc(C1911)</f>
        <v>0</v>
      </c>
      <c r="L1911" t="str" cm="1">
        <f t="array" ref="L1911" xml:space="preserve"> sentimentCategory(K1911)</f>
        <v>Neutral</v>
      </c>
    </row>
    <row r="1912" spans="1:12">
      <c r="A1912" t="s">
        <v>2110</v>
      </c>
      <c r="B1912" t="s">
        <v>2382</v>
      </c>
      <c r="C1912" t="str" cm="1">
        <f t="array" ref="C1912" xml:space="preserve"> CleanText(B1912)</f>
        <v>aang boy charachter is not a good match with katara at least not on this teaser remember they were getting closer towards the end of the series</v>
      </c>
      <c r="D1912">
        <v>0</v>
      </c>
      <c r="E1912">
        <v>0</v>
      </c>
      <c r="F1912" t="s">
        <v>1523</v>
      </c>
      <c r="G1912" t="str" cm="1">
        <f t="array" ref="G1912" xml:space="preserve"> FindCountryName(F1912)</f>
        <v>Turkey</v>
      </c>
      <c r="H1912" s="1">
        <v>45282.764317129629</v>
      </c>
      <c r="I1912" s="1">
        <v>45282.764317129629</v>
      </c>
      <c r="J1912" s="1">
        <v>40818.696620370371</v>
      </c>
      <c r="K1912" cm="1">
        <f t="array" ref="K1912" xml:space="preserve"> sentimentCalc(C1912)</f>
        <v>3</v>
      </c>
      <c r="L1912" t="str" cm="1">
        <f t="array" ref="L1912" xml:space="preserve"> sentimentCategory(K1912)</f>
        <v>Positive</v>
      </c>
    </row>
    <row r="1913" spans="1:12">
      <c r="A1913" t="s">
        <v>1565</v>
      </c>
      <c r="B1913" t="s">
        <v>2381</v>
      </c>
      <c r="C1913" t="str" cm="1">
        <f t="array" ref="C1913" xml:space="preserve"> CleanText(B1913)</f>
        <v>ooo 1 it shows the fire nation attacking and the air nation fighting back _xDE2E_ not a part in the show but open to watching their perspective _xDDD0_</v>
      </c>
      <c r="D1913">
        <v>0</v>
      </c>
      <c r="E1913">
        <v>0</v>
      </c>
      <c r="F1913" t="s">
        <v>0</v>
      </c>
      <c r="G1913" t="str" cm="1">
        <f t="array" ref="G1913" xml:space="preserve"> FindCountryName(F1913)</f>
        <v>None</v>
      </c>
      <c r="H1913" s="1">
        <v>45282.755428240744</v>
      </c>
      <c r="I1913" s="1">
        <v>45282.755428240744</v>
      </c>
      <c r="J1913" s="1">
        <v>44951.562141203707</v>
      </c>
      <c r="K1913" cm="1">
        <f t="array" ref="K1913" xml:space="preserve"> sentimentCalc(C1913)</f>
        <v>-3</v>
      </c>
      <c r="L1913" t="str" cm="1">
        <f t="array" ref="L1913" xml:space="preserve"> sentimentCategory(K1913)</f>
        <v>Negative</v>
      </c>
    </row>
    <row r="1914" spans="1:12">
      <c r="A1914" t="s">
        <v>2181</v>
      </c>
      <c r="B1914" t="s">
        <v>2380</v>
      </c>
      <c r="C1914" t="str" cm="1">
        <f t="array" ref="C1914" xml:space="preserve"> CleanText(B1914)</f>
        <v>just this trailer was better than the movie</v>
      </c>
      <c r="D1914">
        <v>2</v>
      </c>
      <c r="E1914">
        <v>0</v>
      </c>
      <c r="F1914" t="s">
        <v>19</v>
      </c>
      <c r="G1914" t="str" cm="1">
        <f t="array" ref="G1914" xml:space="preserve"> FindCountryName(F1914)</f>
        <v>United States of America (the)</v>
      </c>
      <c r="H1914" s="1">
        <v>45282.744467592594</v>
      </c>
      <c r="I1914" s="1">
        <v>45282.744467592594</v>
      </c>
      <c r="J1914" s="1">
        <v>42715.678738425922</v>
      </c>
      <c r="K1914" cm="1">
        <f t="array" ref="K1914" xml:space="preserve"> sentimentCalc(C1914)</f>
        <v>2</v>
      </c>
      <c r="L1914" t="str" cm="1">
        <f t="array" ref="L1914" xml:space="preserve"> sentimentCategory(K1914)</f>
        <v>Positive</v>
      </c>
    </row>
    <row r="1915" spans="1:12">
      <c r="A1915" t="s">
        <v>929</v>
      </c>
      <c r="B1915" t="s">
        <v>2379</v>
      </c>
      <c r="C1915" t="str" cm="1">
        <f t="array" ref="C1915" xml:space="preserve"> CleanText(B1915)</f>
        <v>bro  literal tears in my eyes rn</v>
      </c>
      <c r="D1915">
        <v>3</v>
      </c>
      <c r="E1915">
        <v>10</v>
      </c>
      <c r="F1915" t="s">
        <v>0</v>
      </c>
      <c r="G1915" t="str" cm="1">
        <f t="array" ref="G1915" xml:space="preserve"> FindCountryName(F1915)</f>
        <v>None</v>
      </c>
      <c r="H1915" s="1">
        <v>45282.719756944447</v>
      </c>
      <c r="I1915" s="1">
        <v>45282.719756944447</v>
      </c>
      <c r="J1915" s="1">
        <v>41733.728414351855</v>
      </c>
      <c r="K1915" cm="1">
        <f t="array" ref="K1915" xml:space="preserve"> sentimentCalc(C1915)</f>
        <v>-2</v>
      </c>
      <c r="L1915" t="str" cm="1">
        <f t="array" ref="L1915" xml:space="preserve"> sentimentCategory(K1915)</f>
        <v>Negative</v>
      </c>
    </row>
    <row r="1916" spans="1:12">
      <c r="A1916" t="s">
        <v>902</v>
      </c>
      <c r="B1916" t="s">
        <v>2378</v>
      </c>
      <c r="C1916" t="str" cm="1">
        <f t="array" ref="C1916" xml:space="preserve"> CleanText(B1916)</f>
        <v>please dont screw us over with the bending like the movie we do not mention</v>
      </c>
      <c r="D1916">
        <v>0</v>
      </c>
      <c r="E1916">
        <v>0</v>
      </c>
      <c r="F1916" t="s">
        <v>0</v>
      </c>
      <c r="G1916" t="str" cm="1">
        <f t="array" ref="G1916" xml:space="preserve"> FindCountryName(F1916)</f>
        <v>None</v>
      </c>
      <c r="H1916" s="1">
        <v>45282.712650462963</v>
      </c>
      <c r="I1916" s="1">
        <v>45282.712650462963</v>
      </c>
      <c r="J1916" s="1">
        <v>41251.438715277778</v>
      </c>
      <c r="K1916" cm="1">
        <f t="array" ref="K1916" xml:space="preserve"> sentimentCalc(C1916)</f>
        <v>3</v>
      </c>
      <c r="L1916" t="str" cm="1">
        <f t="array" ref="L1916" xml:space="preserve"> sentimentCategory(K1916)</f>
        <v>Positive</v>
      </c>
    </row>
    <row r="1917" spans="1:12">
      <c r="A1917" t="s">
        <v>102</v>
      </c>
      <c r="B1917" t="s">
        <v>2377</v>
      </c>
      <c r="C1917" t="str" cm="1">
        <f t="array" ref="C1917" xml:space="preserve"> CleanText(B1917)</f>
        <v>i need one main thing out of this plenty of goofy humor mixed in sokka must be a quirky jokester trying to prove hes tough and all the other humorous parts of characters personalities must be present avatar is avatar because of the balance of drama and humorobviously the m night shyamalan movie got that wrong</v>
      </c>
      <c r="D1917">
        <v>1</v>
      </c>
      <c r="E1917">
        <v>0</v>
      </c>
      <c r="F1917" t="s">
        <v>19</v>
      </c>
      <c r="G1917" t="str" cm="1">
        <f t="array" ref="G1917" xml:space="preserve"> FindCountryName(F1917)</f>
        <v>United States of America (the)</v>
      </c>
      <c r="H1917" s="1">
        <v>45282.664780092593</v>
      </c>
      <c r="I1917" s="1">
        <v>45282.664780092593</v>
      </c>
      <c r="J1917" s="1">
        <v>43230.039178240739</v>
      </c>
      <c r="K1917" cm="1">
        <f t="array" ref="K1917" xml:space="preserve"> sentimentCalc(C1917)</f>
        <v>2</v>
      </c>
      <c r="L1917" t="str" cm="1">
        <f t="array" ref="L1917" xml:space="preserve"> sentimentCategory(K1917)</f>
        <v>Positive</v>
      </c>
    </row>
    <row r="1918" spans="1:12">
      <c r="A1918" t="s">
        <v>363</v>
      </c>
      <c r="B1918" t="s">
        <v>2376</v>
      </c>
      <c r="C1918" t="str" cm="1">
        <f t="array" ref="C1918" xml:space="preserve"> CleanText(B1918)</f>
        <v>if were going to apply contemporary notions of science to the shrek universe then we must take into consideration the possibility that it is a far flung future civilization  since talking donkeys and dragons do not exist in the modern world its possible that they were genetically manipulated or uplifted species perhaps using donkeys as the base material for dragons</v>
      </c>
      <c r="D1918">
        <v>0</v>
      </c>
      <c r="E1918">
        <v>0</v>
      </c>
      <c r="F1918" t="s">
        <v>0</v>
      </c>
      <c r="G1918" t="str" cm="1">
        <f t="array" ref="G1918" xml:space="preserve"> FindCountryName(F1918)</f>
        <v>None</v>
      </c>
      <c r="H1918" s="1">
        <v>45282.599282407406</v>
      </c>
      <c r="I1918" s="1">
        <v>45282.599282407406</v>
      </c>
      <c r="J1918" s="1">
        <v>41297.432858796295</v>
      </c>
      <c r="K1918" cm="1">
        <f t="array" ref="K1918" xml:space="preserve"> sentimentCalc(C1918)</f>
        <v>-1</v>
      </c>
      <c r="L1918" t="str" cm="1">
        <f t="array" ref="L1918" xml:space="preserve"> sentimentCategory(K1918)</f>
        <v>Negative</v>
      </c>
    </row>
    <row r="1919" spans="1:12">
      <c r="A1919" t="s">
        <v>2375</v>
      </c>
      <c r="B1919" t="s">
        <v>2374</v>
      </c>
      <c r="C1919" t="str" cm="1">
        <f t="array" ref="C1919" xml:space="preserve"> CleanText(B1919)</f>
        <v>water earth fire air</v>
      </c>
      <c r="D1919">
        <v>0</v>
      </c>
      <c r="E1919">
        <v>0</v>
      </c>
      <c r="F1919" t="s">
        <v>0</v>
      </c>
      <c r="G1919" t="str" cm="1">
        <f t="array" ref="G1919" xml:space="preserve"> FindCountryName(F1919)</f>
        <v>None</v>
      </c>
      <c r="H1919" s="1">
        <v>45282.598749999997</v>
      </c>
      <c r="I1919" s="1">
        <v>45282.598749999997</v>
      </c>
      <c r="J1919" s="1">
        <v>42833.587314814817</v>
      </c>
      <c r="K1919" cm="1">
        <f t="array" ref="K1919" xml:space="preserve"> sentimentCalc(C1919)</f>
        <v>-2</v>
      </c>
      <c r="L1919" t="str" cm="1">
        <f t="array" ref="L1919" xml:space="preserve"> sentimentCategory(K1919)</f>
        <v>Negative</v>
      </c>
    </row>
    <row r="1920" spans="1:12">
      <c r="A1920" t="s">
        <v>2373</v>
      </c>
      <c r="B1920" t="s">
        <v>2372</v>
      </c>
      <c r="C1920" t="str" cm="1">
        <f t="array" ref="C1920" xml:space="preserve"> CleanText(B1920)</f>
        <v>the fact this teaser shows no acting or comedy is a red flag for me i hope it doesnt take itself too seriously it was a kids show</v>
      </c>
      <c r="D1920">
        <v>0</v>
      </c>
      <c r="E1920">
        <v>0</v>
      </c>
      <c r="F1920" t="s">
        <v>0</v>
      </c>
      <c r="G1920" t="str" cm="1">
        <f t="array" ref="G1920" xml:space="preserve"> FindCountryName(F1920)</f>
        <v>None</v>
      </c>
      <c r="H1920" s="1">
        <v>45282.596134259256</v>
      </c>
      <c r="I1920" s="1">
        <v>45282.596134259256</v>
      </c>
      <c r="J1920" s="1">
        <v>41081.887604166666</v>
      </c>
      <c r="K1920" cm="1">
        <f t="array" ref="K1920" xml:space="preserve"> sentimentCalc(C1920)</f>
        <v>2</v>
      </c>
      <c r="L1920" t="str" cm="1">
        <f t="array" ref="L1920" xml:space="preserve"> sentimentCategory(K1920)</f>
        <v>Positive</v>
      </c>
    </row>
    <row r="1921" spans="1:12">
      <c r="A1921" t="s">
        <v>1464</v>
      </c>
      <c r="B1921" t="s">
        <v>2371</v>
      </c>
      <c r="C1921" t="str" cm="1">
        <f t="array" ref="C1921" xml:space="preserve"> CleanText(B1921)</f>
        <v>i just hope after so many years of waiting for this movie the producers are not going to waste this movie like how napoleon bonaparte producers destroyed such a great movie i hope this will be hope to us adventure movie lovers once again</v>
      </c>
      <c r="D1921">
        <v>0</v>
      </c>
      <c r="E1921">
        <v>0</v>
      </c>
      <c r="F1921" t="s">
        <v>39</v>
      </c>
      <c r="G1921" t="str" cm="1">
        <f t="array" ref="G1921" xml:space="preserve"> FindCountryName(F1921)</f>
        <v>United Kingdom of Great Britain and Northern Ireland (the)</v>
      </c>
      <c r="H1921" s="1">
        <v>45282.580069444448</v>
      </c>
      <c r="I1921" s="1">
        <v>45282.580069444448</v>
      </c>
      <c r="J1921" s="1">
        <v>43600.187488425923</v>
      </c>
      <c r="K1921" cm="1">
        <f t="array" ref="K1921" xml:space="preserve"> sentimentCalc(C1921)</f>
        <v>9</v>
      </c>
      <c r="L1921" t="str" cm="1">
        <f t="array" ref="L1921" xml:space="preserve"> sentimentCategory(K1921)</f>
        <v>Positive</v>
      </c>
    </row>
    <row r="1922" spans="1:12">
      <c r="A1922" t="s">
        <v>2370</v>
      </c>
      <c r="B1922" t="s">
        <v>2369</v>
      </c>
      <c r="C1922" t="str" cm="1">
        <f t="array" ref="C1922" xml:space="preserve"> CleanText(B1922)</f>
        <v>well looks bad again</v>
      </c>
      <c r="D1922">
        <v>0</v>
      </c>
      <c r="E1922">
        <v>0</v>
      </c>
      <c r="F1922" t="s">
        <v>0</v>
      </c>
      <c r="G1922" t="str" cm="1">
        <f t="array" ref="G1922" xml:space="preserve"> FindCountryName(F1922)</f>
        <v>None</v>
      </c>
      <c r="H1922" s="1">
        <v>45282.568553240744</v>
      </c>
      <c r="I1922" s="1">
        <v>45282.568553240744</v>
      </c>
      <c r="J1922" s="1">
        <v>40591.174062500002</v>
      </c>
      <c r="K1922" cm="1">
        <f t="array" ref="K1922" xml:space="preserve"> sentimentCalc(C1922)</f>
        <v>-3</v>
      </c>
      <c r="L1922" t="str" cm="1">
        <f t="array" ref="L1922" xml:space="preserve"> sentimentCategory(K1922)</f>
        <v>Negative</v>
      </c>
    </row>
    <row r="1923" spans="1:12">
      <c r="A1923" t="s">
        <v>297</v>
      </c>
      <c r="B1923" t="s">
        <v>2368</v>
      </c>
      <c r="C1923" t="str" cm="1">
        <f t="array" ref="C1923" xml:space="preserve"> CleanText(B1923)</f>
        <v>lets just hope it wont be cringey</v>
      </c>
      <c r="D1923">
        <v>0</v>
      </c>
      <c r="E1923">
        <v>0</v>
      </c>
      <c r="F1923" t="s">
        <v>0</v>
      </c>
      <c r="G1923" t="str" cm="1">
        <f t="array" ref="G1923" xml:space="preserve"> FindCountryName(F1923)</f>
        <v>None</v>
      </c>
      <c r="H1923" s="1">
        <v>45282.536145833335</v>
      </c>
      <c r="I1923" s="1">
        <v>45282.536145833335</v>
      </c>
      <c r="J1923" s="1">
        <v>42386.0387962963</v>
      </c>
      <c r="K1923" cm="1">
        <f t="array" ref="K1923" xml:space="preserve"> sentimentCalc(C1923)</f>
        <v>2</v>
      </c>
      <c r="L1923" t="str" cm="1">
        <f t="array" ref="L1923" xml:space="preserve"> sentimentCategory(K1923)</f>
        <v>Positive</v>
      </c>
    </row>
    <row r="1924" spans="1:12">
      <c r="A1924" t="s">
        <v>2367</v>
      </c>
      <c r="B1924" t="s">
        <v>2366</v>
      </c>
      <c r="C1924" t="str" cm="1">
        <f t="array" ref="C1924" xml:space="preserve"> CleanText(B1924)</f>
        <v>the first  netflix did poor aangs new name was awng</v>
      </c>
      <c r="D1924">
        <v>0</v>
      </c>
      <c r="E1924">
        <v>0</v>
      </c>
      <c r="F1924" t="s">
        <v>0</v>
      </c>
      <c r="G1924" t="str" cm="1">
        <f t="array" ref="G1924" xml:space="preserve"> FindCountryName(F1924)</f>
        <v>None</v>
      </c>
      <c r="H1924" s="1">
        <v>45282.46502314815</v>
      </c>
      <c r="I1924" s="1">
        <v>45282.46502314815</v>
      </c>
      <c r="J1924" s="1">
        <v>45250.825578703705</v>
      </c>
      <c r="K1924" cm="1">
        <f t="array" ref="K1924" xml:space="preserve"> sentimentCalc(C1924)</f>
        <v>-2</v>
      </c>
      <c r="L1924" t="str" cm="1">
        <f t="array" ref="L1924" xml:space="preserve"> sentimentCategory(K1924)</f>
        <v>Negative</v>
      </c>
    </row>
    <row r="1925" spans="1:12">
      <c r="A1925" t="s">
        <v>2365</v>
      </c>
      <c r="B1925" t="s">
        <v>2364</v>
      </c>
      <c r="C1925" t="str" cm="1">
        <f t="array" ref="C1925" xml:space="preserve"> CleanText(B1925)</f>
        <v>dang it looks more accurate than the first cant wait for it to release</v>
      </c>
      <c r="D1925">
        <v>1</v>
      </c>
      <c r="E1925">
        <v>0</v>
      </c>
      <c r="F1925" t="s">
        <v>0</v>
      </c>
      <c r="G1925" t="str" cm="1">
        <f t="array" ref="G1925" xml:space="preserve"> FindCountryName(F1925)</f>
        <v>None</v>
      </c>
      <c r="H1925" s="1">
        <v>45282.370393518519</v>
      </c>
      <c r="I1925" s="1">
        <v>45282.370393518519</v>
      </c>
      <c r="J1925" s="1">
        <v>44877.81422453704</v>
      </c>
      <c r="K1925" cm="1">
        <f t="array" ref="K1925" xml:space="preserve"> sentimentCalc(C1925)</f>
        <v>0</v>
      </c>
      <c r="L1925" t="str" cm="1">
        <f t="array" ref="L1925" xml:space="preserve"> sentimentCategory(K1925)</f>
        <v>Neutral</v>
      </c>
    </row>
    <row r="1926" spans="1:12">
      <c r="A1926" t="s">
        <v>2363</v>
      </c>
      <c r="B1926" t="s">
        <v>2362</v>
      </c>
      <c r="C1926" t="str" cm="1">
        <f t="array" ref="C1926" xml:space="preserve"> CleanText(B1926)</f>
        <v>gosh please please pleeease dont ruin this -</v>
      </c>
      <c r="D1926">
        <v>0</v>
      </c>
      <c r="E1926">
        <v>0</v>
      </c>
      <c r="F1926" t="s">
        <v>0</v>
      </c>
      <c r="G1926" t="str" cm="1">
        <f t="array" ref="G1926" xml:space="preserve"> FindCountryName(F1926)</f>
        <v>None</v>
      </c>
      <c r="H1926" s="1">
        <v>45282.35392361111</v>
      </c>
      <c r="I1926" s="1">
        <v>45282.35392361111</v>
      </c>
      <c r="J1926" s="1">
        <v>44371.579560185186</v>
      </c>
      <c r="K1926" cm="1">
        <f t="array" ref="K1926" xml:space="preserve"> sentimentCalc(C1926)</f>
        <v>0</v>
      </c>
      <c r="L1926" t="str" cm="1">
        <f t="array" ref="L1926" xml:space="preserve"> sentimentCategory(K1926)</f>
        <v>Neutral</v>
      </c>
    </row>
    <row r="1927" spans="1:12">
      <c r="A1927" t="s">
        <v>523</v>
      </c>
      <c r="B1927" t="s">
        <v>2361</v>
      </c>
      <c r="C1927" t="str" cm="1">
        <f t="array" ref="C1927" xml:space="preserve"> CleanText(B1927)</f>
        <v>cartoons dont need to be insulted by creating an unnecessary surely worse product</v>
      </c>
      <c r="D1927">
        <v>0</v>
      </c>
      <c r="E1927">
        <v>0</v>
      </c>
      <c r="F1927" t="s">
        <v>0</v>
      </c>
      <c r="G1927" t="str" cm="1">
        <f t="array" ref="G1927" xml:space="preserve"> FindCountryName(F1927)</f>
        <v>None</v>
      </c>
      <c r="H1927" s="1">
        <v>45282.350775462961</v>
      </c>
      <c r="I1927" s="1">
        <v>45282.350775462961</v>
      </c>
      <c r="J1927" s="1">
        <v>39008.520208333335</v>
      </c>
      <c r="K1927" cm="1">
        <f t="array" ref="K1927" xml:space="preserve"> sentimentCalc(C1927)</f>
        <v>-5</v>
      </c>
      <c r="L1927" t="str" cm="1">
        <f t="array" ref="L1927" xml:space="preserve"> sentimentCategory(K1927)</f>
        <v>Negative</v>
      </c>
    </row>
    <row r="1928" spans="1:12">
      <c r="A1928" t="s">
        <v>175</v>
      </c>
      <c r="B1928" t="s">
        <v>2360</v>
      </c>
      <c r="C1928" t="str" cm="1">
        <f t="array" ref="C1928" xml:space="preserve"> CleanText(B1928)</f>
        <v>im hoping its better then the last</v>
      </c>
      <c r="D1928">
        <v>0</v>
      </c>
      <c r="E1928">
        <v>1</v>
      </c>
      <c r="F1928" t="s">
        <v>0</v>
      </c>
      <c r="G1928" t="str" cm="1">
        <f t="array" ref="G1928" xml:space="preserve"> FindCountryName(F1928)</f>
        <v>None</v>
      </c>
      <c r="H1928" s="1">
        <v>45282.348368055558</v>
      </c>
      <c r="I1928" s="1">
        <v>45282.348368055558</v>
      </c>
      <c r="J1928" s="1">
        <v>42515.770254629628</v>
      </c>
      <c r="K1928" cm="1">
        <f t="array" ref="K1928" xml:space="preserve"> sentimentCalc(C1928)</f>
        <v>4</v>
      </c>
      <c r="L1928" t="str" cm="1">
        <f t="array" ref="L1928" xml:space="preserve"> sentimentCategory(K1928)</f>
        <v>Positive</v>
      </c>
    </row>
    <row r="1929" spans="1:12">
      <c r="A1929" t="s">
        <v>38</v>
      </c>
      <c r="B1929" t="s">
        <v>2359</v>
      </c>
      <c r="C1929" t="str" cm="1">
        <f t="array" ref="C1929" xml:space="preserve"> CleanText(B1929)</f>
        <v>you guys need to report all of the people on youtube who are making fake trailers for this they are making money by stealing copyrighted footage</v>
      </c>
      <c r="D1929">
        <v>2</v>
      </c>
      <c r="E1929">
        <v>0</v>
      </c>
      <c r="F1929" t="s">
        <v>19</v>
      </c>
      <c r="G1929" t="str" cm="1">
        <f t="array" ref="G1929" xml:space="preserve"> FindCountryName(F1929)</f>
        <v>United States of America (the)</v>
      </c>
      <c r="H1929" s="1">
        <v>45282.329108796293</v>
      </c>
      <c r="I1929" s="1">
        <v>45282.329108796293</v>
      </c>
      <c r="J1929" s="1">
        <v>43497.413946759261</v>
      </c>
      <c r="K1929" cm="1">
        <f t="array" ref="K1929" xml:space="preserve"> sentimentCalc(C1929)</f>
        <v>-3</v>
      </c>
      <c r="L1929" t="str" cm="1">
        <f t="array" ref="L1929" xml:space="preserve"> sentimentCategory(K1929)</f>
        <v>Negative</v>
      </c>
    </row>
    <row r="1930" spans="1:12">
      <c r="A1930" t="s">
        <v>329</v>
      </c>
      <c r="B1930" t="s">
        <v>2358</v>
      </c>
      <c r="C1930" t="str" cm="1">
        <f t="array" ref="C1930" xml:space="preserve"> CleanText(B1930)</f>
        <v>this sokka looks to much like the actor in the 00 movie</v>
      </c>
      <c r="D1930">
        <v>0</v>
      </c>
      <c r="E1930">
        <v>3</v>
      </c>
      <c r="F1930" t="s">
        <v>0</v>
      </c>
      <c r="G1930" t="str" cm="1">
        <f t="array" ref="G1930" xml:space="preserve"> FindCountryName(F1930)</f>
        <v>None</v>
      </c>
      <c r="H1930" s="1">
        <v>45282.327048611114</v>
      </c>
      <c r="I1930" s="1">
        <v>45282.327048611114</v>
      </c>
      <c r="J1930" s="1">
        <v>42422.872233796297</v>
      </c>
      <c r="K1930" cm="1">
        <f t="array" ref="K1930" xml:space="preserve"> sentimentCalc(C1930)</f>
        <v>2</v>
      </c>
      <c r="L1930" t="str" cm="1">
        <f t="array" ref="L1930" xml:space="preserve"> sentimentCategory(K1930)</f>
        <v>Positive</v>
      </c>
    </row>
    <row r="1931" spans="1:12">
      <c r="A1931" t="s">
        <v>2357</v>
      </c>
      <c r="B1931" t="s">
        <v>2356</v>
      </c>
      <c r="C1931" t="str" cm="1">
        <f t="array" ref="C1931" xml:space="preserve"> CleanText(B1931)</f>
        <v>hoping for a redemption for dragonball z as well in the future</v>
      </c>
      <c r="D1931">
        <v>0</v>
      </c>
      <c r="E1931">
        <v>0</v>
      </c>
      <c r="F1931" t="s">
        <v>0</v>
      </c>
      <c r="G1931" t="str" cm="1">
        <f t="array" ref="G1931" xml:space="preserve"> FindCountryName(F1931)</f>
        <v>None</v>
      </c>
      <c r="H1931" s="1">
        <v>45282.30672453704</v>
      </c>
      <c r="I1931" s="1">
        <v>45282.30672453704</v>
      </c>
      <c r="J1931" s="1">
        <v>44814.209004629629</v>
      </c>
      <c r="K1931" cm="1">
        <f t="array" ref="K1931" xml:space="preserve"> sentimentCalc(C1931)</f>
        <v>2</v>
      </c>
      <c r="L1931" t="str" cm="1">
        <f t="array" ref="L1931" xml:space="preserve"> sentimentCategory(K1931)</f>
        <v>Positive</v>
      </c>
    </row>
    <row r="1932" spans="1:12">
      <c r="A1932" t="s">
        <v>198</v>
      </c>
      <c r="B1932" t="s">
        <v>2355</v>
      </c>
      <c r="C1932" t="str" cm="1">
        <f t="array" ref="C1932" xml:space="preserve"> CleanText(B1932)</f>
        <v>this came out like 5 years ago was a movie</v>
      </c>
      <c r="D1932">
        <v>0</v>
      </c>
      <c r="E1932">
        <v>1</v>
      </c>
      <c r="F1932" t="s">
        <v>0</v>
      </c>
      <c r="G1932" t="str" cm="1">
        <f t="array" ref="G1932" xml:space="preserve"> FindCountryName(F1932)</f>
        <v>None</v>
      </c>
      <c r="H1932" s="1">
        <v>45282.302800925929</v>
      </c>
      <c r="I1932" s="1">
        <v>45282.302800925929</v>
      </c>
      <c r="J1932" s="1">
        <v>39399.461585648147</v>
      </c>
      <c r="K1932" cm="1">
        <f t="array" ref="K1932" xml:space="preserve"> sentimentCalc(C1932)</f>
        <v>2</v>
      </c>
      <c r="L1932" t="str" cm="1">
        <f t="array" ref="L1932" xml:space="preserve"> sentimentCategory(K1932)</f>
        <v>Positive</v>
      </c>
    </row>
    <row r="1933" spans="1:12">
      <c r="A1933" t="s">
        <v>2354</v>
      </c>
      <c r="B1933" t="s">
        <v>2353</v>
      </c>
      <c r="C1933" t="str" cm="1">
        <f t="array" ref="C1933" xml:space="preserve"> CleanText(B1933)</f>
        <v>here is to hoping this is at least as good as one piece</v>
      </c>
      <c r="D1933">
        <v>0</v>
      </c>
      <c r="E1933">
        <v>0</v>
      </c>
      <c r="F1933" t="s">
        <v>0</v>
      </c>
      <c r="G1933" t="str" cm="1">
        <f t="array" ref="G1933" xml:space="preserve"> FindCountryName(F1933)</f>
        <v>None</v>
      </c>
      <c r="H1933" s="1">
        <v>45282.299988425926</v>
      </c>
      <c r="I1933" s="1">
        <v>45282.299988425926</v>
      </c>
      <c r="J1933" s="1">
        <v>44877.804085648146</v>
      </c>
      <c r="K1933" cm="1">
        <f t="array" ref="K1933" xml:space="preserve"> sentimentCalc(C1933)</f>
        <v>5</v>
      </c>
      <c r="L1933" t="str" cm="1">
        <f t="array" ref="L1933" xml:space="preserve"> sentimentCategory(K1933)</f>
        <v>Positive</v>
      </c>
    </row>
    <row r="1934" spans="1:12">
      <c r="A1934" t="s">
        <v>2352</v>
      </c>
      <c r="B1934" t="s">
        <v>2351</v>
      </c>
      <c r="C1934" t="str" cm="1">
        <f t="array" ref="C1934" xml:space="preserve"> CleanText(B1934)</f>
        <v>speaking to entertainment weekly the avatar showrunner revealed his origins with nickelodeons beloved animated series having watched avatar with his daughter and like many people found its storytelling just so epic and much beyond the audience it was targeted for however after joining the show kim had to deal with the public fallout of avatar cocreators michael dante dimartino and bryan konietzko leaving the project and the expectations of making the first liveaction avatar adaptation since m night shyamalans muchmaligned the last airbender film on trying to live up to these expectations kim admitted youd have to be an idiot not to be intimidated a little bit my first reaction after hell yeah was holy s do i really want to do this is there a way to improve upon the original whenever you tackle something thats already beloved by millions of fans you have to ask yourself those questionsultimately kim decided to stick with avatar given the original series groundbreaking cultural roots in eastern philosophy mythology and martial arts translating this to liveaction he pointed out meant setting new benchmarks for representation by featuring an all asian and indigenous cast with avatar casting gordon cormier kiawentiio tarbell and ian ousley as original team avatar leads aang katara and sokka other notable additions include paul sunhyung lee kims convenience the mandalorian as iroh dallas liu pen5 as prince zuko amber midthunder prey as princess yue and yvonne chapman kung fu as former avatar kyoshi amongst many more likewise kim was enthusiastic about the chance to retell avatar over a decade after it created a multimedia franchise stating that was really appealing to me being able to bring this story to a new generationcbr</v>
      </c>
      <c r="D1934">
        <v>0</v>
      </c>
      <c r="E1934">
        <v>0</v>
      </c>
      <c r="F1934" t="s">
        <v>0</v>
      </c>
      <c r="G1934" t="str" cm="1">
        <f t="array" ref="G1934" xml:space="preserve"> FindCountryName(F1934)</f>
        <v>None</v>
      </c>
      <c r="H1934" s="1">
        <v>45282.283009259256</v>
      </c>
      <c r="I1934" s="1">
        <v>45282.283009259256</v>
      </c>
      <c r="J1934" s="1">
        <v>44843.09479166667</v>
      </c>
      <c r="K1934" cm="1">
        <f t="array" ref="K1934" xml:space="preserve"> sentimentCalc(C1934)</f>
        <v>7</v>
      </c>
      <c r="L1934" t="str" cm="1">
        <f t="array" ref="L1934" xml:space="preserve"> sentimentCategory(K1934)</f>
        <v>Positive</v>
      </c>
    </row>
    <row r="1935" spans="1:12">
      <c r="A1935" t="s">
        <v>1565</v>
      </c>
      <c r="B1935" t="s">
        <v>2350</v>
      </c>
      <c r="C1935" t="str" cm="1">
        <f t="array" ref="C1935" xml:space="preserve"> CleanText(B1935)</f>
        <v>у        ё э           ё   у       n</v>
      </c>
      <c r="D1935">
        <v>0</v>
      </c>
      <c r="E1935">
        <v>0</v>
      </c>
      <c r="F1935" t="s">
        <v>0</v>
      </c>
      <c r="G1935" t="str" cm="1">
        <f t="array" ref="G1935" xml:space="preserve"> FindCountryName(F1935)</f>
        <v>None</v>
      </c>
      <c r="H1935" s="1">
        <v>45282.259039351855</v>
      </c>
      <c r="I1935" s="1">
        <v>45282.259039351855</v>
      </c>
      <c r="J1935" s="1">
        <v>42543.249074074076</v>
      </c>
      <c r="K1935" cm="1">
        <f t="array" ref="K1935" xml:space="preserve"> sentimentCalc(C1935)</f>
        <v>0</v>
      </c>
      <c r="L1935" t="str" cm="1">
        <f t="array" ref="L1935" xml:space="preserve"> sentimentCategory(K1935)</f>
        <v>Neutral</v>
      </c>
    </row>
    <row r="1936" spans="1:12">
      <c r="A1936" t="s">
        <v>2349</v>
      </c>
      <c r="B1936" t="s">
        <v>2348</v>
      </c>
      <c r="C1936" t="str" cm="1">
        <f t="array" ref="C1936" xml:space="preserve"> CleanText(B1936)</f>
        <v>yes please</v>
      </c>
      <c r="D1936">
        <v>0</v>
      </c>
      <c r="E1936">
        <v>0</v>
      </c>
      <c r="F1936" t="s">
        <v>0</v>
      </c>
      <c r="G1936" t="str" cm="1">
        <f t="array" ref="G1936" xml:space="preserve"> FindCountryName(F1936)</f>
        <v>None</v>
      </c>
      <c r="H1936" s="1">
        <v>45282.240810185183</v>
      </c>
      <c r="I1936" s="1">
        <v>45282.240810185183</v>
      </c>
      <c r="J1936" s="1">
        <v>41442.38553240741</v>
      </c>
      <c r="K1936" cm="1">
        <f t="array" ref="K1936" xml:space="preserve"> sentimentCalc(C1936)</f>
        <v>2</v>
      </c>
      <c r="L1936" t="str" cm="1">
        <f t="array" ref="L1936" xml:space="preserve"> sentimentCategory(K1936)</f>
        <v>Positive</v>
      </c>
    </row>
    <row r="1937" spans="1:12">
      <c r="A1937" t="s">
        <v>353</v>
      </c>
      <c r="B1937" t="s">
        <v>2347</v>
      </c>
      <c r="C1937" t="str" cm="1">
        <f t="array" ref="C1937" xml:space="preserve"> CleanText(B1937)</f>
        <v>this is pretty damn impressive and is reviving some hope for good liveacting remake of this absolute legend of a series only thing i personally am a little iffy about is zukos scar i feel like they could probably go a little more wild with the makeup and facial transformation for that  but besides that this is looking pretty damn good</v>
      </c>
      <c r="D1937">
        <v>3</v>
      </c>
      <c r="E1937">
        <v>2</v>
      </c>
      <c r="F1937" t="s">
        <v>0</v>
      </c>
      <c r="G1937" t="str" cm="1">
        <f t="array" ref="G1937" xml:space="preserve"> FindCountryName(F1937)</f>
        <v>None</v>
      </c>
      <c r="H1937" s="1">
        <v>45282.159351851849</v>
      </c>
      <c r="I1937" s="1">
        <v>45282.159351851849</v>
      </c>
      <c r="J1937" s="1">
        <v>41353.61105324074</v>
      </c>
      <c r="K1937" cm="1">
        <f t="array" ref="K1937" xml:space="preserve"> sentimentCalc(C1937)</f>
        <v>7</v>
      </c>
      <c r="L1937" t="str" cm="1">
        <f t="array" ref="L1937" xml:space="preserve"> sentimentCategory(K1937)</f>
        <v>Positive</v>
      </c>
    </row>
    <row r="1938" spans="1:12">
      <c r="A1938" t="s">
        <v>30</v>
      </c>
      <c r="B1938" t="s">
        <v>2346</v>
      </c>
      <c r="C1938" t="str" cm="1">
        <f t="array" ref="C1938" xml:space="preserve"> CleanText(B1938)</f>
        <v>thank you simply thank you</v>
      </c>
      <c r="D1938">
        <v>0</v>
      </c>
      <c r="E1938">
        <v>0</v>
      </c>
      <c r="F1938" t="s">
        <v>0</v>
      </c>
      <c r="G1938" t="str" cm="1">
        <f t="array" ref="G1938" xml:space="preserve"> FindCountryName(F1938)</f>
        <v>None</v>
      </c>
      <c r="H1938" s="1">
        <v>45282.116342592592</v>
      </c>
      <c r="I1938" s="1">
        <v>45282.116342592592</v>
      </c>
      <c r="J1938" s="1">
        <v>43289.996458333335</v>
      </c>
      <c r="K1938" cm="1">
        <f t="array" ref="K1938" xml:space="preserve"> sentimentCalc(C1938)</f>
        <v>4</v>
      </c>
      <c r="L1938" t="str" cm="1">
        <f t="array" ref="L1938" xml:space="preserve"> sentimentCategory(K1938)</f>
        <v>Positive</v>
      </c>
    </row>
    <row r="1939" spans="1:12">
      <c r="A1939" t="s">
        <v>1009</v>
      </c>
      <c r="B1939" t="s">
        <v>2345</v>
      </c>
      <c r="C1939" t="str" cm="1">
        <f t="array" ref="C1939" xml:space="preserve"> CleanText(B1939)</f>
        <v>lets hope this movie is great</v>
      </c>
      <c r="D1939">
        <v>0</v>
      </c>
      <c r="E1939">
        <v>0</v>
      </c>
      <c r="F1939" t="s">
        <v>0</v>
      </c>
      <c r="G1939" t="str" cm="1">
        <f t="array" ref="G1939" xml:space="preserve"> FindCountryName(F1939)</f>
        <v>None</v>
      </c>
      <c r="H1939" s="1">
        <v>45282.099583333336</v>
      </c>
      <c r="I1939" s="1">
        <v>45282.099583333336</v>
      </c>
      <c r="J1939" s="1">
        <v>41402.664988425924</v>
      </c>
      <c r="K1939" cm="1">
        <f t="array" ref="K1939" xml:space="preserve"> sentimentCalc(C1939)</f>
        <v>5</v>
      </c>
      <c r="L1939" t="str" cm="1">
        <f t="array" ref="L1939" xml:space="preserve"> sentimentCategory(K1939)</f>
        <v>Positive</v>
      </c>
    </row>
    <row r="1940" spans="1:12">
      <c r="A1940" t="s">
        <v>108</v>
      </c>
      <c r="B1940" t="s">
        <v>2344</v>
      </c>
      <c r="C1940" t="str" cm="1">
        <f t="array" ref="C1940" xml:space="preserve"> CleanText(B1940)</f>
        <v>i dont understand theyre making only one movie about a whole series at least make a few then right</v>
      </c>
      <c r="D1940">
        <v>0</v>
      </c>
      <c r="E1940">
        <v>1</v>
      </c>
      <c r="F1940" t="s">
        <v>0</v>
      </c>
      <c r="G1940" t="str" cm="1">
        <f t="array" ref="G1940" xml:space="preserve"> FindCountryName(F1940)</f>
        <v>None</v>
      </c>
      <c r="H1940" s="1">
        <v>45282.092314814814</v>
      </c>
      <c r="I1940" s="1">
        <v>45282.092314814814</v>
      </c>
      <c r="J1940" s="1">
        <v>41643.186724537038</v>
      </c>
      <c r="K1940" cm="1">
        <f t="array" ref="K1940" xml:space="preserve"> sentimentCalc(C1940)</f>
        <v>0</v>
      </c>
      <c r="L1940" t="str" cm="1">
        <f t="array" ref="L1940" xml:space="preserve"> sentimentCategory(K1940)</f>
        <v>Neutral</v>
      </c>
    </row>
    <row r="1941" spans="1:12">
      <c r="A1941" t="s">
        <v>317</v>
      </c>
      <c r="B1941" t="s">
        <v>2343</v>
      </c>
      <c r="C1941" t="str" cm="1">
        <f t="array" ref="C1941" xml:space="preserve"> CleanText(B1941)</f>
        <v>this just might actually be good</v>
      </c>
      <c r="D1941">
        <v>0</v>
      </c>
      <c r="E1941">
        <v>0</v>
      </c>
      <c r="F1941" t="s">
        <v>0</v>
      </c>
      <c r="G1941" t="str" cm="1">
        <f t="array" ref="G1941" xml:space="preserve"> FindCountryName(F1941)</f>
        <v>None</v>
      </c>
      <c r="H1941" s="1">
        <v>45282.052569444444</v>
      </c>
      <c r="I1941" s="1">
        <v>45282.052569444444</v>
      </c>
      <c r="J1941" s="1">
        <v>44646.800613425927</v>
      </c>
      <c r="K1941" cm="1">
        <f t="array" ref="K1941" xml:space="preserve"> sentimentCalc(C1941)</f>
        <v>3</v>
      </c>
      <c r="L1941" t="str" cm="1">
        <f t="array" ref="L1941" xml:space="preserve"> sentimentCategory(K1941)</f>
        <v>Positive</v>
      </c>
    </row>
    <row r="1942" spans="1:12">
      <c r="A1942" t="s">
        <v>960</v>
      </c>
      <c r="B1942" t="s">
        <v>2342</v>
      </c>
      <c r="C1942" t="str" cm="1">
        <f t="array" ref="C1942" xml:space="preserve"> CleanText(B1942)</f>
        <v>please please please no white black indian or middle eastern actorseveryone should be east asian dont ruin the show please</v>
      </c>
      <c r="D1942">
        <v>1</v>
      </c>
      <c r="E1942">
        <v>3</v>
      </c>
      <c r="F1942" t="s">
        <v>0</v>
      </c>
      <c r="G1942" t="str" cm="1">
        <f t="array" ref="G1942" xml:space="preserve"> FindCountryName(F1942)</f>
        <v>None</v>
      </c>
      <c r="H1942" s="1">
        <v>45282.006990740738</v>
      </c>
      <c r="I1942" s="1">
        <v>45282.045763888891</v>
      </c>
      <c r="J1942" s="1">
        <v>42666.125185185185</v>
      </c>
      <c r="K1942" cm="1">
        <f t="array" ref="K1942" xml:space="preserve"> sentimentCalc(C1942)</f>
        <v>1</v>
      </c>
      <c r="L1942" t="str" cm="1">
        <f t="array" ref="L1942" xml:space="preserve"> sentimentCategory(K1942)</f>
        <v>Positive</v>
      </c>
    </row>
    <row r="1943" spans="1:12">
      <c r="A1943" t="s">
        <v>82</v>
      </c>
      <c r="B1943" t="s">
        <v>2341</v>
      </c>
      <c r="C1943" t="str" cm="1">
        <f t="array" ref="C1943" xml:space="preserve"> CleanText(B1943)</f>
        <v>god i can feel this big deception happening again</v>
      </c>
      <c r="D1943">
        <v>0</v>
      </c>
      <c r="E1943">
        <v>0</v>
      </c>
      <c r="F1943" t="s">
        <v>0</v>
      </c>
      <c r="G1943" t="str" cm="1">
        <f t="array" ref="G1943" xml:space="preserve"> FindCountryName(F1943)</f>
        <v>None</v>
      </c>
      <c r="H1943" s="1">
        <v>45281.921747685185</v>
      </c>
      <c r="I1943" s="1">
        <v>45281.921747685185</v>
      </c>
      <c r="J1943" s="1">
        <v>44402.719942129632</v>
      </c>
      <c r="K1943" cm="1">
        <f t="array" ref="K1943" xml:space="preserve"> sentimentCalc(C1943)</f>
        <v>-1</v>
      </c>
      <c r="L1943" t="str" cm="1">
        <f t="array" ref="L1943" xml:space="preserve"> sentimentCategory(K1943)</f>
        <v>Negative</v>
      </c>
    </row>
    <row r="1944" spans="1:12">
      <c r="A1944" t="s">
        <v>1829</v>
      </c>
      <c r="B1944" t="s">
        <v>2340</v>
      </c>
      <c r="C1944" t="str" cm="1">
        <f t="array" ref="C1944" xml:space="preserve"> CleanText(B1944)</f>
        <v>ok ok i remembered when shaymalans trailer was first released had been very worried that an  hour st season clocked in at a  minute movie i felt hopeful after the trailer the best d i had seen st the time then the movie debute and i saw it opening weekend quite possibly the worst movie i had ever seen the only great d was the footage that was also in the trailer only about  minutes of the entire movie was palatable and it contained no spoken lines seriously it reminded of the stage play at the end of book  because aside from katara being beautiful she did cry for much of the movie though she was the only one of the young stars aside from zuko who delivered her terrible lines well at least half the time uncle iroh and what was his name) the fire lord performed well for everyone else i had to wince and hidey head in shame</v>
      </c>
      <c r="D1944">
        <v>0</v>
      </c>
      <c r="E1944">
        <v>0</v>
      </c>
      <c r="F1944" t="s">
        <v>0</v>
      </c>
      <c r="G1944" t="str" cm="1">
        <f t="array" ref="G1944" xml:space="preserve"> FindCountryName(F1944)</f>
        <v>None</v>
      </c>
      <c r="H1944" s="1">
        <v>45281.914490740739</v>
      </c>
      <c r="I1944" s="1">
        <v>45281.914490740739</v>
      </c>
      <c r="J1944" s="1">
        <v>44533.586875000001</v>
      </c>
      <c r="K1944" cm="1">
        <f t="array" ref="K1944" xml:space="preserve"> sentimentCalc(C1944)</f>
        <v>-4</v>
      </c>
      <c r="L1944" t="str" cm="1">
        <f t="array" ref="L1944" xml:space="preserve"> sentimentCategory(K1944)</f>
        <v>Negative</v>
      </c>
    </row>
    <row r="1945" spans="1:12">
      <c r="A1945" t="s">
        <v>349</v>
      </c>
      <c r="B1945" t="s">
        <v>2339</v>
      </c>
      <c r="C1945" t="str" cm="1">
        <f t="array" ref="C1945" xml:space="preserve"> CleanText(B1945)</f>
        <v>theres no way this can be worse than the other one looks better from the preview</v>
      </c>
      <c r="D1945">
        <v>0</v>
      </c>
      <c r="E1945">
        <v>0</v>
      </c>
      <c r="F1945" t="s">
        <v>0</v>
      </c>
      <c r="G1945" t="str" cm="1">
        <f t="array" ref="G1945" xml:space="preserve"> FindCountryName(F1945)</f>
        <v>None</v>
      </c>
      <c r="H1945" s="1">
        <v>45281.900949074072</v>
      </c>
      <c r="I1945" s="1">
        <v>45281.900949074072</v>
      </c>
      <c r="J1945" s="1">
        <v>41251.84784722222</v>
      </c>
      <c r="K1945" cm="1">
        <f t="array" ref="K1945" xml:space="preserve"> sentimentCalc(C1945)</f>
        <v>-2</v>
      </c>
      <c r="L1945" t="str" cm="1">
        <f t="array" ref="L1945" xml:space="preserve"> sentimentCategory(K1945)</f>
        <v>Negative</v>
      </c>
    </row>
    <row r="1946" spans="1:12">
      <c r="A1946" t="s">
        <v>955</v>
      </c>
      <c r="B1946" t="s">
        <v>2338</v>
      </c>
      <c r="C1946" t="str" cm="1">
        <f t="array" ref="C1946" xml:space="preserve"> CleanText(B1946)</f>
        <v>i cant wait to watch it this show was and still is one of my favorite and from the looks of it it might not be as bad as the other one i love the effects and the cgi are so good and even tho sokka looks kinda old they still did a grate casting and i cant wait to see toph shes my favorite character after zuko d</v>
      </c>
      <c r="D1946">
        <v>13</v>
      </c>
      <c r="E1946">
        <v>2</v>
      </c>
      <c r="F1946" t="s">
        <v>0</v>
      </c>
      <c r="G1946" t="str" cm="1">
        <f t="array" ref="G1946" xml:space="preserve"> FindCountryName(F1946)</f>
        <v>None</v>
      </c>
      <c r="H1946" s="1">
        <v>45281.869398148148</v>
      </c>
      <c r="I1946" s="1">
        <v>45281.869398148148</v>
      </c>
      <c r="J1946" s="1">
        <v>43777.523576388892</v>
      </c>
      <c r="K1946" cm="1">
        <f t="array" ref="K1946" xml:space="preserve"> sentimentCalc(C1946)</f>
        <v>7</v>
      </c>
      <c r="L1946" t="str" cm="1">
        <f t="array" ref="L1946" xml:space="preserve"> sentimentCategory(K1946)</f>
        <v>Positive</v>
      </c>
    </row>
    <row r="1947" spans="1:12">
      <c r="A1947" t="s">
        <v>276</v>
      </c>
      <c r="B1947" t="s">
        <v>2337</v>
      </c>
      <c r="C1947" t="str" cm="1">
        <f t="array" ref="C1947" xml:space="preserve"> CleanText(B1947)</f>
        <v>i like how this ong doesnt always look constipated</v>
      </c>
      <c r="D1947">
        <v>0</v>
      </c>
      <c r="E1947">
        <v>0</v>
      </c>
      <c r="F1947" t="s">
        <v>19</v>
      </c>
      <c r="G1947" t="str" cm="1">
        <f t="array" ref="G1947" xml:space="preserve"> FindCountryName(F1947)</f>
        <v>United States of America (the)</v>
      </c>
      <c r="H1947" s="1">
        <v>45281.859513888892</v>
      </c>
      <c r="I1947" s="1">
        <v>45281.859513888892</v>
      </c>
      <c r="J1947" s="1">
        <v>41679.728842592594</v>
      </c>
      <c r="K1947" cm="1">
        <f t="array" ref="K1947" xml:space="preserve"> sentimentCalc(C1947)</f>
        <v>2</v>
      </c>
      <c r="L1947" t="str" cm="1">
        <f t="array" ref="L1947" xml:space="preserve"> sentimentCategory(K1947)</f>
        <v>Positive</v>
      </c>
    </row>
    <row r="1948" spans="1:12">
      <c r="A1948" t="s">
        <v>1681</v>
      </c>
      <c r="B1948" t="s">
        <v>2336</v>
      </c>
      <c r="C1948" t="str" cm="1">
        <f t="array" ref="C1948" xml:space="preserve"> CleanText(B1948)</f>
        <v>this makes me think netflix can pull off a cgi chopper loved this trailer by the way</v>
      </c>
      <c r="D1948">
        <v>0</v>
      </c>
      <c r="E1948">
        <v>0</v>
      </c>
      <c r="F1948" t="s">
        <v>0</v>
      </c>
      <c r="G1948" t="str" cm="1">
        <f t="array" ref="G1948" xml:space="preserve"> FindCountryName(F1948)</f>
        <v>None</v>
      </c>
      <c r="H1948" s="1">
        <v>45281.835555555554</v>
      </c>
      <c r="I1948" s="1">
        <v>45281.835555555554</v>
      </c>
      <c r="J1948" s="1">
        <v>40499.887060185189</v>
      </c>
      <c r="K1948" cm="1">
        <f t="array" ref="K1948" xml:space="preserve"> sentimentCalc(C1948)</f>
        <v>3</v>
      </c>
      <c r="L1948" t="str" cm="1">
        <f t="array" ref="L1948" xml:space="preserve"> sentimentCategory(K1948)</f>
        <v>Positive</v>
      </c>
    </row>
    <row r="1949" spans="1:12">
      <c r="A1949" t="s">
        <v>1337</v>
      </c>
      <c r="B1949" t="s">
        <v>2335</v>
      </c>
      <c r="C1949" t="str" cm="1">
        <f t="array" ref="C1949" xml:space="preserve"> CleanText(B1949)</f>
        <v>saw a fake version got worried saw this one more hope still worried</v>
      </c>
      <c r="D1949">
        <v>0</v>
      </c>
      <c r="E1949">
        <v>0</v>
      </c>
      <c r="F1949" t="s">
        <v>0</v>
      </c>
      <c r="G1949" t="str" cm="1">
        <f t="array" ref="G1949" xml:space="preserve"> FindCountryName(F1949)</f>
        <v>None</v>
      </c>
      <c r="H1949" s="1">
        <v>45281.826180555552</v>
      </c>
      <c r="I1949" s="1">
        <v>45281.826180555552</v>
      </c>
      <c r="J1949" s="1">
        <v>40958.051192129627</v>
      </c>
      <c r="K1949" cm="1">
        <f t="array" ref="K1949" xml:space="preserve"> sentimentCalc(C1949)</f>
        <v>-7</v>
      </c>
      <c r="L1949" t="str" cm="1">
        <f t="array" ref="L1949" xml:space="preserve"> sentimentCategory(K1949)</f>
        <v>Negative</v>
      </c>
    </row>
    <row r="1950" spans="1:12">
      <c r="A1950" t="s">
        <v>571</v>
      </c>
      <c r="B1950" t="s">
        <v>2334</v>
      </c>
      <c r="C1950" t="str" cm="1">
        <f t="array" ref="C1950" xml:space="preserve"> CleanText(B1950)</f>
        <v>hey thats going to be on my birthday hopefully its a good present</v>
      </c>
      <c r="D1950">
        <v>0</v>
      </c>
      <c r="E1950">
        <v>0</v>
      </c>
      <c r="F1950" t="s">
        <v>0</v>
      </c>
      <c r="G1950" t="str" cm="1">
        <f t="array" ref="G1950" xml:space="preserve"> FindCountryName(F1950)</f>
        <v>None</v>
      </c>
      <c r="H1950" s="1">
        <v>45281.767245370371</v>
      </c>
      <c r="I1950" s="1">
        <v>45281.767245370371</v>
      </c>
      <c r="J1950" s="1">
        <v>39773.857523148145</v>
      </c>
      <c r="K1950" cm="1">
        <f t="array" ref="K1950" xml:space="preserve"> sentimentCalc(C1950)</f>
        <v>5</v>
      </c>
      <c r="L1950" t="str" cm="1">
        <f t="array" ref="L1950" xml:space="preserve"> sentimentCategory(K1950)</f>
        <v>Positive</v>
      </c>
    </row>
    <row r="1951" spans="1:12">
      <c r="A1951" t="s">
        <v>2333</v>
      </c>
      <c r="B1951" t="s">
        <v>2332</v>
      </c>
      <c r="C1951" t="str" cm="1">
        <f t="array" ref="C1951" xml:space="preserve"> CleanText(B1951)</f>
        <v>i think i can speak for all of us when i say that m night shyamalan needs to stay far away from this one</v>
      </c>
      <c r="D1951">
        <v>1</v>
      </c>
      <c r="E1951">
        <v>0</v>
      </c>
      <c r="F1951" t="s">
        <v>0</v>
      </c>
      <c r="G1951" t="str" cm="1">
        <f t="array" ref="G1951" xml:space="preserve"> FindCountryName(F1951)</f>
        <v>None</v>
      </c>
      <c r="H1951" s="1">
        <v>45281.754710648151</v>
      </c>
      <c r="I1951" s="1">
        <v>45281.754710648151</v>
      </c>
      <c r="J1951" s="1">
        <v>45200.984861111108</v>
      </c>
      <c r="K1951" cm="1">
        <f t="array" ref="K1951" xml:space="preserve"> sentimentCalc(C1951)</f>
        <v>0</v>
      </c>
      <c r="L1951" t="str" cm="1">
        <f t="array" ref="L1951" xml:space="preserve"> sentimentCategory(K1951)</f>
        <v>Neutral</v>
      </c>
    </row>
    <row r="1952" spans="1:12">
      <c r="A1952" t="s">
        <v>2331</v>
      </c>
      <c r="B1952" t="s">
        <v>2330</v>
      </c>
      <c r="C1952" t="str" cm="1">
        <f t="array" ref="C1952" xml:space="preserve"> CleanText(B1952)</f>
        <v>mehh</v>
      </c>
      <c r="D1952">
        <v>1</v>
      </c>
      <c r="E1952">
        <v>0</v>
      </c>
      <c r="F1952" t="s">
        <v>0</v>
      </c>
      <c r="G1952" t="str" cm="1">
        <f t="array" ref="G1952" xml:space="preserve"> FindCountryName(F1952)</f>
        <v>None</v>
      </c>
      <c r="H1952" s="1">
        <v>45281.738738425927</v>
      </c>
      <c r="I1952" s="1">
        <v>45281.738738425927</v>
      </c>
      <c r="J1952" s="1">
        <v>43094.051018518519</v>
      </c>
      <c r="K1952" cm="1">
        <f t="array" ref="K1952" xml:space="preserve"> sentimentCalc(C1952)</f>
        <v>0</v>
      </c>
      <c r="L1952" t="str" cm="1">
        <f t="array" ref="L1952" xml:space="preserve"> sentimentCategory(K1952)</f>
        <v>Neutral</v>
      </c>
    </row>
    <row r="1953" spans="1:12">
      <c r="A1953" t="s">
        <v>2329</v>
      </c>
      <c r="B1953" t="s">
        <v>2328</v>
      </c>
      <c r="C1953" t="str" cm="1">
        <f t="array" ref="C1953" xml:space="preserve"> CleanText(B1953)</f>
        <v>they definitely did their research on this series and i cant wait to watch it</v>
      </c>
      <c r="D1953">
        <v>0</v>
      </c>
      <c r="E1953">
        <v>0</v>
      </c>
      <c r="F1953" t="s">
        <v>0</v>
      </c>
      <c r="G1953" t="str" cm="1">
        <f t="array" ref="G1953" xml:space="preserve"> FindCountryName(F1953)</f>
        <v>None</v>
      </c>
      <c r="H1953" s="1">
        <v>45281.708472222221</v>
      </c>
      <c r="I1953" s="1">
        <v>45281.708472222221</v>
      </c>
      <c r="J1953" s="1">
        <v>43866.568796296298</v>
      </c>
      <c r="K1953" cm="1">
        <f t="array" ref="K1953" xml:space="preserve"> sentimentCalc(C1953)</f>
        <v>0</v>
      </c>
      <c r="L1953" t="str" cm="1">
        <f t="array" ref="L1953" xml:space="preserve"> sentimentCategory(K1953)</f>
        <v>Neutral</v>
      </c>
    </row>
    <row r="1954" spans="1:12">
      <c r="A1954" t="s">
        <v>1874</v>
      </c>
      <c r="B1954" t="s">
        <v>2327</v>
      </c>
      <c r="C1954" t="str" cm="1">
        <f t="array" ref="C1954" xml:space="preserve"> CleanText(B1954)</f>
        <v>more tea please</v>
      </c>
      <c r="D1954">
        <v>0</v>
      </c>
      <c r="E1954">
        <v>0</v>
      </c>
      <c r="F1954" t="s">
        <v>0</v>
      </c>
      <c r="G1954" t="str" cm="1">
        <f t="array" ref="G1954" xml:space="preserve"> FindCountryName(F1954)</f>
        <v>None</v>
      </c>
      <c r="H1954" s="1">
        <v>45281.707094907404</v>
      </c>
      <c r="I1954" s="1">
        <v>45281.707094907404</v>
      </c>
      <c r="J1954" s="1">
        <v>41818.549976851849</v>
      </c>
      <c r="K1954" cm="1">
        <f t="array" ref="K1954" xml:space="preserve"> sentimentCalc(C1954)</f>
        <v>1</v>
      </c>
      <c r="L1954" t="str" cm="1">
        <f t="array" ref="L1954" xml:space="preserve"> sentimentCategory(K1954)</f>
        <v>Positive</v>
      </c>
    </row>
    <row r="1955" spans="1:12">
      <c r="A1955" t="s">
        <v>2326</v>
      </c>
      <c r="B1955" t="s">
        <v>2325</v>
      </c>
      <c r="C1955" t="str" cm="1">
        <f t="array" ref="C1955" xml:space="preserve"> CleanText(B1955)</f>
        <v>yay they didnt make aang black</v>
      </c>
      <c r="D1955">
        <v>0</v>
      </c>
      <c r="E1955">
        <v>0</v>
      </c>
      <c r="F1955" t="s">
        <v>0</v>
      </c>
      <c r="G1955" t="str" cm="1">
        <f t="array" ref="G1955" xml:space="preserve"> FindCountryName(F1955)</f>
        <v>None</v>
      </c>
      <c r="H1955" s="1">
        <v>45281.694710648146</v>
      </c>
      <c r="I1955" s="1">
        <v>45281.694710648146</v>
      </c>
      <c r="J1955" s="1">
        <v>41776.556608796294</v>
      </c>
      <c r="K1955" cm="1">
        <f t="array" ref="K1955" xml:space="preserve"> sentimentCalc(C1955)</f>
        <v>0</v>
      </c>
      <c r="L1955" t="str" cm="1">
        <f t="array" ref="L1955" xml:space="preserve"> sentimentCategory(K1955)</f>
        <v>Neutral</v>
      </c>
    </row>
    <row r="1956" spans="1:12">
      <c r="A1956" t="s">
        <v>2324</v>
      </c>
      <c r="B1956" t="s">
        <v>2323</v>
      </c>
      <c r="C1956" t="str" cm="1">
        <f t="array" ref="C1956" xml:space="preserve"> CleanText(B1956)</f>
        <v>the fact that m night shyamalan is not involved is already an improvement the shyamalan version could honestly be defined as a hate crime</v>
      </c>
      <c r="D1956">
        <v>0</v>
      </c>
      <c r="E1956">
        <v>0</v>
      </c>
      <c r="F1956" t="s">
        <v>0</v>
      </c>
      <c r="G1956" t="str" cm="1">
        <f t="array" ref="G1956" xml:space="preserve"> FindCountryName(F1956)</f>
        <v>None</v>
      </c>
      <c r="H1956" s="1">
        <v>45281.693692129629</v>
      </c>
      <c r="I1956" s="1">
        <v>45281.693692129629</v>
      </c>
      <c r="J1956" s="1">
        <v>41513.471076388887</v>
      </c>
      <c r="K1956" cm="1">
        <f t="array" ref="K1956" xml:space="preserve"> sentimentCalc(C1956)</f>
        <v>-4</v>
      </c>
      <c r="L1956" t="str" cm="1">
        <f t="array" ref="L1956" xml:space="preserve"> sentimentCategory(K1956)</f>
        <v>Negative</v>
      </c>
    </row>
    <row r="1957" spans="1:12">
      <c r="A1957" t="s">
        <v>82</v>
      </c>
      <c r="B1957" t="s">
        <v>2322</v>
      </c>
      <c r="C1957" t="str" cm="1">
        <f t="array" ref="C1957" xml:space="preserve"> CleanText(B1957)</f>
        <v>where is the cabbage merchant</v>
      </c>
      <c r="D1957">
        <v>1</v>
      </c>
      <c r="E1957">
        <v>0</v>
      </c>
      <c r="F1957" t="s">
        <v>323</v>
      </c>
      <c r="G1957" t="str" cm="1">
        <f t="array" ref="G1957" xml:space="preserve"> FindCountryName(F1957)</f>
        <v>Netherlands (the)</v>
      </c>
      <c r="H1957" s="1">
        <v>45281.676770833335</v>
      </c>
      <c r="I1957" s="1">
        <v>45281.676770833335</v>
      </c>
      <c r="J1957" s="1">
        <v>42245.433854166666</v>
      </c>
      <c r="K1957" cm="1">
        <f t="array" ref="K1957" xml:space="preserve"> sentimentCalc(C1957)</f>
        <v>0</v>
      </c>
      <c r="L1957" t="str" cm="1">
        <f t="array" ref="L1957" xml:space="preserve"> sentimentCategory(K1957)</f>
        <v>Neutral</v>
      </c>
    </row>
    <row r="1958" spans="1:12">
      <c r="A1958" t="s">
        <v>2321</v>
      </c>
      <c r="B1958" t="s">
        <v>2320</v>
      </c>
      <c r="C1958" t="str" cm="1">
        <f t="array" ref="C1958" xml:space="preserve"> CleanText(B1958)</f>
        <v>just hope they have not those brainwashed woke idiots at the set</v>
      </c>
      <c r="D1958">
        <v>0</v>
      </c>
      <c r="E1958">
        <v>0</v>
      </c>
      <c r="F1958" t="s">
        <v>0</v>
      </c>
      <c r="G1958" t="str" cm="1">
        <f t="array" ref="G1958" xml:space="preserve"> FindCountryName(F1958)</f>
        <v>None</v>
      </c>
      <c r="H1958" s="1">
        <v>45281.672152777777</v>
      </c>
      <c r="I1958" s="1">
        <v>45281.672152777777</v>
      </c>
      <c r="J1958" s="1">
        <v>40780.798900462964</v>
      </c>
      <c r="K1958" cm="1">
        <f t="array" ref="K1958" xml:space="preserve"> sentimentCalc(C1958)</f>
        <v>2</v>
      </c>
      <c r="L1958" t="str" cm="1">
        <f t="array" ref="L1958" xml:space="preserve"> sentimentCategory(K1958)</f>
        <v>Positive</v>
      </c>
    </row>
    <row r="1959" spans="1:12">
      <c r="A1959" t="s">
        <v>612</v>
      </c>
      <c r="B1959" t="s">
        <v>2319</v>
      </c>
      <c r="C1959" t="str" cm="1">
        <f t="array" ref="C1959" xml:space="preserve"> CleanText(B1959)</f>
        <v>do not f up my childhood netflixif this does not tearbend me to shreds then i dont want it _xDE22_</v>
      </c>
      <c r="D1959">
        <v>0</v>
      </c>
      <c r="E1959">
        <v>0</v>
      </c>
      <c r="F1959" t="s">
        <v>0</v>
      </c>
      <c r="G1959" t="str" cm="1">
        <f t="array" ref="G1959" xml:space="preserve"> FindCountryName(F1959)</f>
        <v>None</v>
      </c>
      <c r="H1959" s="1">
        <v>45281.648032407407</v>
      </c>
      <c r="I1959" s="1">
        <v>45281.648032407407</v>
      </c>
      <c r="J1959" s="1">
        <v>42006.655127314814</v>
      </c>
      <c r="K1959" cm="1">
        <f t="array" ref="K1959" xml:space="preserve"> sentimentCalc(C1959)</f>
        <v>1</v>
      </c>
      <c r="L1959" t="str" cm="1">
        <f t="array" ref="L1959" xml:space="preserve"> sentimentCategory(K1959)</f>
        <v>Positive</v>
      </c>
    </row>
    <row r="1960" spans="1:12">
      <c r="A1960" t="s">
        <v>950</v>
      </c>
      <c r="B1960" t="s">
        <v>2318</v>
      </c>
      <c r="C1960" t="str" cm="1">
        <f t="array" ref="C1960" xml:space="preserve"> CleanText(B1960)</f>
        <v>sad that dante basco isnt zuko but this looks good</v>
      </c>
      <c r="D1960">
        <v>0</v>
      </c>
      <c r="E1960">
        <v>0</v>
      </c>
      <c r="F1960" t="s">
        <v>0</v>
      </c>
      <c r="G1960" t="str" cm="1">
        <f t="array" ref="G1960" xml:space="preserve"> FindCountryName(F1960)</f>
        <v>None</v>
      </c>
      <c r="H1960" s="1">
        <v>45281.592638888891</v>
      </c>
      <c r="I1960" s="1">
        <v>45281.592638888891</v>
      </c>
      <c r="J1960" s="1">
        <v>41523.95616898148</v>
      </c>
      <c r="K1960" cm="1">
        <f t="array" ref="K1960" xml:space="preserve"> sentimentCalc(C1960)</f>
        <v>1</v>
      </c>
      <c r="L1960" t="str" cm="1">
        <f t="array" ref="L1960" xml:space="preserve"> sentimentCategory(K1960)</f>
        <v>Positive</v>
      </c>
    </row>
    <row r="1961" spans="1:12">
      <c r="A1961" t="s">
        <v>144</v>
      </c>
      <c r="B1961" t="s">
        <v>2317</v>
      </c>
      <c r="C1961" t="str" cm="1">
        <f t="array" ref="C1961" xml:space="preserve"> CleanText(B1961)</f>
        <v>are they going to dub this on japanese too or not _xD83D__xD83D_</v>
      </c>
      <c r="D1961">
        <v>0</v>
      </c>
      <c r="E1961">
        <v>0</v>
      </c>
      <c r="F1961" t="s">
        <v>0</v>
      </c>
      <c r="G1961" t="str" cm="1">
        <f t="array" ref="G1961" xml:space="preserve"> FindCountryName(F1961)</f>
        <v>None</v>
      </c>
      <c r="H1961" s="1">
        <v>45281.573460648149</v>
      </c>
      <c r="I1961" s="1">
        <v>45281.573460648149</v>
      </c>
      <c r="J1961" s="1">
        <v>44927.677187499998</v>
      </c>
      <c r="K1961" cm="1">
        <f t="array" ref="K1961" xml:space="preserve"> sentimentCalc(C1961)</f>
        <v>0</v>
      </c>
      <c r="L1961" t="str" cm="1">
        <f t="array" ref="L1961" xml:space="preserve"> sentimentCategory(K1961)</f>
        <v>Neutral</v>
      </c>
    </row>
    <row r="1962" spans="1:12">
      <c r="A1962" t="s">
        <v>722</v>
      </c>
      <c r="B1962" t="s">
        <v>2316</v>
      </c>
      <c r="C1962" t="str" cm="1">
        <f t="array" ref="C1962" xml:space="preserve"> CleanText(B1962)</f>
        <v>not it</v>
      </c>
      <c r="D1962">
        <v>0</v>
      </c>
      <c r="E1962">
        <v>0</v>
      </c>
      <c r="F1962" t="s">
        <v>0</v>
      </c>
      <c r="G1962" t="str" cm="1">
        <f t="array" ref="G1962" xml:space="preserve"> FindCountryName(F1962)</f>
        <v>None</v>
      </c>
      <c r="H1962" s="1">
        <v>45281.562083333331</v>
      </c>
      <c r="I1962" s="1">
        <v>45281.562083333331</v>
      </c>
      <c r="J1962" s="1">
        <v>41962.27144675926</v>
      </c>
      <c r="K1962" cm="1">
        <f t="array" ref="K1962" xml:space="preserve"> sentimentCalc(C1962)</f>
        <v>0</v>
      </c>
      <c r="L1962" t="str" cm="1">
        <f t="array" ref="L1962" xml:space="preserve"> sentimentCategory(K1962)</f>
        <v>Neutral</v>
      </c>
    </row>
    <row r="1963" spans="1:12">
      <c r="A1963" t="s">
        <v>2315</v>
      </c>
      <c r="B1963" t="s">
        <v>2314</v>
      </c>
      <c r="C1963" t="str" cm="1">
        <f t="array" ref="C1963" xml:space="preserve"> CleanText(B1963)</f>
        <v>ى       ى 3        3              ز n</v>
      </c>
      <c r="D1963">
        <v>0</v>
      </c>
      <c r="E1963">
        <v>0</v>
      </c>
      <c r="F1963" t="s">
        <v>2313</v>
      </c>
      <c r="G1963" t="str" cm="1">
        <f t="array" ref="G1963" xml:space="preserve"> FindCountryName(F1963)</f>
        <v>Iraq</v>
      </c>
      <c r="H1963" s="1">
        <v>45281.560810185183</v>
      </c>
      <c r="I1963" s="1">
        <v>45281.560810185183</v>
      </c>
      <c r="J1963" s="1">
        <v>42513.41741898148</v>
      </c>
      <c r="K1963" cm="1">
        <f t="array" ref="K1963" xml:space="preserve"> sentimentCalc(C1963)</f>
        <v>0</v>
      </c>
      <c r="L1963" t="str" cm="1">
        <f t="array" ref="L1963" xml:space="preserve"> sentimentCategory(K1963)</f>
        <v>Neutral</v>
      </c>
    </row>
    <row r="1964" spans="1:12">
      <c r="A1964" t="s">
        <v>333</v>
      </c>
      <c r="B1964" t="s">
        <v>2312</v>
      </c>
      <c r="C1964" t="str" cm="1">
        <f t="array" ref="C1964" xml:space="preserve"> CleanText(B1964)</f>
        <v>do not ruin it this time</v>
      </c>
      <c r="D1964">
        <v>0</v>
      </c>
      <c r="E1964">
        <v>0</v>
      </c>
      <c r="F1964" t="s">
        <v>0</v>
      </c>
      <c r="G1964" t="str" cm="1">
        <f t="array" ref="G1964" xml:space="preserve"> FindCountryName(F1964)</f>
        <v>None</v>
      </c>
      <c r="H1964" s="1">
        <v>45281.550949074073</v>
      </c>
      <c r="I1964" s="1">
        <v>45281.550949074073</v>
      </c>
      <c r="J1964" s="1">
        <v>45049.924814814818</v>
      </c>
      <c r="K1964" cm="1">
        <f t="array" ref="K1964" xml:space="preserve"> sentimentCalc(C1964)</f>
        <v>-2</v>
      </c>
      <c r="L1964" t="str" cm="1">
        <f t="array" ref="L1964" xml:space="preserve"> sentimentCategory(K1964)</f>
        <v>Negative</v>
      </c>
    </row>
    <row r="1965" spans="1:12">
      <c r="A1965" t="s">
        <v>1261</v>
      </c>
      <c r="B1965" t="s">
        <v>2311</v>
      </c>
      <c r="C1965" t="str" cm="1">
        <f t="array" ref="C1965" xml:space="preserve"> CleanText(B1965)</f>
        <v>santos bacalaos el instrumental me pone la piel de gallina</v>
      </c>
      <c r="D1965">
        <v>0</v>
      </c>
      <c r="E1965">
        <v>0</v>
      </c>
      <c r="F1965" t="s">
        <v>0</v>
      </c>
      <c r="G1965" t="str" cm="1">
        <f t="array" ref="G1965" xml:space="preserve"> FindCountryName(F1965)</f>
        <v>None</v>
      </c>
      <c r="H1965" s="1">
        <v>45281.547280092593</v>
      </c>
      <c r="I1965" s="1">
        <v>45281.547280092593</v>
      </c>
      <c r="J1965" s="1">
        <v>43863.862893518519</v>
      </c>
      <c r="K1965" cm="1">
        <f t="array" ref="K1965" xml:space="preserve"> sentimentCalc(C1965)</f>
        <v>0</v>
      </c>
      <c r="L1965" t="str" cm="1">
        <f t="array" ref="L1965" xml:space="preserve"> sentimentCategory(K1965)</f>
        <v>Neutral</v>
      </c>
    </row>
    <row r="1966" spans="1:12">
      <c r="A1966" t="s">
        <v>2310</v>
      </c>
      <c r="B1966" t="s">
        <v>2309</v>
      </c>
      <c r="C1966" t="str" cm="1">
        <f t="array" ref="C1966" xml:space="preserve"> CleanText(B1966)</f>
        <v>i hope sokka will be sokka</v>
      </c>
      <c r="D1966">
        <v>2</v>
      </c>
      <c r="E1966">
        <v>0</v>
      </c>
      <c r="F1966" t="s">
        <v>0</v>
      </c>
      <c r="G1966" t="str" cm="1">
        <f t="array" ref="G1966" xml:space="preserve"> FindCountryName(F1966)</f>
        <v>None</v>
      </c>
      <c r="H1966" s="1">
        <v>45281.546863425923</v>
      </c>
      <c r="I1966" s="1">
        <v>45281.546863425923</v>
      </c>
      <c r="J1966" s="1">
        <v>45157.370069444441</v>
      </c>
      <c r="K1966" cm="1">
        <f t="array" ref="K1966" xml:space="preserve"> sentimentCalc(C1966)</f>
        <v>2</v>
      </c>
      <c r="L1966" t="str" cm="1">
        <f t="array" ref="L1966" xml:space="preserve"> sentimentCategory(K1966)</f>
        <v>Positive</v>
      </c>
    </row>
    <row r="1967" spans="1:12">
      <c r="A1967" t="s">
        <v>900</v>
      </c>
      <c r="B1967" t="s">
        <v>2308</v>
      </c>
      <c r="C1967" t="str" cm="1">
        <f t="array" ref="C1967" xml:space="preserve"> CleanText(B1967)</f>
        <v>chills chills chills everywhere</v>
      </c>
      <c r="D1967">
        <v>1</v>
      </c>
      <c r="E1967">
        <v>0</v>
      </c>
      <c r="F1967" t="s">
        <v>0</v>
      </c>
      <c r="G1967" t="str" cm="1">
        <f t="array" ref="G1967" xml:space="preserve"> FindCountryName(F1967)</f>
        <v>None</v>
      </c>
      <c r="H1967" s="1">
        <v>45281.513090277775</v>
      </c>
      <c r="I1967" s="1">
        <v>45281.513090277775</v>
      </c>
      <c r="J1967" s="1">
        <v>41601.465914351851</v>
      </c>
      <c r="K1967" cm="1">
        <f t="array" ref="K1967" xml:space="preserve"> sentimentCalc(C1967)</f>
        <v>0</v>
      </c>
      <c r="L1967" t="str" cm="1">
        <f t="array" ref="L1967" xml:space="preserve"> sentimentCategory(K1967)</f>
        <v>Neutral</v>
      </c>
    </row>
    <row r="1968" spans="1:12">
      <c r="A1968" t="s">
        <v>2307</v>
      </c>
      <c r="B1968" t="s">
        <v>2306</v>
      </c>
      <c r="C1968" t="str" cm="1">
        <f t="array" ref="C1968" xml:space="preserve"> CleanText(B1968)</f>
        <v>its already better than the movie momo seals that deal</v>
      </c>
      <c r="D1968">
        <v>0</v>
      </c>
      <c r="E1968">
        <v>0</v>
      </c>
      <c r="F1968" t="s">
        <v>0</v>
      </c>
      <c r="G1968" t="str" cm="1">
        <f t="array" ref="G1968" xml:space="preserve"> FindCountryName(F1968)</f>
        <v>None</v>
      </c>
      <c r="H1968" s="1">
        <v>45281.508969907409</v>
      </c>
      <c r="I1968" s="1">
        <v>45281.508969907409</v>
      </c>
      <c r="J1968" s="1">
        <v>44117.459664351853</v>
      </c>
      <c r="K1968" cm="1">
        <f t="array" ref="K1968" xml:space="preserve"> sentimentCalc(C1968)</f>
        <v>2</v>
      </c>
      <c r="L1968" t="str" cm="1">
        <f t="array" ref="L1968" xml:space="preserve"> sentimentCategory(K1968)</f>
        <v>Positive</v>
      </c>
    </row>
    <row r="1969" spans="1:12">
      <c r="A1969" t="s">
        <v>745</v>
      </c>
      <c r="B1969" t="s">
        <v>2305</v>
      </c>
      <c r="C1969" t="str" cm="1">
        <f t="array" ref="C1969" xml:space="preserve"> CleanText(B1969)</f>
        <v>how is it possible for just one trailer to already be 0x better than the entire m night shyamalan movie</v>
      </c>
      <c r="D1969">
        <v>0</v>
      </c>
      <c r="E1969">
        <v>0</v>
      </c>
      <c r="F1969" t="s">
        <v>0</v>
      </c>
      <c r="G1969" t="str" cm="1">
        <f t="array" ref="G1969" xml:space="preserve"> FindCountryName(F1969)</f>
        <v>None</v>
      </c>
      <c r="H1969" s="1">
        <v>45281.505613425928</v>
      </c>
      <c r="I1969" s="1">
        <v>45281.505613425928</v>
      </c>
      <c r="J1969" s="1">
        <v>41402.623460648145</v>
      </c>
      <c r="K1969" cm="1">
        <f t="array" ref="K1969" xml:space="preserve"> sentimentCalc(C1969)</f>
        <v>2</v>
      </c>
      <c r="L1969" t="str" cm="1">
        <f t="array" ref="L1969" xml:space="preserve"> sentimentCategory(K1969)</f>
        <v>Positive</v>
      </c>
    </row>
    <row r="1970" spans="1:12">
      <c r="A1970" t="s">
        <v>2304</v>
      </c>
      <c r="B1970" t="s">
        <v>2303</v>
      </c>
      <c r="C1970" t="str" cm="1">
        <f t="array" ref="C1970" xml:space="preserve"> CleanText(B1970)</f>
        <v>gila sih mirip banget sama di kartun yaa ga sabar ingin ntn</v>
      </c>
      <c r="D1970">
        <v>1</v>
      </c>
      <c r="E1970">
        <v>0</v>
      </c>
      <c r="F1970" t="s">
        <v>0</v>
      </c>
      <c r="G1970" t="str" cm="1">
        <f t="array" ref="G1970" xml:space="preserve"> FindCountryName(F1970)</f>
        <v>None</v>
      </c>
      <c r="H1970" s="1">
        <v>45281.484942129631</v>
      </c>
      <c r="I1970" s="1">
        <v>45281.484942129631</v>
      </c>
      <c r="J1970" s="1">
        <v>41996.511192129627</v>
      </c>
      <c r="K1970" cm="1">
        <f t="array" ref="K1970" xml:space="preserve"> sentimentCalc(C1970)</f>
        <v>0</v>
      </c>
      <c r="L1970" t="str" cm="1">
        <f t="array" ref="L1970" xml:space="preserve"> sentimentCategory(K1970)</f>
        <v>Neutral</v>
      </c>
    </row>
    <row r="1971" spans="1:12">
      <c r="A1971" t="s">
        <v>843</v>
      </c>
      <c r="B1971" t="s">
        <v>2302</v>
      </c>
      <c r="C1971" t="str" cm="1">
        <f t="array" ref="C1971" xml:space="preserve"> CleanText(B1971)</f>
        <v>nah thats really disgusting racist and misogynistic the fact that they made aang like in the actual series and not as a woman of color shows their true intentions netflix doesnt want to give us the true avatar experience instead its anti lgbtq  boycott this and dye your hairs blue</v>
      </c>
      <c r="D1971">
        <v>0</v>
      </c>
      <c r="E1971">
        <v>0</v>
      </c>
      <c r="F1971" t="s">
        <v>0</v>
      </c>
      <c r="G1971" t="str" cm="1">
        <f t="array" ref="G1971" xml:space="preserve"> FindCountryName(F1971)</f>
        <v>None</v>
      </c>
      <c r="H1971" s="1">
        <v>45281.472592592596</v>
      </c>
      <c r="I1971" s="1">
        <v>45281.472592592596</v>
      </c>
      <c r="J1971" s="1">
        <v>40510.5625</v>
      </c>
      <c r="K1971" cm="1">
        <f t="array" ref="K1971" xml:space="preserve"> sentimentCalc(C1971)</f>
        <v>-2</v>
      </c>
      <c r="L1971" t="str" cm="1">
        <f t="array" ref="L1971" xml:space="preserve"> sentimentCategory(K1971)</f>
        <v>Negative</v>
      </c>
    </row>
    <row r="1972" spans="1:12">
      <c r="A1972" t="s">
        <v>1237</v>
      </c>
      <c r="B1972" t="s">
        <v>2301</v>
      </c>
      <c r="C1972" t="str" cm="1">
        <f t="array" ref="C1972" xml:space="preserve"> CleanText(B1972)</f>
        <v>this looks so goood</v>
      </c>
      <c r="D1972">
        <v>0</v>
      </c>
      <c r="E1972">
        <v>0</v>
      </c>
      <c r="F1972" t="s">
        <v>0</v>
      </c>
      <c r="G1972" t="str" cm="1">
        <f t="array" ref="G1972" xml:space="preserve"> FindCountryName(F1972)</f>
        <v>None</v>
      </c>
      <c r="H1972" s="1">
        <v>45281.471932870372</v>
      </c>
      <c r="I1972" s="1">
        <v>45281.471932870372</v>
      </c>
      <c r="J1972" s="1">
        <v>45060.058263888888</v>
      </c>
      <c r="K1972" cm="1">
        <f t="array" ref="K1972" xml:space="preserve"> sentimentCalc(C1972)</f>
        <v>0</v>
      </c>
      <c r="L1972" t="str" cm="1">
        <f t="array" ref="L1972" xml:space="preserve"> sentimentCategory(K1972)</f>
        <v>Neutral</v>
      </c>
    </row>
    <row r="1973" spans="1:12">
      <c r="A1973" t="s">
        <v>870</v>
      </c>
      <c r="B1973" t="s">
        <v>2300</v>
      </c>
      <c r="C1973" t="str" cm="1">
        <f t="array" ref="C1973" xml:space="preserve"> CleanText(B1973)</f>
        <v>oh so now we get the race right took long enough but okay getting there</v>
      </c>
      <c r="D1973">
        <v>0</v>
      </c>
      <c r="E1973">
        <v>0</v>
      </c>
      <c r="F1973" t="s">
        <v>0</v>
      </c>
      <c r="G1973" t="str" cm="1">
        <f t="array" ref="G1973" xml:space="preserve"> FindCountryName(F1973)</f>
        <v>None</v>
      </c>
      <c r="H1973" s="1">
        <v>45281.421875</v>
      </c>
      <c r="I1973" s="1">
        <v>45281.421875</v>
      </c>
      <c r="J1973" s="1">
        <v>40120.299027777779</v>
      </c>
      <c r="K1973" cm="1">
        <f t="array" ref="K1973" xml:space="preserve"> sentimentCalc(C1973)</f>
        <v>0</v>
      </c>
      <c r="L1973" t="str" cm="1">
        <f t="array" ref="L1973" xml:space="preserve"> sentimentCategory(K1973)</f>
        <v>Neutral</v>
      </c>
    </row>
    <row r="1974" spans="1:12">
      <c r="A1974" t="s">
        <v>2299</v>
      </c>
      <c r="B1974" t="s">
        <v>2298</v>
      </c>
      <c r="C1974" t="str" cm="1">
        <f t="array" ref="C1974" xml:space="preserve"> CleanText(B1974)</f>
        <v>aang is not black  so thats a good sign</v>
      </c>
      <c r="D1974">
        <v>0</v>
      </c>
      <c r="E1974">
        <v>0</v>
      </c>
      <c r="F1974" t="s">
        <v>0</v>
      </c>
      <c r="G1974" t="str" cm="1">
        <f t="array" ref="G1974" xml:space="preserve"> FindCountryName(F1974)</f>
        <v>None</v>
      </c>
      <c r="H1974" s="1">
        <v>45281.380231481482</v>
      </c>
      <c r="I1974" s="1">
        <v>45281.380231481482</v>
      </c>
      <c r="J1974" s="1">
        <v>43178.708460648151</v>
      </c>
      <c r="K1974" cm="1">
        <f t="array" ref="K1974" xml:space="preserve"> sentimentCalc(C1974)</f>
        <v>3</v>
      </c>
      <c r="L1974" t="str" cm="1">
        <f t="array" ref="L1974" xml:space="preserve"> sentimentCategory(K1974)</f>
        <v>Positive</v>
      </c>
    </row>
    <row r="1975" spans="1:12">
      <c r="A1975" t="s">
        <v>2297</v>
      </c>
      <c r="B1975" t="s">
        <v>2296</v>
      </c>
      <c r="C1975" t="str" cm="1">
        <f t="array" ref="C1975" xml:space="preserve"> CleanText(B1975)</f>
        <v>honestly this actually looks pretty good i cant wait for it i was a huge avatar fan when i was a kid</v>
      </c>
      <c r="D1975">
        <v>11</v>
      </c>
      <c r="E1975">
        <v>0</v>
      </c>
      <c r="F1975" t="s">
        <v>0</v>
      </c>
      <c r="G1975" t="str" cm="1">
        <f t="array" ref="G1975" xml:space="preserve"> FindCountryName(F1975)</f>
        <v>None</v>
      </c>
      <c r="H1975" s="1">
        <v>45281.341851851852</v>
      </c>
      <c r="I1975" s="1">
        <v>45281.341851851852</v>
      </c>
      <c r="J1975" s="1">
        <v>42894.478217592594</v>
      </c>
      <c r="K1975" cm="1">
        <f t="array" ref="K1975" xml:space="preserve"> sentimentCalc(C1975)</f>
        <v>8</v>
      </c>
      <c r="L1975" t="str" cm="1">
        <f t="array" ref="L1975" xml:space="preserve"> sentimentCategory(K1975)</f>
        <v>Positive</v>
      </c>
    </row>
    <row r="1976" spans="1:12">
      <c r="A1976" t="s">
        <v>1874</v>
      </c>
      <c r="B1976" t="s">
        <v>2295</v>
      </c>
      <c r="C1976" t="str" cm="1">
        <f t="array" ref="C1976" xml:space="preserve"> CleanText(B1976)</f>
        <v>so am i the only one who noticed they havent showed a single bit of toph</v>
      </c>
      <c r="D1976">
        <v>0</v>
      </c>
      <c r="E1976">
        <v>1</v>
      </c>
      <c r="F1976" t="s">
        <v>0</v>
      </c>
      <c r="G1976" t="str" cm="1">
        <f t="array" ref="G1976" xml:space="preserve"> FindCountryName(F1976)</f>
        <v>None</v>
      </c>
      <c r="H1976" s="1">
        <v>45281.33258101852</v>
      </c>
      <c r="I1976" s="1">
        <v>45281.33258101852</v>
      </c>
      <c r="J1976" s="1">
        <v>41456.639236111114</v>
      </c>
      <c r="K1976" cm="1">
        <f t="array" ref="K1976" xml:space="preserve"> sentimentCalc(C1976)</f>
        <v>0</v>
      </c>
      <c r="L1976" t="str" cm="1">
        <f t="array" ref="L1976" xml:space="preserve"> sentimentCategory(K1976)</f>
        <v>Neutral</v>
      </c>
    </row>
    <row r="1977" spans="1:12">
      <c r="A1977" t="s">
        <v>887</v>
      </c>
      <c r="B1977" t="s">
        <v>2294</v>
      </c>
      <c r="C1977" t="str" cm="1">
        <f t="array" ref="C1977" xml:space="preserve"> CleanText(B1977)</f>
        <v>haha</v>
      </c>
      <c r="D1977">
        <v>0</v>
      </c>
      <c r="E1977">
        <v>0</v>
      </c>
      <c r="F1977" t="s">
        <v>0</v>
      </c>
      <c r="G1977" t="str" cm="1">
        <f t="array" ref="G1977" xml:space="preserve"> FindCountryName(F1977)</f>
        <v>None</v>
      </c>
      <c r="H1977" s="1">
        <v>45281.317824074074</v>
      </c>
      <c r="I1977" s="1">
        <v>45281.317824074074</v>
      </c>
      <c r="J1977" s="1">
        <v>43823.864270833335</v>
      </c>
      <c r="K1977" cm="1">
        <f t="array" ref="K1977" xml:space="preserve"> sentimentCalc(C1977)</f>
        <v>0</v>
      </c>
      <c r="L1977" t="str" cm="1">
        <f t="array" ref="L1977" xml:space="preserve"> sentimentCategory(K1977)</f>
        <v>Neutral</v>
      </c>
    </row>
    <row r="1978" spans="1:12">
      <c r="A1978" t="s">
        <v>2293</v>
      </c>
      <c r="B1978" t="s">
        <v>2292</v>
      </c>
      <c r="C1978" t="str" cm="1">
        <f t="array" ref="C1978" xml:space="preserve"> CleanText(B1978)</f>
        <v>i know you think im crazy but i am watching it first time after a month trust me_xDE43_</v>
      </c>
      <c r="D1978">
        <v>0</v>
      </c>
      <c r="E1978">
        <v>0</v>
      </c>
      <c r="F1978" t="s">
        <v>1202</v>
      </c>
      <c r="G1978" t="str" cm="1">
        <f t="array" ref="G1978" xml:space="preserve"> FindCountryName(F1978)</f>
        <v>Pakistan</v>
      </c>
      <c r="H1978" s="1">
        <v>45281.303738425922</v>
      </c>
      <c r="I1978" s="1">
        <v>45281.303738425922</v>
      </c>
      <c r="J1978" s="1">
        <v>43153.984537037039</v>
      </c>
      <c r="K1978" cm="1">
        <f t="array" ref="K1978" xml:space="preserve"> sentimentCalc(C1978)</f>
        <v>-1</v>
      </c>
      <c r="L1978" t="str" cm="1">
        <f t="array" ref="L1978" xml:space="preserve"> sentimentCategory(K1978)</f>
        <v>Negative</v>
      </c>
    </row>
    <row r="1979" spans="1:12">
      <c r="A1979" t="s">
        <v>653</v>
      </c>
      <c r="B1979" t="s">
        <v>2291</v>
      </c>
      <c r="C1979" t="str" cm="1">
        <f t="array" ref="C1979" xml:space="preserve"> CleanText(B1979)</f>
        <v>i hope its as childish funny as the original series not all sentimental</v>
      </c>
      <c r="D1979">
        <v>0</v>
      </c>
      <c r="E1979">
        <v>0</v>
      </c>
      <c r="F1979" t="s">
        <v>0</v>
      </c>
      <c r="G1979" t="str" cm="1">
        <f t="array" ref="G1979" xml:space="preserve"> FindCountryName(F1979)</f>
        <v>None</v>
      </c>
      <c r="H1979" s="1">
        <v>45281.291076388887</v>
      </c>
      <c r="I1979" s="1">
        <v>45281.291076388887</v>
      </c>
      <c r="J1979" s="1">
        <v>44650.481157407405</v>
      </c>
      <c r="K1979" cm="1">
        <f t="array" ref="K1979" xml:space="preserve"> sentimentCalc(C1979)</f>
        <v>4</v>
      </c>
      <c r="L1979" t="str" cm="1">
        <f t="array" ref="L1979" xml:space="preserve"> sentimentCategory(K1979)</f>
        <v>Positive</v>
      </c>
    </row>
    <row r="1980" spans="1:12">
      <c r="A1980" t="s">
        <v>830</v>
      </c>
      <c r="B1980" t="s">
        <v>2290</v>
      </c>
      <c r="C1980" t="str" cm="1">
        <f t="array" ref="C1980" xml:space="preserve"> CleanText(B1980)</f>
        <v>who is gay</v>
      </c>
      <c r="D1980">
        <v>0</v>
      </c>
      <c r="E1980">
        <v>0</v>
      </c>
      <c r="F1980" t="s">
        <v>0</v>
      </c>
      <c r="G1980" t="str" cm="1">
        <f t="array" ref="G1980" xml:space="preserve"> FindCountryName(F1980)</f>
        <v>None</v>
      </c>
      <c r="H1980" s="1">
        <v>45281.285995370374</v>
      </c>
      <c r="I1980" s="1">
        <v>45281.285995370374</v>
      </c>
      <c r="J1980" s="1">
        <v>42209.540879629632</v>
      </c>
      <c r="K1980" cm="1">
        <f t="array" ref="K1980" xml:space="preserve"> sentimentCalc(C1980)</f>
        <v>0</v>
      </c>
      <c r="L1980" t="str" cm="1">
        <f t="array" ref="L1980" xml:space="preserve"> sentimentCategory(K1980)</f>
        <v>Neutral</v>
      </c>
    </row>
    <row r="1981" spans="1:12">
      <c r="A1981" t="s">
        <v>26</v>
      </c>
      <c r="B1981" t="s">
        <v>2289</v>
      </c>
      <c r="C1981" t="str" cm="1">
        <f t="array" ref="C1981" xml:space="preserve"> CleanText(B1981)</f>
        <v>im not enthousiastic the original show is a classic and i dont know why they keep insisting on refilming it in live action the trailer didnt really hype me up but sure ill watch it it starts of at a - disadvantage though because the source material is already so good</v>
      </c>
      <c r="D1981">
        <v>0</v>
      </c>
      <c r="E1981">
        <v>0</v>
      </c>
      <c r="F1981" t="s">
        <v>0</v>
      </c>
      <c r="G1981" t="str" cm="1">
        <f t="array" ref="G1981" xml:space="preserve"> FindCountryName(F1981)</f>
        <v>None</v>
      </c>
      <c r="H1981" s="1">
        <v>45281.264976851853</v>
      </c>
      <c r="I1981" s="1">
        <v>45281.264976851853</v>
      </c>
      <c r="J1981" s="1">
        <v>43818.503865740742</v>
      </c>
      <c r="K1981" cm="1">
        <f t="array" ref="K1981" xml:space="preserve"> sentimentCalc(C1981)</f>
        <v>-1</v>
      </c>
      <c r="L1981" t="str" cm="1">
        <f t="array" ref="L1981" xml:space="preserve"> sentimentCategory(K1981)</f>
        <v>Negative</v>
      </c>
    </row>
    <row r="1982" spans="1:12">
      <c r="A1982" t="s">
        <v>1119</v>
      </c>
      <c r="B1982" t="s">
        <v>2288</v>
      </c>
      <c r="C1982" t="str" cm="1">
        <f t="array" ref="C1982" xml:space="preserve"> CleanText(B1982)</f>
        <v>theyre only covering book  for now was so excited to see who is gonna play toph</v>
      </c>
      <c r="D1982">
        <v>0</v>
      </c>
      <c r="E1982">
        <v>0</v>
      </c>
      <c r="F1982" t="s">
        <v>0</v>
      </c>
      <c r="G1982" t="str" cm="1">
        <f t="array" ref="G1982" xml:space="preserve"> FindCountryName(F1982)</f>
        <v>None</v>
      </c>
      <c r="H1982" s="1">
        <v>45281.257893518516</v>
      </c>
      <c r="I1982" s="1">
        <v>45281.257893518516</v>
      </c>
      <c r="J1982" s="1">
        <v>41952.099861111114</v>
      </c>
      <c r="K1982" cm="1">
        <f t="array" ref="K1982" xml:space="preserve"> sentimentCalc(C1982)</f>
        <v>3</v>
      </c>
      <c r="L1982" t="str" cm="1">
        <f t="array" ref="L1982" xml:space="preserve"> sentimentCategory(K1982)</f>
        <v>Positive</v>
      </c>
    </row>
    <row r="1983" spans="1:12">
      <c r="A1983" t="s">
        <v>2287</v>
      </c>
      <c r="B1983" t="s">
        <v>2286</v>
      </c>
      <c r="C1983" t="str" cm="1">
        <f t="array" ref="C1983" xml:space="preserve"> CleanText(B1983)</f>
        <v>i hope it isnt as bad as the 00 movie and has the cabbage man</v>
      </c>
      <c r="D1983">
        <v>0</v>
      </c>
      <c r="E1983">
        <v>0</v>
      </c>
      <c r="F1983" t="s">
        <v>0</v>
      </c>
      <c r="G1983" t="str" cm="1">
        <f t="array" ref="G1983" xml:space="preserve"> FindCountryName(F1983)</f>
        <v>None</v>
      </c>
      <c r="H1983" s="1">
        <v>45281.237916666665</v>
      </c>
      <c r="I1983" s="1">
        <v>45281.237916666665</v>
      </c>
      <c r="J1983" s="1">
        <v>44635.688819444447</v>
      </c>
      <c r="K1983" cm="1">
        <f t="array" ref="K1983" xml:space="preserve"> sentimentCalc(C1983)</f>
        <v>-1</v>
      </c>
      <c r="L1983" t="str" cm="1">
        <f t="array" ref="L1983" xml:space="preserve"> sentimentCategory(K1983)</f>
        <v>Negative</v>
      </c>
    </row>
    <row r="1984" spans="1:12">
      <c r="A1984" t="s">
        <v>1145</v>
      </c>
      <c r="B1984" t="s">
        <v>2285</v>
      </c>
      <c r="C1984" t="str" cm="1">
        <f t="array" ref="C1984" xml:space="preserve"> CleanText(B1984)</f>
        <v>greetings from kyrgyzstan_xDDF0_</v>
      </c>
      <c r="D1984">
        <v>0</v>
      </c>
      <c r="E1984">
        <v>0</v>
      </c>
      <c r="F1984" t="s">
        <v>2284</v>
      </c>
      <c r="G1984" t="str" cm="1">
        <f t="array" ref="G1984" xml:space="preserve"> FindCountryName(F1984)</f>
        <v>United Arab Emirates (the)</v>
      </c>
      <c r="H1984" s="1">
        <v>45281.224409722221</v>
      </c>
      <c r="I1984" s="1">
        <v>45281.224409722221</v>
      </c>
      <c r="J1984" s="1">
        <v>42790.543206018519</v>
      </c>
      <c r="K1984" cm="1">
        <f t="array" ref="K1984" xml:space="preserve"> sentimentCalc(C1984)</f>
        <v>2</v>
      </c>
      <c r="L1984" t="str" cm="1">
        <f t="array" ref="L1984" xml:space="preserve"> sentimentCategory(K1984)</f>
        <v>Positive</v>
      </c>
    </row>
    <row r="1985" spans="1:12">
      <c r="A1985" t="s">
        <v>2107</v>
      </c>
      <c r="B1985" t="s">
        <v>2283</v>
      </c>
      <c r="C1985" t="str" cm="1">
        <f t="array" ref="C1985" xml:space="preserve"> CleanText(B1985)</f>
        <v>i feel like the new aang actor looks like meelos character from tlok but i mean thats just my opinion</v>
      </c>
      <c r="D1985">
        <v>0</v>
      </c>
      <c r="E1985">
        <v>0</v>
      </c>
      <c r="F1985" t="s">
        <v>0</v>
      </c>
      <c r="G1985" t="str" cm="1">
        <f t="array" ref="G1985" xml:space="preserve"> FindCountryName(F1985)</f>
        <v>None</v>
      </c>
      <c r="H1985" s="1">
        <v>45281.200358796297</v>
      </c>
      <c r="I1985" s="1">
        <v>45281.200358796297</v>
      </c>
      <c r="J1985" s="1">
        <v>42482.858946759261</v>
      </c>
      <c r="K1985" cm="1">
        <f t="array" ref="K1985" xml:space="preserve"> sentimentCalc(C1985)</f>
        <v>4</v>
      </c>
      <c r="L1985" t="str" cm="1">
        <f t="array" ref="L1985" xml:space="preserve"> sentimentCategory(K1985)</f>
        <v>Positive</v>
      </c>
    </row>
    <row r="1986" spans="1:12">
      <c r="A1986" t="s">
        <v>1638</v>
      </c>
      <c r="B1986" t="s">
        <v>2282</v>
      </c>
      <c r="C1986" t="str" cm="1">
        <f t="array" ref="C1986" xml:space="preserve"> CleanText(B1986)</f>
        <v>netflix if you nail the flowing choreography of the bendings and have amazing vfx ill be more than pleased ill even forgive terrible acting and story pacing just give us entertaining action moments</v>
      </c>
      <c r="D1986">
        <v>0</v>
      </c>
      <c r="E1986">
        <v>0</v>
      </c>
      <c r="F1986" t="s">
        <v>0</v>
      </c>
      <c r="G1986" t="str" cm="1">
        <f t="array" ref="G1986" xml:space="preserve"> FindCountryName(F1986)</f>
        <v>None</v>
      </c>
      <c r="H1986" s="1">
        <v>45281.156736111108</v>
      </c>
      <c r="I1986" s="1">
        <v>45281.156736111108</v>
      </c>
      <c r="J1986" s="1">
        <v>38965.03229166667</v>
      </c>
      <c r="K1986" cm="1">
        <f t="array" ref="K1986" xml:space="preserve"> sentimentCalc(C1986)</f>
        <v>3</v>
      </c>
      <c r="L1986" t="str" cm="1">
        <f t="array" ref="L1986" xml:space="preserve"> sentimentCategory(K1986)</f>
        <v>Positive</v>
      </c>
    </row>
    <row r="1987" spans="1:12">
      <c r="A1987" t="s">
        <v>2281</v>
      </c>
      <c r="B1987" t="s">
        <v>2280</v>
      </c>
      <c r="C1987" t="str" cm="1">
        <f t="array" ref="C1987" xml:space="preserve"> CleanText(B1987)</f>
        <v>yeah but how do you guys pronounce aang</v>
      </c>
      <c r="D1987">
        <v>1</v>
      </c>
      <c r="E1987">
        <v>0</v>
      </c>
      <c r="F1987" t="s">
        <v>0</v>
      </c>
      <c r="G1987" t="str" cm="1">
        <f t="array" ref="G1987" xml:space="preserve"> FindCountryName(F1987)</f>
        <v>None</v>
      </c>
      <c r="H1987" s="1">
        <v>45281.143009259256</v>
      </c>
      <c r="I1987" s="1">
        <v>45281.143009259256</v>
      </c>
      <c r="J1987" s="1">
        <v>40027.796423611115</v>
      </c>
      <c r="K1987" cm="1">
        <f t="array" ref="K1987" xml:space="preserve"> sentimentCalc(C1987)</f>
        <v>1</v>
      </c>
      <c r="L1987" t="str" cm="1">
        <f t="array" ref="L1987" xml:space="preserve"> sentimentCategory(K1987)</f>
        <v>Positive</v>
      </c>
    </row>
    <row r="1988" spans="1:12">
      <c r="A1988" t="s">
        <v>564</v>
      </c>
      <c r="B1988" t="s">
        <v>2279</v>
      </c>
      <c r="C1988" t="str" cm="1">
        <f t="array" ref="C1988" xml:space="preserve"> CleanText(B1988)</f>
        <v>i just want to see some proper earthbending by obe guy if i see six guys moving one pebnle i will be like chit sang in the boiling rock episodesriot</v>
      </c>
      <c r="D1988">
        <v>0</v>
      </c>
      <c r="E1988">
        <v>0</v>
      </c>
      <c r="F1988" t="s">
        <v>0</v>
      </c>
      <c r="G1988" t="str" cm="1">
        <f t="array" ref="G1988" xml:space="preserve"> FindCountryName(F1988)</f>
        <v>None</v>
      </c>
      <c r="H1988" s="1">
        <v>45281.142835648148</v>
      </c>
      <c r="I1988" s="1">
        <v>45281.142835648148</v>
      </c>
      <c r="J1988" s="1">
        <v>40592.750578703701</v>
      </c>
      <c r="K1988" cm="1">
        <f t="array" ref="K1988" xml:space="preserve"> sentimentCalc(C1988)</f>
        <v>3</v>
      </c>
      <c r="L1988" t="str" cm="1">
        <f t="array" ref="L1988" xml:space="preserve"> sentimentCategory(K1988)</f>
        <v>Positive</v>
      </c>
    </row>
    <row r="1989" spans="1:12">
      <c r="A1989" t="s">
        <v>547</v>
      </c>
      <c r="B1989" t="s">
        <v>2278</v>
      </c>
      <c r="C1989" t="str" cm="1">
        <f t="array" ref="C1989" xml:space="preserve"> CleanText(B1989)</f>
        <v>i hope aang will kiss ozai and have a baby with him_xD83D_ please do it netflix make aang gay with ozai</v>
      </c>
      <c r="D1989">
        <v>0</v>
      </c>
      <c r="E1989">
        <v>0</v>
      </c>
      <c r="F1989" t="s">
        <v>0</v>
      </c>
      <c r="G1989" t="str" cm="1">
        <f t="array" ref="G1989" xml:space="preserve"> FindCountryName(F1989)</f>
        <v>None</v>
      </c>
      <c r="H1989" s="1">
        <v>45281.107592592591</v>
      </c>
      <c r="I1989" s="1">
        <v>45281.107592592591</v>
      </c>
      <c r="J1989" s="1">
        <v>45281.101493055554</v>
      </c>
      <c r="K1989" cm="1">
        <f t="array" ref="K1989" xml:space="preserve"> sentimentCalc(C1989)</f>
        <v>5</v>
      </c>
      <c r="L1989" t="str" cm="1">
        <f t="array" ref="L1989" xml:space="preserve"> sentimentCategory(K1989)</f>
        <v>Positive</v>
      </c>
    </row>
    <row r="1990" spans="1:12">
      <c r="A1990" t="s">
        <v>169</v>
      </c>
      <c r="B1990" t="s">
        <v>2277</v>
      </c>
      <c r="C1990" t="str" cm="1">
        <f t="array" ref="C1990" xml:space="preserve"> CleanText(B1990)</f>
        <v>just copy the beloved material that you have and make it beautiful</v>
      </c>
      <c r="D1990">
        <v>0</v>
      </c>
      <c r="E1990">
        <v>0</v>
      </c>
      <c r="F1990" t="s">
        <v>0</v>
      </c>
      <c r="G1990" t="str" cm="1">
        <f t="array" ref="G1990" xml:space="preserve"> FindCountryName(F1990)</f>
        <v>None</v>
      </c>
      <c r="H1990" s="1">
        <v>45281.106585648151</v>
      </c>
      <c r="I1990" s="1">
        <v>45281.106585648151</v>
      </c>
      <c r="J1990" s="1">
        <v>42795.127986111111</v>
      </c>
      <c r="K1990" cm="1">
        <f t="array" ref="K1990" xml:space="preserve"> sentimentCalc(C1990)</f>
        <v>6</v>
      </c>
      <c r="L1990" t="str" cm="1">
        <f t="array" ref="L1990" xml:space="preserve"> sentimentCategory(K1990)</f>
        <v>Positive</v>
      </c>
    </row>
    <row r="1991" spans="1:12">
      <c r="A1991" t="s">
        <v>335</v>
      </c>
      <c r="B1991" t="s">
        <v>2276</v>
      </c>
      <c r="C1991" t="str" cm="1">
        <f t="array" ref="C1991" xml:space="preserve"> CleanText(B1991)</f>
        <v>the locations look absolutely amazing</v>
      </c>
      <c r="D1991">
        <v>0</v>
      </c>
      <c r="E1991">
        <v>0</v>
      </c>
      <c r="F1991" t="s">
        <v>0</v>
      </c>
      <c r="G1991" t="str" cm="1">
        <f t="array" ref="G1991" xml:space="preserve"> FindCountryName(F1991)</f>
        <v>None</v>
      </c>
      <c r="H1991" s="1">
        <v>45281.062465277777</v>
      </c>
      <c r="I1991" s="1">
        <v>45281.062465277777</v>
      </c>
      <c r="J1991" s="1">
        <v>39951.860034722224</v>
      </c>
      <c r="K1991" cm="1">
        <f t="array" ref="K1991" xml:space="preserve"> sentimentCalc(C1991)</f>
        <v>4</v>
      </c>
      <c r="L1991" t="str" cm="1">
        <f t="array" ref="L1991" xml:space="preserve"> sentimentCategory(K1991)</f>
        <v>Positive</v>
      </c>
    </row>
    <row r="1992" spans="1:12">
      <c r="A1992" t="s">
        <v>290</v>
      </c>
      <c r="B1992" t="s">
        <v>2275</v>
      </c>
      <c r="C1992" t="str" cm="1">
        <f t="array" ref="C1992" xml:space="preserve"> CleanText(B1992)</f>
        <v>that is the power of kundalini meditation</v>
      </c>
      <c r="D1992">
        <v>0</v>
      </c>
      <c r="E1992">
        <v>0</v>
      </c>
      <c r="F1992" t="s">
        <v>0</v>
      </c>
      <c r="G1992" t="str" cm="1">
        <f t="array" ref="G1992" xml:space="preserve"> FindCountryName(F1992)</f>
        <v>None</v>
      </c>
      <c r="H1992" s="1">
        <v>45281.060590277775</v>
      </c>
      <c r="I1992" s="1">
        <v>45281.060590277775</v>
      </c>
      <c r="J1992" s="1">
        <v>44394.474340277775</v>
      </c>
      <c r="K1992" cm="1">
        <f t="array" ref="K1992" xml:space="preserve"> sentimentCalc(C1992)</f>
        <v>0</v>
      </c>
      <c r="L1992" t="str" cm="1">
        <f t="array" ref="L1992" xml:space="preserve"> sentimentCategory(K1992)</f>
        <v>Neutral</v>
      </c>
    </row>
    <row r="1993" spans="1:12">
      <c r="A1993" t="s">
        <v>2274</v>
      </c>
      <c r="B1993" t="s">
        <v>2273</v>
      </c>
      <c r="C1993" t="str" cm="1">
        <f t="array" ref="C1993" xml:space="preserve"> CleanText(B1993)</f>
        <v>it looks so bad</v>
      </c>
      <c r="D1993">
        <v>0</v>
      </c>
      <c r="E1993">
        <v>0</v>
      </c>
      <c r="F1993" t="s">
        <v>0</v>
      </c>
      <c r="G1993" t="str" cm="1">
        <f t="array" ref="G1993" xml:space="preserve"> FindCountryName(F1993)</f>
        <v>None</v>
      </c>
      <c r="H1993" s="1">
        <v>45281.046631944446</v>
      </c>
      <c r="I1993" s="1">
        <v>45281.046631944446</v>
      </c>
      <c r="J1993" s="1">
        <v>40844.921944444446</v>
      </c>
      <c r="K1993" cm="1">
        <f t="array" ref="K1993" xml:space="preserve"> sentimentCalc(C1993)</f>
        <v>-3</v>
      </c>
      <c r="L1993" t="str" cm="1">
        <f t="array" ref="L1993" xml:space="preserve"> sentimentCategory(K1993)</f>
        <v>Negative</v>
      </c>
    </row>
    <row r="1994" spans="1:12">
      <c r="A1994" t="s">
        <v>1161</v>
      </c>
      <c r="B1994" t="s">
        <v>2272</v>
      </c>
      <c r="C1994" t="str" cm="1">
        <f t="array" ref="C1994" xml:space="preserve"> CleanText(B1994)</f>
        <v>m night shyamalan leaves the chat _xDE4C_</v>
      </c>
      <c r="D1994">
        <v>0</v>
      </c>
      <c r="E1994">
        <v>0</v>
      </c>
      <c r="F1994" t="s">
        <v>0</v>
      </c>
      <c r="G1994" t="str" cm="1">
        <f t="array" ref="G1994" xml:space="preserve"> FindCountryName(F1994)</f>
        <v>None</v>
      </c>
      <c r="H1994" s="1">
        <v>45281.022256944445</v>
      </c>
      <c r="I1994" s="1">
        <v>45281.022256944445</v>
      </c>
      <c r="J1994" s="1">
        <v>41011.715520833335</v>
      </c>
      <c r="K1994" cm="1">
        <f t="array" ref="K1994" xml:space="preserve"> sentimentCalc(C1994)</f>
        <v>0</v>
      </c>
      <c r="L1994" t="str" cm="1">
        <f t="array" ref="L1994" xml:space="preserve"> sentimentCategory(K1994)</f>
        <v>Neutral</v>
      </c>
    </row>
    <row r="1995" spans="1:12">
      <c r="A1995" t="s">
        <v>2271</v>
      </c>
      <c r="B1995" t="s">
        <v>2270</v>
      </c>
      <c r="C1995" t="str" cm="1">
        <f t="array" ref="C1995" xml:space="preserve"> CleanText(B1995)</f>
        <v>no</v>
      </c>
      <c r="D1995">
        <v>0</v>
      </c>
      <c r="E1995">
        <v>0</v>
      </c>
      <c r="F1995" t="s">
        <v>19</v>
      </c>
      <c r="G1995" t="str" cm="1">
        <f t="array" ref="G1995" xml:space="preserve"> FindCountryName(F1995)</f>
        <v>United States of America (the)</v>
      </c>
      <c r="H1995" s="1">
        <v>45281.008900462963</v>
      </c>
      <c r="I1995" s="1">
        <v>45281.008900462963</v>
      </c>
      <c r="J1995" s="1">
        <v>41524.727500000001</v>
      </c>
      <c r="K1995" cm="1">
        <f t="array" ref="K1995" xml:space="preserve"> sentimentCalc(C1995)</f>
        <v>-1</v>
      </c>
      <c r="L1995" t="str" cm="1">
        <f t="array" ref="L1995" xml:space="preserve"> sentimentCategory(K1995)</f>
        <v>Negative</v>
      </c>
    </row>
    <row r="1996" spans="1:12">
      <c r="A1996" t="s">
        <v>2269</v>
      </c>
      <c r="B1996" t="s">
        <v>2268</v>
      </c>
      <c r="C1996" t="str" cm="1">
        <f t="array" ref="C1996" xml:space="preserve"> CleanText(B1996)</f>
        <v>looks pretty good</v>
      </c>
      <c r="D1996">
        <v>0</v>
      </c>
      <c r="E1996">
        <v>0</v>
      </c>
      <c r="F1996" t="s">
        <v>0</v>
      </c>
      <c r="G1996" t="str" cm="1">
        <f t="array" ref="G1996" xml:space="preserve"> FindCountryName(F1996)</f>
        <v>None</v>
      </c>
      <c r="H1996" s="1">
        <v>45281.00880787037</v>
      </c>
      <c r="I1996" s="1">
        <v>45281.00880787037</v>
      </c>
      <c r="J1996" s="1">
        <v>43947.009780092594</v>
      </c>
      <c r="K1996" cm="1">
        <f t="array" ref="K1996" xml:space="preserve"> sentimentCalc(C1996)</f>
        <v>4</v>
      </c>
      <c r="L1996" t="str" cm="1">
        <f t="array" ref="L1996" xml:space="preserve"> sentimentCategory(K1996)</f>
        <v>Positive</v>
      </c>
    </row>
    <row r="1997" spans="1:12">
      <c r="A1997" t="s">
        <v>43</v>
      </c>
      <c r="B1997" t="s">
        <v>2267</v>
      </c>
      <c r="C1997" t="str" cm="1">
        <f t="array" ref="C1997" xml:space="preserve"> CleanText(B1997)</f>
        <v>i hope they make it better this time</v>
      </c>
      <c r="D1997">
        <v>0</v>
      </c>
      <c r="E1997">
        <v>0</v>
      </c>
      <c r="F1997" t="s">
        <v>0</v>
      </c>
      <c r="G1997" t="str" cm="1">
        <f t="array" ref="G1997" xml:space="preserve"> FindCountryName(F1997)</f>
        <v>None</v>
      </c>
      <c r="H1997" s="1">
        <v>45280.997928240744</v>
      </c>
      <c r="I1997" s="1">
        <v>45280.997928240744</v>
      </c>
      <c r="J1997" s="1">
        <v>43629.185810185183</v>
      </c>
      <c r="K1997" cm="1">
        <f t="array" ref="K1997" xml:space="preserve"> sentimentCalc(C1997)</f>
        <v>4</v>
      </c>
      <c r="L1997" t="str" cm="1">
        <f t="array" ref="L1997" xml:space="preserve"> sentimentCategory(K1997)</f>
        <v>Positive</v>
      </c>
    </row>
    <row r="1998" spans="1:12">
      <c r="A1998" t="s">
        <v>1947</v>
      </c>
      <c r="B1998" t="s">
        <v>2266</v>
      </c>
      <c r="C1998" t="str" cm="1">
        <f t="array" ref="C1998" xml:space="preserve"> CleanText(B1998)</f>
        <v>the original creators left because they wanted something true to their vision but netflix wanted something more netflix ive seen enough netflix shows to know what this live action is gonna be like all im gonna say is netflix never ceased to amaze me they can turn anything to shit on that note this series is doomed when the creators left the writers are full of woke craps</v>
      </c>
      <c r="D1998">
        <v>0</v>
      </c>
      <c r="E1998">
        <v>0</v>
      </c>
      <c r="F1998" t="s">
        <v>0</v>
      </c>
      <c r="G1998" t="str" cm="1">
        <f t="array" ref="G1998" xml:space="preserve"> FindCountryName(F1998)</f>
        <v>None</v>
      </c>
      <c r="H1998" s="1">
        <v>45280.979120370372</v>
      </c>
      <c r="I1998" s="1">
        <v>45280.980324074073</v>
      </c>
      <c r="J1998" s="1">
        <v>40243.060023148151</v>
      </c>
      <c r="K1998" cm="1">
        <f t="array" ref="K1998" xml:space="preserve"> sentimentCalc(C1998)</f>
        <v>5</v>
      </c>
      <c r="L1998" t="str" cm="1">
        <f t="array" ref="L1998" xml:space="preserve"> sentimentCategory(K1998)</f>
        <v>Positive</v>
      </c>
    </row>
    <row r="1999" spans="1:12">
      <c r="A1999" t="s">
        <v>2265</v>
      </c>
      <c r="B1999" t="s">
        <v>2264</v>
      </c>
      <c r="C1999" t="str" cm="1">
        <f t="array" ref="C1999" xml:space="preserve"> CleanText(B1999)</f>
        <v>ok ill bite again</v>
      </c>
      <c r="D1999">
        <v>0</v>
      </c>
      <c r="E1999">
        <v>0</v>
      </c>
      <c r="F1999" t="s">
        <v>0</v>
      </c>
      <c r="G1999" t="str" cm="1">
        <f t="array" ref="G1999" xml:space="preserve"> FindCountryName(F1999)</f>
        <v>None</v>
      </c>
      <c r="H1999" s="1">
        <v>45280.950706018521</v>
      </c>
      <c r="I1999" s="1">
        <v>45280.950706018521</v>
      </c>
      <c r="J1999" s="1">
        <v>40988.692673611113</v>
      </c>
      <c r="K1999" cm="1">
        <f t="array" ref="K1999" xml:space="preserve"> sentimentCalc(C1999)</f>
        <v>-2</v>
      </c>
      <c r="L1999" t="str" cm="1">
        <f t="array" ref="L1999" xml:space="preserve"> sentimentCategory(K1999)</f>
        <v>Negative</v>
      </c>
    </row>
    <row r="2000" spans="1:12">
      <c r="A2000" t="s">
        <v>887</v>
      </c>
      <c r="B2000" t="s">
        <v>2263</v>
      </c>
      <c r="C2000" t="str" cm="1">
        <f t="array" ref="C2000" xml:space="preserve"> CleanText(B2000)</f>
        <v>people will finally respect the shyamalan film after this show turns out to be a huge turd i guarantee that the story is hollow and the characters lack depth</v>
      </c>
      <c r="D2000">
        <v>0</v>
      </c>
      <c r="E2000">
        <v>0</v>
      </c>
      <c r="F2000" t="s">
        <v>0</v>
      </c>
      <c r="G2000" t="str" cm="1">
        <f t="array" ref="G2000" xml:space="preserve"> FindCountryName(F2000)</f>
        <v>None</v>
      </c>
      <c r="H2000" s="1">
        <v>45280.926458333335</v>
      </c>
      <c r="I2000" s="1">
        <v>45280.926458333335</v>
      </c>
      <c r="J2000" s="1">
        <v>43241.966041666667</v>
      </c>
      <c r="K2000" cm="1">
        <f t="array" ref="K2000" xml:space="preserve"> sentimentCalc(C2000)</f>
        <v>0</v>
      </c>
      <c r="L2000" t="str" cm="1">
        <f t="array" ref="L2000" xml:space="preserve"> sentimentCategory(K2000)</f>
        <v>Neutral</v>
      </c>
    </row>
    <row r="2001" spans="1:12">
      <c r="A2001" t="s">
        <v>653</v>
      </c>
      <c r="B2001" t="s">
        <v>2262</v>
      </c>
      <c r="C2001" t="str" cm="1">
        <f t="array" ref="C2001" xml:space="preserve"> CleanText(B2001)</f>
        <v>just watched through the series with my wife a couple weeks ago im wondering how the netflix show is going to handle the episode zuko alone when the racial ambiguity is no longer present because of the live action medium in the animated series it is very easy to blend ethnicities to suspend disbelief for the viewer and because that episode is so pivotal to zukos development it is a must i wonder how the characters are going to be able to look at zuko and not immediately think hes fire nation i guess we will have to wait and see since i dont recall seeing any earth nation people in the teaser i have high hopes netflix dont let us down</v>
      </c>
      <c r="D2001">
        <v>0</v>
      </c>
      <c r="E2001">
        <v>0</v>
      </c>
      <c r="F2001" t="s">
        <v>0</v>
      </c>
      <c r="G2001" t="str" cm="1">
        <f t="array" ref="G2001" xml:space="preserve"> FindCountryName(F2001)</f>
        <v>None</v>
      </c>
      <c r="H2001" s="1">
        <v>45280.911516203705</v>
      </c>
      <c r="I2001" s="1">
        <v>45280.911516203705</v>
      </c>
      <c r="J2001" s="1">
        <v>41196.860358796293</v>
      </c>
      <c r="K2001" cm="1">
        <f t="array" ref="K2001" xml:space="preserve"> sentimentCalc(C2001)</f>
        <v>-3</v>
      </c>
      <c r="L2001" t="str" cm="1">
        <f t="array" ref="L2001" xml:space="preserve"> sentimentCategory(K2001)</f>
        <v>Negative</v>
      </c>
    </row>
    <row r="2002" spans="1:12">
      <c r="A2002" t="s">
        <v>2261</v>
      </c>
      <c r="B2002" t="s">
        <v>2260</v>
      </c>
      <c r="C2002" t="str" cm="1">
        <f t="array" ref="C2002" xml:space="preserve"> CleanText(B2002)</f>
        <v>im on the fence whoever did the set design though absolutely nailed it dont love the casting choices but dont hate them either didnt really see much actual actingspeaking so cant judge that aang looks decent fights shown look kind of meh but not much shownyea could go either way as long as this isnt the best of it and is just a small tease</v>
      </c>
      <c r="D2002">
        <v>1</v>
      </c>
      <c r="E2002">
        <v>0</v>
      </c>
      <c r="F2002" t="s">
        <v>0</v>
      </c>
      <c r="G2002" t="str" cm="1">
        <f t="array" ref="G2002" xml:space="preserve"> FindCountryName(F2002)</f>
        <v>None</v>
      </c>
      <c r="H2002" s="1">
        <v>45280.872407407405</v>
      </c>
      <c r="I2002" s="1">
        <v>45280.872407407405</v>
      </c>
      <c r="J2002" s="1">
        <v>38939.565972222219</v>
      </c>
      <c r="K2002" cm="1">
        <f t="array" ref="K2002" xml:space="preserve"> sentimentCalc(C2002)</f>
        <v>5</v>
      </c>
      <c r="L2002" t="str" cm="1">
        <f t="array" ref="L2002" xml:space="preserve"> sentimentCategory(K2002)</f>
        <v>Positive</v>
      </c>
    </row>
    <row r="2003" spans="1:12">
      <c r="A2003" t="s">
        <v>47</v>
      </c>
      <c r="B2003" t="s">
        <v>2259</v>
      </c>
      <c r="C2003" t="str" cm="1">
        <f t="array" ref="C2003" xml:space="preserve"> CleanText(B2003)</f>
        <v>holy shit its time let it rain awesomeness</v>
      </c>
      <c r="D2003">
        <v>0</v>
      </c>
      <c r="E2003">
        <v>0</v>
      </c>
      <c r="F2003" t="s">
        <v>0</v>
      </c>
      <c r="G2003" t="str" cm="1">
        <f t="array" ref="G2003" xml:space="preserve"> FindCountryName(F2003)</f>
        <v>None</v>
      </c>
      <c r="H2003" s="1">
        <v>45280.866377314815</v>
      </c>
      <c r="I2003" s="1">
        <v>45280.866377314815</v>
      </c>
      <c r="J2003" s="1">
        <v>41503.112858796296</v>
      </c>
      <c r="K2003" cm="1">
        <f t="array" ref="K2003" xml:space="preserve"> sentimentCalc(C2003)</f>
        <v>0</v>
      </c>
      <c r="L2003" t="str" cm="1">
        <f t="array" ref="L2003" xml:space="preserve"> sentimentCategory(K2003)</f>
        <v>Neutral</v>
      </c>
    </row>
    <row r="2004" spans="1:12">
      <c r="A2004" t="s">
        <v>1631</v>
      </c>
      <c r="B2004" t="s">
        <v>2258</v>
      </c>
      <c r="C2004" t="str" cm="1">
        <f t="array" ref="C2004" xml:space="preserve"> CleanText(B2004)</f>
        <v>yeah boy</v>
      </c>
      <c r="D2004">
        <v>0</v>
      </c>
      <c r="E2004">
        <v>0</v>
      </c>
      <c r="F2004" t="s">
        <v>0</v>
      </c>
      <c r="G2004" t="str" cm="1">
        <f t="array" ref="G2004" xml:space="preserve"> FindCountryName(F2004)</f>
        <v>None</v>
      </c>
      <c r="H2004" s="1">
        <v>45280.86409722222</v>
      </c>
      <c r="I2004" s="1">
        <v>45280.86409722222</v>
      </c>
      <c r="J2004" s="1">
        <v>43083.89167824074</v>
      </c>
      <c r="K2004" cm="1">
        <f t="array" ref="K2004" xml:space="preserve"> sentimentCalc(C2004)</f>
        <v>1</v>
      </c>
      <c r="L2004" t="str" cm="1">
        <f t="array" ref="L2004" xml:space="preserve"> sentimentCategory(K2004)</f>
        <v>Positive</v>
      </c>
    </row>
    <row r="2005" spans="1:12">
      <c r="A2005" t="s">
        <v>2257</v>
      </c>
      <c r="B2005" t="s">
        <v>2256</v>
      </c>
      <c r="C2005" t="str" cm="1">
        <f t="array" ref="C2005" xml:space="preserve"> CleanText(B2005)</f>
        <v>they have to cast dwayne johnson as toph for the ember island players play</v>
      </c>
      <c r="D2005">
        <v>1</v>
      </c>
      <c r="E2005">
        <v>0</v>
      </c>
      <c r="F2005" t="s">
        <v>0</v>
      </c>
      <c r="G2005" t="str" cm="1">
        <f t="array" ref="G2005" xml:space="preserve"> FindCountryName(F2005)</f>
        <v>None</v>
      </c>
      <c r="H2005" s="1">
        <v>45280.858657407407</v>
      </c>
      <c r="I2005" s="1">
        <v>45280.858657407407</v>
      </c>
      <c r="J2005" s="1">
        <v>40529.505231481482</v>
      </c>
      <c r="K2005" cm="1">
        <f t="array" ref="K2005" xml:space="preserve"> sentimentCalc(C2005)</f>
        <v>0</v>
      </c>
      <c r="L2005" t="str" cm="1">
        <f t="array" ref="L2005" xml:space="preserve"> sentimentCategory(K2005)</f>
        <v>Neutral</v>
      </c>
    </row>
    <row r="2006" spans="1:12">
      <c r="A2006" t="s">
        <v>2255</v>
      </c>
      <c r="B2006" t="s">
        <v>2254</v>
      </c>
      <c r="C2006" t="str" cm="1">
        <f t="array" ref="C2006" xml:space="preserve"> CleanText(B2006)</f>
        <v>please no more  ong  like the last one</v>
      </c>
      <c r="D2006">
        <v>0</v>
      </c>
      <c r="E2006">
        <v>0</v>
      </c>
      <c r="F2006" t="s">
        <v>0</v>
      </c>
      <c r="G2006" t="str" cm="1">
        <f t="array" ref="G2006" xml:space="preserve"> FindCountryName(F2006)</f>
        <v>None</v>
      </c>
      <c r="H2006" s="1">
        <v>45280.854988425926</v>
      </c>
      <c r="I2006" s="1">
        <v>45280.854988425926</v>
      </c>
      <c r="J2006" s="1">
        <v>44489.830127314817</v>
      </c>
      <c r="K2006" cm="1">
        <f t="array" ref="K2006" xml:space="preserve"> sentimentCalc(C2006)</f>
        <v>2</v>
      </c>
      <c r="L2006" t="str" cm="1">
        <f t="array" ref="L2006" xml:space="preserve"> sentimentCategory(K2006)</f>
        <v>Positive</v>
      </c>
    </row>
    <row r="2007" spans="1:12">
      <c r="A2007" t="s">
        <v>382</v>
      </c>
      <c r="B2007" t="s">
        <v>2253</v>
      </c>
      <c r="C2007" t="str" cm="1">
        <f t="array" ref="C2007" xml:space="preserve"> CleanText(B2007)</f>
        <v>been waiting for this for a long time hope its good</v>
      </c>
      <c r="D2007">
        <v>0</v>
      </c>
      <c r="E2007">
        <v>0</v>
      </c>
      <c r="F2007" t="s">
        <v>0</v>
      </c>
      <c r="G2007" t="str" cm="1">
        <f t="array" ref="G2007" xml:space="preserve"> FindCountryName(F2007)</f>
        <v>None</v>
      </c>
      <c r="H2007" s="1">
        <v>45280.850960648146</v>
      </c>
      <c r="I2007" s="1">
        <v>45280.850960648146</v>
      </c>
      <c r="J2007" s="1">
        <v>41736.332592592589</v>
      </c>
      <c r="K2007" cm="1">
        <f t="array" ref="K2007" xml:space="preserve"> sentimentCalc(C2007)</f>
        <v>5</v>
      </c>
      <c r="L2007" t="str" cm="1">
        <f t="array" ref="L2007" xml:space="preserve"> sentimentCategory(K2007)</f>
        <v>Positive</v>
      </c>
    </row>
    <row r="2008" spans="1:12">
      <c r="A2008" t="s">
        <v>2252</v>
      </c>
      <c r="B2008" t="s">
        <v>2251</v>
      </c>
      <c r="C2008" t="str" cm="1">
        <f t="array" ref="C2008" xml:space="preserve"> CleanText(B2008)</f>
        <v>_xDC4D_♥_xDE0D_♥_xD83C__xD83C_ n</v>
      </c>
      <c r="D2008">
        <v>0</v>
      </c>
      <c r="E2008">
        <v>0</v>
      </c>
      <c r="F2008" t="s">
        <v>2250</v>
      </c>
      <c r="G2008" t="str" cm="1">
        <f t="array" ref="G2008" xml:space="preserve"> FindCountryName(F2008)</f>
        <v>Venezuela (Bolivarian Republic of)</v>
      </c>
      <c r="H2008" s="1">
        <v>45280.833854166667</v>
      </c>
      <c r="I2008" s="1">
        <v>45280.833854166667</v>
      </c>
      <c r="J2008" s="1">
        <v>44929.796655092592</v>
      </c>
      <c r="K2008" cm="1">
        <f t="array" ref="K2008" xml:space="preserve"> sentimentCalc(C2008)</f>
        <v>0</v>
      </c>
      <c r="L2008" t="str" cm="1">
        <f t="array" ref="L2008" xml:space="preserve"> sentimentCategory(K2008)</f>
        <v>Neutral</v>
      </c>
    </row>
    <row r="2009" spans="1:12">
      <c r="A2009" t="s">
        <v>653</v>
      </c>
      <c r="B2009" t="s">
        <v>2249</v>
      </c>
      <c r="C2009" t="str" cm="1">
        <f t="array" ref="C2009" xml:space="preserve"> CleanText(B2009)</f>
        <v>dont know if the bar is  kilometers deep underground or somewhere in the atmosphere</v>
      </c>
      <c r="D2009">
        <v>0</v>
      </c>
      <c r="E2009">
        <v>0</v>
      </c>
      <c r="F2009" t="s">
        <v>0</v>
      </c>
      <c r="G2009" t="str" cm="1">
        <f t="array" ref="G2009" xml:space="preserve"> FindCountryName(F2009)</f>
        <v>None</v>
      </c>
      <c r="H2009" s="1">
        <v>45280.826747685183</v>
      </c>
      <c r="I2009" s="1">
        <v>45280.826747685183</v>
      </c>
      <c r="J2009" s="1">
        <v>43499.466006944444</v>
      </c>
      <c r="K2009" cm="1">
        <f t="array" ref="K2009" xml:space="preserve"> sentimentCalc(C2009)</f>
        <v>0</v>
      </c>
      <c r="L2009" t="str" cm="1">
        <f t="array" ref="L2009" xml:space="preserve"> sentimentCategory(K2009)</f>
        <v>Neutral</v>
      </c>
    </row>
    <row r="2010" spans="1:12">
      <c r="A2010" t="s">
        <v>1209</v>
      </c>
      <c r="B2010" t="s">
        <v>2248</v>
      </c>
      <c r="C2010" t="str" cm="1">
        <f t="array" ref="C2010" xml:space="preserve"> CleanText(B2010)</f>
        <v>i cant wait for it _xDE06_</v>
      </c>
      <c r="D2010">
        <v>1</v>
      </c>
      <c r="E2010">
        <v>0</v>
      </c>
      <c r="F2010" t="s">
        <v>0</v>
      </c>
      <c r="G2010" t="str" cm="1">
        <f t="array" ref="G2010" xml:space="preserve"> FindCountryName(F2010)</f>
        <v>None</v>
      </c>
      <c r="H2010" s="1">
        <v>45280.818287037036</v>
      </c>
      <c r="I2010" s="1">
        <v>45280.818287037036</v>
      </c>
      <c r="J2010" s="1">
        <v>45153.872835648152</v>
      </c>
      <c r="K2010" cm="1">
        <f t="array" ref="K2010" xml:space="preserve"> sentimentCalc(C2010)</f>
        <v>0</v>
      </c>
      <c r="L2010" t="str" cm="1">
        <f t="array" ref="L2010" xml:space="preserve"> sentimentCategory(K2010)</f>
        <v>Neutral</v>
      </c>
    </row>
    <row r="2011" spans="1:12">
      <c r="A2011" t="s">
        <v>180</v>
      </c>
      <c r="B2011" t="s">
        <v>2247</v>
      </c>
      <c r="C2011" t="str" cm="1">
        <f t="array" ref="C2011" xml:space="preserve"> CleanText(B2011)</f>
        <v>netflix making shamalong look like the ember island playwright</v>
      </c>
      <c r="D2011">
        <v>0</v>
      </c>
      <c r="E2011">
        <v>0</v>
      </c>
      <c r="F2011" t="s">
        <v>0</v>
      </c>
      <c r="G2011" t="str" cm="1">
        <f t="array" ref="G2011" xml:space="preserve"> FindCountryName(F2011)</f>
        <v>None</v>
      </c>
      <c r="H2011" s="1">
        <v>45280.76803240741</v>
      </c>
      <c r="I2011" s="1">
        <v>45280.76803240741</v>
      </c>
      <c r="J2011" s="1">
        <v>42174.041759259257</v>
      </c>
      <c r="K2011" cm="1">
        <f t="array" ref="K2011" xml:space="preserve"> sentimentCalc(C2011)</f>
        <v>2</v>
      </c>
      <c r="L2011" t="str" cm="1">
        <f t="array" ref="L2011" xml:space="preserve"> sentimentCategory(K2011)</f>
        <v>Positive</v>
      </c>
    </row>
    <row r="2012" spans="1:12">
      <c r="A2012" t="s">
        <v>1338</v>
      </c>
      <c r="B2012" t="s">
        <v>2246</v>
      </c>
      <c r="C2012" t="str" cm="1">
        <f t="array" ref="C2012" xml:space="preserve"> CleanText(B2012)</f>
        <v>they did him dirty bro</v>
      </c>
      <c r="D2012">
        <v>1</v>
      </c>
      <c r="E2012">
        <v>0</v>
      </c>
      <c r="F2012" t="s">
        <v>0</v>
      </c>
      <c r="G2012" t="str" cm="1">
        <f t="array" ref="G2012" xml:space="preserve"> FindCountryName(F2012)</f>
        <v>None</v>
      </c>
      <c r="H2012" s="1">
        <v>45280.75277777778</v>
      </c>
      <c r="I2012" s="1">
        <v>45280.75277777778</v>
      </c>
      <c r="J2012" s="1">
        <v>44625.546932870369</v>
      </c>
      <c r="K2012" cm="1">
        <f t="array" ref="K2012" xml:space="preserve"> sentimentCalc(C2012)</f>
        <v>-2</v>
      </c>
      <c r="L2012" t="str" cm="1">
        <f t="array" ref="L2012" xml:space="preserve"> sentimentCategory(K2012)</f>
        <v>Negative</v>
      </c>
    </row>
    <row r="2013" spans="1:12">
      <c r="A2013" t="s">
        <v>420</v>
      </c>
      <c r="B2013" t="s">
        <v>2245</v>
      </c>
      <c r="C2013" t="str" cm="1">
        <f t="array" ref="C2013" xml:space="preserve"> CleanText(B2013)</f>
        <v>bro its the same story i dont care why not  make a new story</v>
      </c>
      <c r="D2013">
        <v>0</v>
      </c>
      <c r="E2013">
        <v>0</v>
      </c>
      <c r="F2013" t="s">
        <v>0</v>
      </c>
      <c r="G2013" t="str" cm="1">
        <f t="array" ref="G2013" xml:space="preserve"> FindCountryName(F2013)</f>
        <v>None</v>
      </c>
      <c r="H2013" s="1">
        <v>45280.709166666667</v>
      </c>
      <c r="I2013" s="1">
        <v>45280.709166666667</v>
      </c>
      <c r="J2013" s="1">
        <v>45155.95275462963</v>
      </c>
      <c r="K2013" cm="1">
        <f t="array" ref="K2013" xml:space="preserve"> sentimentCalc(C2013)</f>
        <v>2</v>
      </c>
      <c r="L2013" t="str" cm="1">
        <f t="array" ref="L2013" xml:space="preserve"> sentimentCategory(K2013)</f>
        <v>Positive</v>
      </c>
    </row>
    <row r="2014" spans="1:12">
      <c r="A2014" t="s">
        <v>1067</v>
      </c>
      <c r="B2014" t="s">
        <v>2244</v>
      </c>
      <c r="C2014" t="str" cm="1">
        <f t="array" ref="C2014" xml:space="preserve"> CleanText(B2014)</f>
        <v>when the release starts</v>
      </c>
      <c r="D2014">
        <v>0</v>
      </c>
      <c r="E2014">
        <v>0</v>
      </c>
      <c r="F2014" t="s">
        <v>0</v>
      </c>
      <c r="G2014" t="str" cm="1">
        <f t="array" ref="G2014" xml:space="preserve"> FindCountryName(F2014)</f>
        <v>None</v>
      </c>
      <c r="H2014" s="1">
        <v>45280.687442129631</v>
      </c>
      <c r="I2014" s="1">
        <v>45280.687442129631</v>
      </c>
      <c r="J2014" s="1">
        <v>41338.234918981485</v>
      </c>
      <c r="K2014" cm="1">
        <f t="array" ref="K2014" xml:space="preserve"> sentimentCalc(C2014)</f>
        <v>0</v>
      </c>
      <c r="L2014" t="str" cm="1">
        <f t="array" ref="L2014" xml:space="preserve"> sentimentCategory(K2014)</f>
        <v>Neutral</v>
      </c>
    </row>
    <row r="2015" spans="1:12">
      <c r="A2015" t="s">
        <v>58</v>
      </c>
      <c r="B2015" t="s">
        <v>2243</v>
      </c>
      <c r="C2015" t="str" cm="1">
        <f t="array" ref="C2015" xml:space="preserve"> CleanText(B2015)</f>
        <v>sure wish it wasnt on stupid netflix only</v>
      </c>
      <c r="D2015">
        <v>0</v>
      </c>
      <c r="E2015">
        <v>0</v>
      </c>
      <c r="F2015" t="s">
        <v>0</v>
      </c>
      <c r="G2015" t="str" cm="1">
        <f t="array" ref="G2015" xml:space="preserve"> FindCountryName(F2015)</f>
        <v>None</v>
      </c>
      <c r="H2015" s="1">
        <v>45280.666504629633</v>
      </c>
      <c r="I2015" s="1">
        <v>45280.666504629633</v>
      </c>
      <c r="J2015" s="1">
        <v>41175.517627314817</v>
      </c>
      <c r="K2015" cm="1">
        <f t="array" ref="K2015" xml:space="preserve"> sentimentCalc(C2015)</f>
        <v>-1</v>
      </c>
      <c r="L2015" t="str" cm="1">
        <f t="array" ref="L2015" xml:space="preserve"> sentimentCategory(K2015)</f>
        <v>Negative</v>
      </c>
    </row>
    <row r="2016" spans="1:12">
      <c r="A2016" t="s">
        <v>41</v>
      </c>
      <c r="B2016" t="s">
        <v>2242</v>
      </c>
      <c r="C2016" t="str" cm="1">
        <f t="array" ref="C2016" xml:space="preserve"> CleanText(B2016)</f>
        <v>lgbt avatar</v>
      </c>
      <c r="D2016">
        <v>0</v>
      </c>
      <c r="E2016">
        <v>1</v>
      </c>
      <c r="F2016" t="s">
        <v>0</v>
      </c>
      <c r="G2016" t="str" cm="1">
        <f t="array" ref="G2016" xml:space="preserve"> FindCountryName(F2016)</f>
        <v>None</v>
      </c>
      <c r="H2016" s="1">
        <v>45280.620405092595</v>
      </c>
      <c r="I2016" s="1">
        <v>45280.620405092595</v>
      </c>
      <c r="J2016" s="1">
        <v>44512.44023148148</v>
      </c>
      <c r="K2016" cm="1">
        <f t="array" ref="K2016" xml:space="preserve"> sentimentCalc(C2016)</f>
        <v>0</v>
      </c>
      <c r="L2016" t="str" cm="1">
        <f t="array" ref="L2016" xml:space="preserve"> sentimentCategory(K2016)</f>
        <v>Neutral</v>
      </c>
    </row>
    <row r="2017" spans="1:12">
      <c r="A2017" t="s">
        <v>603</v>
      </c>
      <c r="B2017" t="s">
        <v>2241</v>
      </c>
      <c r="C2017" t="str" cm="1">
        <f t="array" ref="C2017" xml:space="preserve"> CleanText(B2017)</f>
        <v>hey hollywood where is your inclusive cast now why isnt avatar a black woman the double standards is disgusting</v>
      </c>
      <c r="D2017">
        <v>0</v>
      </c>
      <c r="E2017">
        <v>1</v>
      </c>
      <c r="F2017" t="s">
        <v>0</v>
      </c>
      <c r="G2017" t="str" cm="1">
        <f t="array" ref="G2017" xml:space="preserve"> FindCountryName(F2017)</f>
        <v>None</v>
      </c>
      <c r="H2017" s="1">
        <v>45280.599675925929</v>
      </c>
      <c r="I2017" s="1">
        <v>45280.599675925929</v>
      </c>
      <c r="J2017" s="1">
        <v>42018.486863425926</v>
      </c>
      <c r="K2017" cm="1">
        <f t="array" ref="K2017" xml:space="preserve"> sentimentCalc(C2017)</f>
        <v>-3</v>
      </c>
      <c r="L2017" t="str" cm="1">
        <f t="array" ref="L2017" xml:space="preserve"> sentimentCategory(K2017)</f>
        <v>Negative</v>
      </c>
    </row>
    <row r="2018" spans="1:12">
      <c r="A2018" t="s">
        <v>355</v>
      </c>
      <c r="B2018" t="s">
        <v>2240</v>
      </c>
      <c r="C2018" t="str" cm="1">
        <f t="array" ref="C2018" xml:space="preserve"> CleanText(B2018)</f>
        <v>please dont suck like the movie did</v>
      </c>
      <c r="D2018">
        <v>0</v>
      </c>
      <c r="E2018">
        <v>0</v>
      </c>
      <c r="F2018" t="s">
        <v>0</v>
      </c>
      <c r="G2018" t="str" cm="1">
        <f t="array" ref="G2018" xml:space="preserve"> FindCountryName(F2018)</f>
        <v>None</v>
      </c>
      <c r="H2018" s="1">
        <v>45280.583715277775</v>
      </c>
      <c r="I2018" s="1">
        <v>45280.583715277775</v>
      </c>
      <c r="J2018" s="1">
        <v>41032.627025462964</v>
      </c>
      <c r="K2018" cm="1">
        <f t="array" ref="K2018" xml:space="preserve"> sentimentCalc(C2018)</f>
        <v>0</v>
      </c>
      <c r="L2018" t="str" cm="1">
        <f t="array" ref="L2018" xml:space="preserve"> sentimentCategory(K2018)</f>
        <v>Neutral</v>
      </c>
    </row>
    <row r="2019" spans="1:12">
      <c r="A2019" t="s">
        <v>1112</v>
      </c>
      <c r="B2019" t="s">
        <v>2239</v>
      </c>
      <c r="C2019" t="str" cm="1">
        <f t="array" ref="C2019" xml:space="preserve"> CleanText(B2019)</f>
        <v>this brings back nightmares</v>
      </c>
      <c r="D2019">
        <v>0</v>
      </c>
      <c r="E2019">
        <v>0</v>
      </c>
      <c r="F2019" t="s">
        <v>0</v>
      </c>
      <c r="G2019" t="str" cm="1">
        <f t="array" ref="G2019" xml:space="preserve"> FindCountryName(F2019)</f>
        <v>None</v>
      </c>
      <c r="H2019" s="1">
        <v>45280.578530092593</v>
      </c>
      <c r="I2019" s="1">
        <v>45280.578530092593</v>
      </c>
      <c r="J2019" s="1">
        <v>44397.637002314812</v>
      </c>
      <c r="K2019" cm="1">
        <f t="array" ref="K2019" xml:space="preserve"> sentimentCalc(C2019)</f>
        <v>0</v>
      </c>
      <c r="L2019" t="str" cm="1">
        <f t="array" ref="L2019" xml:space="preserve"> sentimentCategory(K2019)</f>
        <v>Neutral</v>
      </c>
    </row>
    <row r="2020" spans="1:12">
      <c r="A2020" t="s">
        <v>1488</v>
      </c>
      <c r="B2020" t="s">
        <v>2238</v>
      </c>
      <c r="C2020" t="str" cm="1">
        <f t="array" ref="C2020" xml:space="preserve"> CleanText(B2020)</f>
        <v>really wondering what the creative differences were that made the original creators leave</v>
      </c>
      <c r="D2020">
        <v>0</v>
      </c>
      <c r="E2020">
        <v>0</v>
      </c>
      <c r="F2020" t="s">
        <v>19</v>
      </c>
      <c r="G2020" t="str" cm="1">
        <f t="array" ref="G2020" xml:space="preserve"> FindCountryName(F2020)</f>
        <v>United States of America (the)</v>
      </c>
      <c r="H2020" s="1">
        <v>45280.56962962963</v>
      </c>
      <c r="I2020" s="1">
        <v>45280.56962962963</v>
      </c>
      <c r="J2020" s="1">
        <v>40699.345937500002</v>
      </c>
      <c r="K2020" cm="1">
        <f t="array" ref="K2020" xml:space="preserve"> sentimentCalc(C2020)</f>
        <v>1</v>
      </c>
      <c r="L2020" t="str" cm="1">
        <f t="array" ref="L2020" xml:space="preserve"> sentimentCategory(K2020)</f>
        <v>Positive</v>
      </c>
    </row>
    <row r="2021" spans="1:12">
      <c r="A2021" t="s">
        <v>483</v>
      </c>
      <c r="B2021" t="s">
        <v>2237</v>
      </c>
      <c r="C2021" t="str" cm="1">
        <f t="array" ref="C2021" xml:space="preserve"> CleanText(B2021)</f>
        <v>not again</v>
      </c>
      <c r="D2021">
        <v>0</v>
      </c>
      <c r="E2021">
        <v>0</v>
      </c>
      <c r="F2021" t="s">
        <v>0</v>
      </c>
      <c r="G2021" t="str" cm="1">
        <f t="array" ref="G2021" xml:space="preserve"> FindCountryName(F2021)</f>
        <v>None</v>
      </c>
      <c r="H2021" s="1">
        <v>45280.563159722224</v>
      </c>
      <c r="I2021" s="1">
        <v>45280.563159722224</v>
      </c>
      <c r="J2021" s="1">
        <v>44186.187928240739</v>
      </c>
      <c r="K2021" cm="1">
        <f t="array" ref="K2021" xml:space="preserve"> sentimentCalc(C2021)</f>
        <v>0</v>
      </c>
      <c r="L2021" t="str" cm="1">
        <f t="array" ref="L2021" xml:space="preserve"> sentimentCategory(K2021)</f>
        <v>Neutral</v>
      </c>
    </row>
    <row r="2022" spans="1:12">
      <c r="A2022" t="s">
        <v>28</v>
      </c>
      <c r="B2022" t="s">
        <v>2236</v>
      </c>
      <c r="C2022" t="str" cm="1">
        <f t="array" ref="C2022" xml:space="preserve"> CleanText(B2022)</f>
        <v>they better not mess this up expectations are high</v>
      </c>
      <c r="D2022">
        <v>0</v>
      </c>
      <c r="E2022">
        <v>0</v>
      </c>
      <c r="F2022" t="s">
        <v>0</v>
      </c>
      <c r="G2022" t="str" cm="1">
        <f t="array" ref="G2022" xml:space="preserve"> FindCountryName(F2022)</f>
        <v>None</v>
      </c>
      <c r="H2022" s="1">
        <v>45280.555034722223</v>
      </c>
      <c r="I2022" s="1">
        <v>45280.555034722223</v>
      </c>
      <c r="J2022" s="1">
        <v>43479.571377314816</v>
      </c>
      <c r="K2022" cm="1">
        <f t="array" ref="K2022" xml:space="preserve"> sentimentCalc(C2022)</f>
        <v>0</v>
      </c>
      <c r="L2022" t="str" cm="1">
        <f t="array" ref="L2022" xml:space="preserve"> sentimentCategory(K2022)</f>
        <v>Neutral</v>
      </c>
    </row>
    <row r="2023" spans="1:12">
      <c r="A2023" t="s">
        <v>2235</v>
      </c>
      <c r="B2023" t="s">
        <v>2234</v>
      </c>
      <c r="C2023" t="str" cm="1">
        <f t="array" ref="C2023" xml:space="preserve"> CleanText(B2023)</f>
        <v>charles issac britt lumbee rap god</v>
      </c>
      <c r="D2023">
        <v>1</v>
      </c>
      <c r="E2023">
        <v>0</v>
      </c>
      <c r="F2023" t="s">
        <v>0</v>
      </c>
      <c r="G2023" t="str" cm="1">
        <f t="array" ref="G2023" xml:space="preserve"> FindCountryName(F2023)</f>
        <v>None</v>
      </c>
      <c r="H2023" s="1">
        <v>45280.525833333333</v>
      </c>
      <c r="I2023" s="1">
        <v>45280.525833333333</v>
      </c>
      <c r="J2023" s="1">
        <v>45082.981874999998</v>
      </c>
      <c r="K2023" cm="1">
        <f t="array" ref="K2023" xml:space="preserve"> sentimentCalc(C2023)</f>
        <v>1</v>
      </c>
      <c r="L2023" t="str" cm="1">
        <f t="array" ref="L2023" xml:space="preserve"> sentimentCategory(K2023)</f>
        <v>Positive</v>
      </c>
    </row>
    <row r="2024" spans="1:12">
      <c r="A2024" t="s">
        <v>2233</v>
      </c>
      <c r="B2024" t="s">
        <v>2232</v>
      </c>
      <c r="C2024" t="str" cm="1">
        <f t="array" ref="C2024" xml:space="preserve"> CleanText(B2024)</f>
        <v>book nr  of</v>
      </c>
      <c r="D2024">
        <v>0</v>
      </c>
      <c r="E2024">
        <v>0</v>
      </c>
      <c r="F2024" t="s">
        <v>0</v>
      </c>
      <c r="G2024" t="str" cm="1">
        <f t="array" ref="G2024" xml:space="preserve"> FindCountryName(F2024)</f>
        <v>None</v>
      </c>
      <c r="H2024" s="1">
        <v>45280.504490740743</v>
      </c>
      <c r="I2024" s="1">
        <v>45280.504490740743</v>
      </c>
      <c r="J2024" s="1">
        <v>40743.460347222222</v>
      </c>
      <c r="K2024" cm="1">
        <f t="array" ref="K2024" xml:space="preserve"> sentimentCalc(C2024)</f>
        <v>0</v>
      </c>
      <c r="L2024" t="str" cm="1">
        <f t="array" ref="L2024" xml:space="preserve"> sentimentCategory(K2024)</f>
        <v>Neutral</v>
      </c>
    </row>
    <row r="2025" spans="1:12">
      <c r="A2025" t="s">
        <v>2231</v>
      </c>
      <c r="B2025" t="s">
        <v>2230</v>
      </c>
      <c r="C2025" t="str" cm="1">
        <f t="array" ref="C2025" xml:space="preserve"> CleanText(B2025)</f>
        <v>i watched this today on tv</v>
      </c>
      <c r="D2025">
        <v>0</v>
      </c>
      <c r="E2025">
        <v>0</v>
      </c>
      <c r="F2025" t="s">
        <v>0</v>
      </c>
      <c r="G2025" t="str" cm="1">
        <f t="array" ref="G2025" xml:space="preserve"> FindCountryName(F2025)</f>
        <v>None</v>
      </c>
      <c r="H2025" s="1">
        <v>45280.501238425924</v>
      </c>
      <c r="I2025" s="1">
        <v>45280.501238425924</v>
      </c>
      <c r="J2025" s="1">
        <v>43846.456458333334</v>
      </c>
      <c r="K2025" cm="1">
        <f t="array" ref="K2025" xml:space="preserve"> sentimentCalc(C2025)</f>
        <v>0</v>
      </c>
      <c r="L2025" t="str" cm="1">
        <f t="array" ref="L2025" xml:space="preserve"> sentimentCategory(K2025)</f>
        <v>Neutral</v>
      </c>
    </row>
    <row r="2026" spans="1:12">
      <c r="A2026" t="s">
        <v>938</v>
      </c>
      <c r="B2026" t="s">
        <v>2229</v>
      </c>
      <c r="C2026" t="str" cm="1">
        <f t="array" ref="C2026" xml:space="preserve"> CleanText(B2026)</f>
        <v>is this a movie or a tv series thank you</v>
      </c>
      <c r="D2026">
        <v>0</v>
      </c>
      <c r="E2026">
        <v>2</v>
      </c>
      <c r="F2026" t="s">
        <v>1523</v>
      </c>
      <c r="G2026" t="str" cm="1">
        <f t="array" ref="G2026" xml:space="preserve"> FindCountryName(F2026)</f>
        <v>Turkey</v>
      </c>
      <c r="H2026" s="1">
        <v>45280.460914351854</v>
      </c>
      <c r="I2026" s="1">
        <v>45280.460914351854</v>
      </c>
      <c r="J2026" s="1">
        <v>42764.388136574074</v>
      </c>
      <c r="K2026" cm="1">
        <f t="array" ref="K2026" xml:space="preserve"> sentimentCalc(C2026)</f>
        <v>2</v>
      </c>
      <c r="L2026" t="str" cm="1">
        <f t="array" ref="L2026" xml:space="preserve"> sentimentCategory(K2026)</f>
        <v>Positive</v>
      </c>
    </row>
    <row r="2027" spans="1:12">
      <c r="A2027" t="s">
        <v>2101</v>
      </c>
      <c r="B2027" t="s">
        <v>2228</v>
      </c>
      <c r="C2027" t="str" cm="1">
        <f t="array" ref="C2027" xml:space="preserve"> CleanText(B2027)</f>
        <v>all they needed to do was remake the animated series with a 6 screen ratio embellished fight scenes and as much of the original cast as can still sound like their characters rest in power iwamatsusan</v>
      </c>
      <c r="D2027">
        <v>0</v>
      </c>
      <c r="E2027">
        <v>0</v>
      </c>
      <c r="F2027" t="s">
        <v>0</v>
      </c>
      <c r="G2027" t="str" cm="1">
        <f t="array" ref="G2027" xml:space="preserve"> FindCountryName(F2027)</f>
        <v>None</v>
      </c>
      <c r="H2027" s="1">
        <v>45280.369351851848</v>
      </c>
      <c r="I2027" s="1">
        <v>45280.369351851848</v>
      </c>
      <c r="J2027" s="1">
        <v>39018.926944444444</v>
      </c>
      <c r="K2027" cm="1">
        <f t="array" ref="K2027" xml:space="preserve"> sentimentCalc(C2027)</f>
        <v>1</v>
      </c>
      <c r="L2027" t="str" cm="1">
        <f t="array" ref="L2027" xml:space="preserve"> sentimentCategory(K2027)</f>
        <v>Positive</v>
      </c>
    </row>
    <row r="2028" spans="1:12">
      <c r="A2028" t="s">
        <v>2227</v>
      </c>
      <c r="B2028" t="s">
        <v>2226</v>
      </c>
      <c r="C2028" t="str" cm="1">
        <f t="array" ref="C2028" xml:space="preserve"> CleanText(B2028)</f>
        <v>damn it they didnt choose me  come on netflix my video has like 7k views for my audition tf i even look like katara</v>
      </c>
      <c r="D2028">
        <v>0</v>
      </c>
      <c r="E2028">
        <v>0</v>
      </c>
      <c r="F2028" t="s">
        <v>0</v>
      </c>
      <c r="G2028" t="str" cm="1">
        <f t="array" ref="G2028" xml:space="preserve"> FindCountryName(F2028)</f>
        <v>None</v>
      </c>
      <c r="H2028" s="1">
        <v>45280.358506944445</v>
      </c>
      <c r="I2028" s="1">
        <v>45280.358506944445</v>
      </c>
      <c r="J2028" s="1">
        <v>42155.793900462966</v>
      </c>
      <c r="K2028" cm="1">
        <f t="array" ref="K2028" xml:space="preserve"> sentimentCalc(C2028)</f>
        <v>0</v>
      </c>
      <c r="L2028" t="str" cm="1">
        <f t="array" ref="L2028" xml:space="preserve"> sentimentCategory(K2028)</f>
        <v>Neutral</v>
      </c>
    </row>
    <row r="2029" spans="1:12">
      <c r="A2029" t="s">
        <v>882</v>
      </c>
      <c r="B2029" t="s">
        <v>2225</v>
      </c>
      <c r="C2029" t="str" cm="1">
        <f t="array" ref="C2029" xml:space="preserve"> CleanText(B2029)</f>
        <v>at least i dont see ong in this trailer</v>
      </c>
      <c r="D2029">
        <v>0</v>
      </c>
      <c r="E2029">
        <v>0</v>
      </c>
      <c r="F2029" t="s">
        <v>19</v>
      </c>
      <c r="G2029" t="str" cm="1">
        <f t="array" ref="G2029" xml:space="preserve"> FindCountryName(F2029)</f>
        <v>United States of America (the)</v>
      </c>
      <c r="H2029" s="1">
        <v>45280.339537037034</v>
      </c>
      <c r="I2029" s="1">
        <v>45280.339537037034</v>
      </c>
      <c r="J2029" s="1">
        <v>39632.719849537039</v>
      </c>
      <c r="K2029" cm="1">
        <f t="array" ref="K2029" xml:space="preserve"> sentimentCalc(C2029)</f>
        <v>0</v>
      </c>
      <c r="L2029" t="str" cm="1">
        <f t="array" ref="L2029" xml:space="preserve"> sentimentCategory(K2029)</f>
        <v>Neutral</v>
      </c>
    </row>
    <row r="2030" spans="1:12">
      <c r="A2030" t="s">
        <v>824</v>
      </c>
      <c r="B2030" t="s">
        <v>2224</v>
      </c>
      <c r="C2030" t="str" cm="1">
        <f t="array" ref="C2030" xml:space="preserve"> CleanText(B2030)</f>
        <v>cant be worse than the last one</v>
      </c>
      <c r="D2030">
        <v>0</v>
      </c>
      <c r="E2030">
        <v>0</v>
      </c>
      <c r="F2030" t="s">
        <v>0</v>
      </c>
      <c r="G2030" t="str" cm="1">
        <f t="array" ref="G2030" xml:space="preserve"> FindCountryName(F2030)</f>
        <v>None</v>
      </c>
      <c r="H2030" s="1">
        <v>45280.332638888889</v>
      </c>
      <c r="I2030" s="1">
        <v>45280.332638888889</v>
      </c>
      <c r="J2030" s="1">
        <v>41319.221076388887</v>
      </c>
      <c r="K2030" cm="1">
        <f t="array" ref="K2030" xml:space="preserve"> sentimentCalc(C2030)</f>
        <v>-3</v>
      </c>
      <c r="L2030" t="str" cm="1">
        <f t="array" ref="L2030" xml:space="preserve"> sentimentCategory(K2030)</f>
        <v>Negative</v>
      </c>
    </row>
    <row r="2031" spans="1:12">
      <c r="A2031" t="s">
        <v>603</v>
      </c>
      <c r="B2031" t="s">
        <v>2223</v>
      </c>
      <c r="C2031" t="str" cm="1">
        <f t="array" ref="C2031" xml:space="preserve"> CleanText(B2031)</f>
        <v>guys theres uncle right there im happy</v>
      </c>
      <c r="D2031">
        <v>0</v>
      </c>
      <c r="E2031">
        <v>0</v>
      </c>
      <c r="F2031" t="s">
        <v>0</v>
      </c>
      <c r="G2031" t="str" cm="1">
        <f t="array" ref="G2031" xml:space="preserve"> FindCountryName(F2031)</f>
        <v>None</v>
      </c>
      <c r="H2031" s="1">
        <v>45280.311921296299</v>
      </c>
      <c r="I2031" s="1">
        <v>45280.311921296299</v>
      </c>
      <c r="J2031" s="1">
        <v>41185.806458333333</v>
      </c>
      <c r="K2031" cm="1">
        <f t="array" ref="K2031" xml:space="preserve"> sentimentCalc(C2031)</f>
        <v>3</v>
      </c>
      <c r="L2031" t="str" cm="1">
        <f t="array" ref="L2031" xml:space="preserve"> sentimentCategory(K2031)</f>
        <v>Positive</v>
      </c>
    </row>
    <row r="2032" spans="1:12">
      <c r="A2032" t="s">
        <v>483</v>
      </c>
      <c r="B2032" t="s">
        <v>2222</v>
      </c>
      <c r="C2032" t="str" cm="1">
        <f t="array" ref="C2032" xml:space="preserve"> CleanText(B2032)</f>
        <v>i wonder how it would look if sokka and katara actually would have blue eyes and aang grey like in the original series _xDD14_</v>
      </c>
      <c r="D2032">
        <v>0</v>
      </c>
      <c r="E2032">
        <v>0</v>
      </c>
      <c r="F2032" t="s">
        <v>39</v>
      </c>
      <c r="G2032" t="str" cm="1">
        <f t="array" ref="G2032" xml:space="preserve"> FindCountryName(F2032)</f>
        <v>United Kingdom of Great Britain and Northern Ireland (the)</v>
      </c>
      <c r="H2032" s="1">
        <v>45280.275393518517</v>
      </c>
      <c r="I2032" s="1">
        <v>45280.275393518517</v>
      </c>
      <c r="J2032" s="1">
        <v>42395.707465277781</v>
      </c>
      <c r="K2032" cm="1">
        <f t="array" ref="K2032" xml:space="preserve"> sentimentCalc(C2032)</f>
        <v>1</v>
      </c>
      <c r="L2032" t="str" cm="1">
        <f t="array" ref="L2032" xml:space="preserve"> sentimentCategory(K2032)</f>
        <v>Positive</v>
      </c>
    </row>
    <row r="2033" spans="1:12">
      <c r="A2033" t="s">
        <v>1596</v>
      </c>
      <c r="B2033" t="s">
        <v>2221</v>
      </c>
      <c r="C2033" t="str" cm="1">
        <f t="array" ref="C2033" xml:space="preserve"> CleanText(B2033)</f>
        <v>how avatar is not black as shit dont believe it</v>
      </c>
      <c r="D2033">
        <v>0</v>
      </c>
      <c r="E2033">
        <v>0</v>
      </c>
      <c r="F2033" t="s">
        <v>0</v>
      </c>
      <c r="G2033" t="str" cm="1">
        <f t="array" ref="G2033" xml:space="preserve"> FindCountryName(F2033)</f>
        <v>None</v>
      </c>
      <c r="H2033" s="1">
        <v>45280.157002314816</v>
      </c>
      <c r="I2033" s="1">
        <v>45280.157002314816</v>
      </c>
      <c r="J2033" s="1">
        <v>43184.584999999999</v>
      </c>
      <c r="K2033" cm="1">
        <f t="array" ref="K2033" xml:space="preserve"> sentimentCalc(C2033)</f>
        <v>0</v>
      </c>
      <c r="L2033" t="str" cm="1">
        <f t="array" ref="L2033" xml:space="preserve"> sentimentCategory(K2033)</f>
        <v>Neutral</v>
      </c>
    </row>
    <row r="2034" spans="1:12">
      <c r="A2034" t="s">
        <v>1000</v>
      </c>
      <c r="B2034" t="s">
        <v>2220</v>
      </c>
      <c r="C2034" t="str" cm="1">
        <f t="array" ref="C2034" xml:space="preserve"> CleanText(B2034)</f>
        <v>im ready to see azula  she was my favorite character</v>
      </c>
      <c r="D2034">
        <v>0</v>
      </c>
      <c r="E2034">
        <v>0</v>
      </c>
      <c r="F2034" t="s">
        <v>0</v>
      </c>
      <c r="G2034" t="str" cm="1">
        <f t="array" ref="G2034" xml:space="preserve"> FindCountryName(F2034)</f>
        <v>None</v>
      </c>
      <c r="H2034" s="1">
        <v>45280.102916666663</v>
      </c>
      <c r="I2034" s="1">
        <v>45280.102916666663</v>
      </c>
      <c r="J2034" s="1">
        <v>41823.728182870371</v>
      </c>
      <c r="K2034" cm="1">
        <f t="array" ref="K2034" xml:space="preserve"> sentimentCalc(C2034)</f>
        <v>2</v>
      </c>
      <c r="L2034" t="str" cm="1">
        <f t="array" ref="L2034" xml:space="preserve"> sentimentCategory(K2034)</f>
        <v>Positive</v>
      </c>
    </row>
    <row r="2035" spans="1:12">
      <c r="A2035" t="s">
        <v>622</v>
      </c>
      <c r="B2035" t="s">
        <v>2219</v>
      </c>
      <c r="C2035" t="str" cm="1">
        <f t="array" ref="C2035" xml:space="preserve"> CleanText(B2035)</f>
        <v>yaaaaayy they finally gave avatar some justice</v>
      </c>
      <c r="D2035">
        <v>0</v>
      </c>
      <c r="E2035">
        <v>0</v>
      </c>
      <c r="F2035" t="s">
        <v>0</v>
      </c>
      <c r="G2035" t="str" cm="1">
        <f t="array" ref="G2035" xml:space="preserve"> FindCountryName(F2035)</f>
        <v>None</v>
      </c>
      <c r="H2035" s="1">
        <v>45280.0781712963</v>
      </c>
      <c r="I2035" s="1">
        <v>45280.0781712963</v>
      </c>
      <c r="J2035" s="1">
        <v>41385.955416666664</v>
      </c>
      <c r="K2035" cm="1">
        <f t="array" ref="K2035" xml:space="preserve"> sentimentCalc(C2035)</f>
        <v>2</v>
      </c>
      <c r="L2035" t="str" cm="1">
        <f t="array" ref="L2035" xml:space="preserve"> sentimentCategory(K2035)</f>
        <v>Positive</v>
      </c>
    </row>
    <row r="2036" spans="1:12">
      <c r="A2036" t="s">
        <v>2218</v>
      </c>
      <c r="B2036" t="s">
        <v>2217</v>
      </c>
      <c r="C2036" t="str" cm="1">
        <f t="array" ref="C2036" xml:space="preserve"> CleanText(B2036)</f>
        <v>my initial reaction would be i dont need an avatar live action it will be terrible but one piece was pretty good maybe this one will be too ill give it a go it look nice</v>
      </c>
      <c r="D2036">
        <v>0</v>
      </c>
      <c r="E2036">
        <v>0</v>
      </c>
      <c r="F2036" t="s">
        <v>0</v>
      </c>
      <c r="G2036" t="str" cm="1">
        <f t="array" ref="G2036" xml:space="preserve"> FindCountryName(F2036)</f>
        <v>None</v>
      </c>
      <c r="H2036" s="1">
        <v>45280.069988425923</v>
      </c>
      <c r="I2036" s="1">
        <v>45280.069988425923</v>
      </c>
      <c r="J2036" s="1">
        <v>41359.439826388887</v>
      </c>
      <c r="K2036" cm="1">
        <f t="array" ref="K2036" xml:space="preserve"> sentimentCalc(C2036)</f>
        <v>2</v>
      </c>
      <c r="L2036" t="str" cm="1">
        <f t="array" ref="L2036" xml:space="preserve"> sentimentCategory(K2036)</f>
        <v>Positive</v>
      </c>
    </row>
    <row r="2037" spans="1:12">
      <c r="A2037" t="s">
        <v>710</v>
      </c>
      <c r="B2037" t="s">
        <v>2216</v>
      </c>
      <c r="C2037" t="str" cm="1">
        <f t="array" ref="C2037" xml:space="preserve"> CleanText(B2037)</f>
        <v>thats the way to go</v>
      </c>
      <c r="D2037">
        <v>0</v>
      </c>
      <c r="E2037">
        <v>0</v>
      </c>
      <c r="F2037" t="s">
        <v>0</v>
      </c>
      <c r="G2037" t="str" cm="1">
        <f t="array" ref="G2037" xml:space="preserve"> FindCountryName(F2037)</f>
        <v>None</v>
      </c>
      <c r="H2037" s="1">
        <v>45280.03025462963</v>
      </c>
      <c r="I2037" s="1">
        <v>45280.03025462963</v>
      </c>
      <c r="J2037" s="1">
        <v>42823.622372685182</v>
      </c>
      <c r="K2037" cm="1">
        <f t="array" ref="K2037" xml:space="preserve"> sentimentCalc(C2037)</f>
        <v>0</v>
      </c>
      <c r="L2037" t="str" cm="1">
        <f t="array" ref="L2037" xml:space="preserve"> sentimentCategory(K2037)</f>
        <v>Neutral</v>
      </c>
    </row>
    <row r="2038" spans="1:12">
      <c r="A2038" t="s">
        <v>2215</v>
      </c>
      <c r="B2038" t="s">
        <v>2214</v>
      </c>
      <c r="C2038" t="str" cm="1">
        <f t="array" ref="C2038" xml:space="preserve"> CleanText(B2038)</f>
        <v>am i the only one hoping that if they go this far for atla theyll do the same and expand on alok</v>
      </c>
      <c r="D2038">
        <v>0</v>
      </c>
      <c r="E2038">
        <v>0</v>
      </c>
      <c r="F2038" t="s">
        <v>0</v>
      </c>
      <c r="G2038" t="str" cm="1">
        <f t="array" ref="G2038" xml:space="preserve"> FindCountryName(F2038)</f>
        <v>None</v>
      </c>
      <c r="H2038" s="1">
        <v>45280.027881944443</v>
      </c>
      <c r="I2038" s="1">
        <v>45280.027881944443</v>
      </c>
      <c r="J2038" s="1">
        <v>41260.749722222223</v>
      </c>
      <c r="K2038" cm="1">
        <f t="array" ref="K2038" xml:space="preserve"> sentimentCalc(C2038)</f>
        <v>3</v>
      </c>
      <c r="L2038" t="str" cm="1">
        <f t="array" ref="L2038" xml:space="preserve"> sentimentCategory(K2038)</f>
        <v>Positive</v>
      </c>
    </row>
    <row r="2039" spans="1:12">
      <c r="A2039" t="s">
        <v>2213</v>
      </c>
      <c r="B2039" t="s">
        <v>2212</v>
      </c>
      <c r="C2039" t="str" cm="1">
        <f t="array" ref="C2039" xml:space="preserve"> CleanText(B2039)</f>
        <v>i cant wait for this</v>
      </c>
      <c r="D2039">
        <v>0</v>
      </c>
      <c r="E2039">
        <v>0</v>
      </c>
      <c r="F2039" t="s">
        <v>0</v>
      </c>
      <c r="G2039" t="str" cm="1">
        <f t="array" ref="G2039" xml:space="preserve"> FindCountryName(F2039)</f>
        <v>None</v>
      </c>
      <c r="H2039" s="1">
        <v>45280.025821759256</v>
      </c>
      <c r="I2039" s="1">
        <v>45280.025821759256</v>
      </c>
      <c r="J2039" s="1">
        <v>45011.76803240741</v>
      </c>
      <c r="K2039" cm="1">
        <f t="array" ref="K2039" xml:space="preserve"> sentimentCalc(C2039)</f>
        <v>0</v>
      </c>
      <c r="L2039" t="str" cm="1">
        <f t="array" ref="L2039" xml:space="preserve"> sentimentCategory(K2039)</f>
        <v>Neutral</v>
      </c>
    </row>
    <row r="2040" spans="1:12">
      <c r="A2040" t="s">
        <v>227</v>
      </c>
      <c r="B2040" t="s">
        <v>2211</v>
      </c>
      <c r="C2040" t="str" cm="1">
        <f t="array" ref="C2040" xml:space="preserve"> CleanText(B2040)</f>
        <v>no me hagas esto netflix no juegues con mis sentimientos por favor _xDE22_</v>
      </c>
      <c r="D2040">
        <v>0</v>
      </c>
      <c r="E2040">
        <v>0</v>
      </c>
      <c r="F2040" t="s">
        <v>0</v>
      </c>
      <c r="G2040" t="str" cm="1">
        <f t="array" ref="G2040" xml:space="preserve"> FindCountryName(F2040)</f>
        <v>None</v>
      </c>
      <c r="H2040" s="1">
        <v>45279.994537037041</v>
      </c>
      <c r="I2040" s="1">
        <v>45279.994537037041</v>
      </c>
      <c r="J2040" s="1">
        <v>41344.560694444444</v>
      </c>
      <c r="K2040" cm="1">
        <f t="array" ref="K2040" xml:space="preserve"> sentimentCalc(C2040)</f>
        <v>0</v>
      </c>
      <c r="L2040" t="str" cm="1">
        <f t="array" ref="L2040" xml:space="preserve"> sentimentCategory(K2040)</f>
        <v>Neutral</v>
      </c>
    </row>
    <row r="2041" spans="1:12">
      <c r="A2041" t="s">
        <v>2210</v>
      </c>
      <c r="B2041" t="s">
        <v>2209</v>
      </c>
      <c r="C2041" t="str" cm="1">
        <f t="array" ref="C2041" xml:space="preserve"> CleanText(B2041)</f>
        <v>this looks sick</v>
      </c>
      <c r="D2041">
        <v>0</v>
      </c>
      <c r="E2041">
        <v>0</v>
      </c>
      <c r="F2041" t="s">
        <v>0</v>
      </c>
      <c r="G2041" t="str" cm="1">
        <f t="array" ref="G2041" xml:space="preserve"> FindCountryName(F2041)</f>
        <v>None</v>
      </c>
      <c r="H2041" s="1">
        <v>45279.939675925925</v>
      </c>
      <c r="I2041" s="1">
        <v>45279.939675925925</v>
      </c>
      <c r="J2041" s="1">
        <v>44828.297766203701</v>
      </c>
      <c r="K2041" cm="1">
        <f t="array" ref="K2041" xml:space="preserve"> sentimentCalc(C2041)</f>
        <v>-2</v>
      </c>
      <c r="L2041" t="str" cm="1">
        <f t="array" ref="L2041" xml:space="preserve"> sentimentCategory(K2041)</f>
        <v>Negative</v>
      </c>
    </row>
    <row r="2042" spans="1:12">
      <c r="A2042" t="s">
        <v>43</v>
      </c>
      <c r="B2042" t="s">
        <v>2208</v>
      </c>
      <c r="C2042" t="str" cm="1">
        <f t="array" ref="C2042" xml:space="preserve"> CleanText(B2042)</f>
        <v>hope they dont screw the pooch on this one the last movie flopped after book</v>
      </c>
      <c r="D2042">
        <v>0</v>
      </c>
      <c r="E2042">
        <v>0</v>
      </c>
      <c r="F2042" t="s">
        <v>0</v>
      </c>
      <c r="G2042" t="str" cm="1">
        <f t="array" ref="G2042" xml:space="preserve"> FindCountryName(F2042)</f>
        <v>None</v>
      </c>
      <c r="H2042" s="1">
        <v>45279.930960648147</v>
      </c>
      <c r="I2042" s="1">
        <v>45279.930960648147</v>
      </c>
      <c r="J2042" s="1">
        <v>40819.364803240744</v>
      </c>
      <c r="K2042" cm="1">
        <f t="array" ref="K2042" xml:space="preserve"> sentimentCalc(C2042)</f>
        <v>2</v>
      </c>
      <c r="L2042" t="str" cm="1">
        <f t="array" ref="L2042" xml:space="preserve"> sentimentCategory(K2042)</f>
        <v>Positive</v>
      </c>
    </row>
    <row r="2043" spans="1:12">
      <c r="A2043" t="s">
        <v>1059</v>
      </c>
      <c r="B2043" t="s">
        <v>2207</v>
      </c>
      <c r="C2043" t="str" cm="1">
        <f t="array" ref="C2043" xml:space="preserve"> CleanText(B2043)</f>
        <v>i wanted season _xD83D_</v>
      </c>
      <c r="D2043">
        <v>0</v>
      </c>
      <c r="E2043">
        <v>0</v>
      </c>
      <c r="F2043" t="s">
        <v>0</v>
      </c>
      <c r="G2043" t="str" cm="1">
        <f t="array" ref="G2043" xml:space="preserve"> FindCountryName(F2043)</f>
        <v>None</v>
      </c>
      <c r="H2043" s="1">
        <v>45279.91946759259</v>
      </c>
      <c r="I2043" s="1">
        <v>45279.91946759259</v>
      </c>
      <c r="J2043" s="1">
        <v>41120.584583333337</v>
      </c>
      <c r="K2043" cm="1">
        <f t="array" ref="K2043" xml:space="preserve"> sentimentCalc(C2043)</f>
        <v>0</v>
      </c>
      <c r="L2043" t="str" cm="1">
        <f t="array" ref="L2043" xml:space="preserve"> sentimentCategory(K2043)</f>
        <v>Neutral</v>
      </c>
    </row>
    <row r="2044" spans="1:12">
      <c r="A2044" t="s">
        <v>487</v>
      </c>
      <c r="B2044" t="s">
        <v>2206</v>
      </c>
      <c r="C2044" t="str" cm="1">
        <f t="array" ref="C2044" xml:space="preserve"> CleanText(B2044)</f>
        <v>bland faces overuse of greenscreen and spottable vfx looks super cheap same cheap as in the 0s looked soviet tv adaptation of lord of the rings some peices of art should never be reimagined as you fail here second time same as avatar the movie adaptation</v>
      </c>
      <c r="D2044">
        <v>0</v>
      </c>
      <c r="E2044">
        <v>0</v>
      </c>
      <c r="F2044" t="s">
        <v>0</v>
      </c>
      <c r="G2044" t="str" cm="1">
        <f t="array" ref="G2044" xml:space="preserve"> FindCountryName(F2044)</f>
        <v>None</v>
      </c>
      <c r="H2044" s="1">
        <v>45279.813171296293</v>
      </c>
      <c r="I2044" s="1">
        <v>45279.813171296293</v>
      </c>
      <c r="J2044" s="1">
        <v>40847.434884259259</v>
      </c>
      <c r="K2044" cm="1">
        <f t="array" ref="K2044" xml:space="preserve"> sentimentCalc(C2044)</f>
        <v>1</v>
      </c>
      <c r="L2044" t="str" cm="1">
        <f t="array" ref="L2044" xml:space="preserve"> sentimentCategory(K2044)</f>
        <v>Positive</v>
      </c>
    </row>
    <row r="2045" spans="1:12">
      <c r="A2045" t="s">
        <v>872</v>
      </c>
      <c r="B2045" t="s">
        <v>2205</v>
      </c>
      <c r="C2045" t="str" cm="1">
        <f t="array" ref="C2045" xml:space="preserve"> CleanText(B2045)</f>
        <v>please break this up into three movies</v>
      </c>
      <c r="D2045">
        <v>1</v>
      </c>
      <c r="E2045">
        <v>1</v>
      </c>
      <c r="F2045" t="s">
        <v>19</v>
      </c>
      <c r="G2045" t="str" cm="1">
        <f t="array" ref="G2045" xml:space="preserve"> FindCountryName(F2045)</f>
        <v>United States of America (the)</v>
      </c>
      <c r="H2045" s="1">
        <v>45279.797650462962</v>
      </c>
      <c r="I2045" s="1">
        <v>45279.797650462962</v>
      </c>
      <c r="J2045" s="1">
        <v>41906.996793981481</v>
      </c>
      <c r="K2045" cm="1">
        <f t="array" ref="K2045" xml:space="preserve"> sentimentCalc(C2045)</f>
        <v>1</v>
      </c>
      <c r="L2045" t="str" cm="1">
        <f t="array" ref="L2045" xml:space="preserve"> sentimentCategory(K2045)</f>
        <v>Positive</v>
      </c>
    </row>
    <row r="2046" spans="1:12">
      <c r="A2046" t="s">
        <v>2204</v>
      </c>
      <c r="B2046" t="s">
        <v>2203</v>
      </c>
      <c r="C2046" t="str" cm="1">
        <f t="array" ref="C2046" xml:space="preserve"> CleanText(B2046)</f>
        <v>this is different to what actually on netflix with other actors id rather watch this one in the trailer</v>
      </c>
      <c r="D2046">
        <v>1</v>
      </c>
      <c r="E2046">
        <v>0</v>
      </c>
      <c r="F2046" t="s">
        <v>1961</v>
      </c>
      <c r="G2046" t="str" cm="1">
        <f t="array" ref="G2046" xml:space="preserve"> FindCountryName(F2046)</f>
        <v>Australia</v>
      </c>
      <c r="H2046" s="1">
        <v>45279.745219907411</v>
      </c>
      <c r="I2046" s="1">
        <v>45279.745219907411</v>
      </c>
      <c r="J2046" s="1">
        <v>40728.258680555555</v>
      </c>
      <c r="K2046" cm="1">
        <f t="array" ref="K2046" xml:space="preserve"> sentimentCalc(C2046)</f>
        <v>0</v>
      </c>
      <c r="L2046" t="str" cm="1">
        <f t="array" ref="L2046" xml:space="preserve"> sentimentCategory(K2046)</f>
        <v>Neutral</v>
      </c>
    </row>
    <row r="2047" spans="1:12">
      <c r="A2047" t="s">
        <v>2202</v>
      </c>
      <c r="B2047" t="s">
        <v>2201</v>
      </c>
      <c r="C2047" t="str" cm="1">
        <f t="array" ref="C2047" xml:space="preserve"> CleanText(B2047)</f>
        <v>looks so great</v>
      </c>
      <c r="D2047">
        <v>0</v>
      </c>
      <c r="E2047">
        <v>0</v>
      </c>
      <c r="F2047" t="s">
        <v>0</v>
      </c>
      <c r="G2047" t="str" cm="1">
        <f t="array" ref="G2047" xml:space="preserve"> FindCountryName(F2047)</f>
        <v>None</v>
      </c>
      <c r="H2047" s="1">
        <v>45279.725775462961</v>
      </c>
      <c r="I2047" s="1">
        <v>45279.725775462961</v>
      </c>
      <c r="J2047" s="1">
        <v>40773.668668981481</v>
      </c>
      <c r="K2047" cm="1">
        <f t="array" ref="K2047" xml:space="preserve"> sentimentCalc(C2047)</f>
        <v>3</v>
      </c>
      <c r="L2047" t="str" cm="1">
        <f t="array" ref="L2047" xml:space="preserve"> sentimentCategory(K2047)</f>
        <v>Positive</v>
      </c>
    </row>
    <row r="2048" spans="1:12">
      <c r="A2048" t="s">
        <v>1080</v>
      </c>
      <c r="B2048" t="s">
        <v>2200</v>
      </c>
      <c r="C2048" t="str" cm="1">
        <f t="array" ref="C2048" xml:space="preserve"> CleanText(B2048)</f>
        <v>hes making fire out of nothing  uvotar live action fire nation soldier</v>
      </c>
      <c r="D2048">
        <v>0</v>
      </c>
      <c r="E2048">
        <v>0</v>
      </c>
      <c r="F2048" t="s">
        <v>0</v>
      </c>
      <c r="G2048" t="str" cm="1">
        <f t="array" ref="G2048" xml:space="preserve"> FindCountryName(F2048)</f>
        <v>None</v>
      </c>
      <c r="H2048" s="1">
        <v>45279.697465277779</v>
      </c>
      <c r="I2048" s="1">
        <v>45279.697465277779</v>
      </c>
      <c r="J2048" s="1">
        <v>43981.564884259256</v>
      </c>
      <c r="K2048" cm="1">
        <f t="array" ref="K2048" xml:space="preserve"> sentimentCalc(C2048)</f>
        <v>-4</v>
      </c>
      <c r="L2048" t="str" cm="1">
        <f t="array" ref="L2048" xml:space="preserve"> sentimentCategory(K2048)</f>
        <v>Negative</v>
      </c>
    </row>
    <row r="2049" spans="1:12">
      <c r="A2049" t="s">
        <v>969</v>
      </c>
      <c r="B2049" t="s">
        <v>2199</v>
      </c>
      <c r="C2049" t="str" cm="1">
        <f t="array" ref="C2049" xml:space="preserve"> CleanText(B2049)</f>
        <v>i hope this one isnt as absolutely terrible like the last one was my kids got so mad at it and honestly so did i</v>
      </c>
      <c r="D2049">
        <v>0</v>
      </c>
      <c r="E2049">
        <v>0</v>
      </c>
      <c r="F2049" t="s">
        <v>0</v>
      </c>
      <c r="G2049" t="str" cm="1">
        <f t="array" ref="G2049" xml:space="preserve"> FindCountryName(F2049)</f>
        <v>None</v>
      </c>
      <c r="H2049" s="1">
        <v>45279.685046296298</v>
      </c>
      <c r="I2049" s="1">
        <v>45279.685046296298</v>
      </c>
      <c r="J2049" s="1">
        <v>40285.318194444444</v>
      </c>
      <c r="K2049" cm="1">
        <f t="array" ref="K2049" xml:space="preserve"> sentimentCalc(C2049)</f>
        <v>-2</v>
      </c>
      <c r="L2049" t="str" cm="1">
        <f t="array" ref="L2049" xml:space="preserve"> sentimentCategory(K2049)</f>
        <v>Negative</v>
      </c>
    </row>
    <row r="2050" spans="1:12">
      <c r="A2050" t="s">
        <v>415</v>
      </c>
      <c r="B2050" t="s">
        <v>2198</v>
      </c>
      <c r="C2050" t="str" cm="1">
        <f t="array" ref="C2050" xml:space="preserve"> CleanText(B2050)</f>
        <v>i wonder if netflix wil destroy this too</v>
      </c>
      <c r="D2050">
        <v>0</v>
      </c>
      <c r="E2050">
        <v>0</v>
      </c>
      <c r="F2050" t="s">
        <v>0</v>
      </c>
      <c r="G2050" t="str" cm="1">
        <f t="array" ref="G2050" xml:space="preserve"> FindCountryName(F2050)</f>
        <v>None</v>
      </c>
      <c r="H2050" s="1">
        <v>45279.661134259259</v>
      </c>
      <c r="I2050" s="1">
        <v>45279.661134259259</v>
      </c>
      <c r="J2050" s="1">
        <v>41748.309120370373</v>
      </c>
      <c r="K2050" cm="1">
        <f t="array" ref="K2050" xml:space="preserve"> sentimentCalc(C2050)</f>
        <v>-3</v>
      </c>
      <c r="L2050" t="str" cm="1">
        <f t="array" ref="L2050" xml:space="preserve"> sentimentCategory(K2050)</f>
        <v>Negative</v>
      </c>
    </row>
    <row r="2051" spans="1:12">
      <c r="A2051" t="s">
        <v>575</v>
      </c>
      <c r="B2051" t="s">
        <v>2197</v>
      </c>
      <c r="C2051" t="str" cm="1">
        <f t="array" ref="C2051" xml:space="preserve"> CleanText(B2051)</f>
        <v>they should make anng and sokka more goofy trying to mimic the animated version and putting it into reality is how you make a real movie great</v>
      </c>
      <c r="D2051">
        <v>0</v>
      </c>
      <c r="E2051">
        <v>0</v>
      </c>
      <c r="F2051" t="s">
        <v>112</v>
      </c>
      <c r="G2051" t="str" cm="1">
        <f t="array" ref="G2051" xml:space="preserve"> FindCountryName(F2051)</f>
        <v>Canada</v>
      </c>
      <c r="H2051" s="1">
        <v>45279.635428240741</v>
      </c>
      <c r="I2051" s="1">
        <v>45279.635428240741</v>
      </c>
      <c r="J2051" s="1">
        <v>43984.9</v>
      </c>
      <c r="K2051" cm="1">
        <f t="array" ref="K2051" xml:space="preserve"> sentimentCalc(C2051)</f>
        <v>3</v>
      </c>
      <c r="L2051" t="str" cm="1">
        <f t="array" ref="L2051" xml:space="preserve"> sentimentCategory(K2051)</f>
        <v>Positive</v>
      </c>
    </row>
    <row r="2052" spans="1:12">
      <c r="A2052" t="s">
        <v>291</v>
      </c>
      <c r="B2052" t="s">
        <v>2196</v>
      </c>
      <c r="C2052" t="str" cm="1">
        <f t="array" ref="C2052" xml:space="preserve"> CleanText(B2052)</f>
        <v>i wanna watch this _xDDE3_</v>
      </c>
      <c r="D2052">
        <v>0</v>
      </c>
      <c r="E2052">
        <v>0</v>
      </c>
      <c r="F2052" t="s">
        <v>0</v>
      </c>
      <c r="G2052" t="str" cm="1">
        <f t="array" ref="G2052" xml:space="preserve"> FindCountryName(F2052)</f>
        <v>None</v>
      </c>
      <c r="H2052" s="1">
        <v>45279.613912037035</v>
      </c>
      <c r="I2052" s="1">
        <v>45279.613912037035</v>
      </c>
      <c r="J2052" s="1">
        <v>44789.618194444447</v>
      </c>
      <c r="K2052" cm="1">
        <f t="array" ref="K2052" xml:space="preserve"> sentimentCalc(C2052)</f>
        <v>0</v>
      </c>
      <c r="L2052" t="str" cm="1">
        <f t="array" ref="L2052" xml:space="preserve"> sentimentCategory(K2052)</f>
        <v>Neutral</v>
      </c>
    </row>
    <row r="2053" spans="1:12">
      <c r="A2053" t="s">
        <v>816</v>
      </c>
      <c r="B2053" t="s">
        <v>2195</v>
      </c>
      <c r="C2053" t="str" cm="1">
        <f t="array" ref="C2053" xml:space="preserve"> CleanText(B2053)</f>
        <v>aang needs to be played by vin diesel</v>
      </c>
      <c r="D2053">
        <v>0</v>
      </c>
      <c r="E2053">
        <v>0</v>
      </c>
      <c r="F2053" t="s">
        <v>19</v>
      </c>
      <c r="G2053" t="str" cm="1">
        <f t="array" ref="G2053" xml:space="preserve"> FindCountryName(F2053)</f>
        <v>United States of America (the)</v>
      </c>
      <c r="H2053" s="1">
        <v>45279.597037037034</v>
      </c>
      <c r="I2053" s="1">
        <v>45279.597037037034</v>
      </c>
      <c r="J2053" s="1">
        <v>43015.375486111108</v>
      </c>
      <c r="K2053" cm="1">
        <f t="array" ref="K2053" xml:space="preserve"> sentimentCalc(C2053)</f>
        <v>0</v>
      </c>
      <c r="L2053" t="str" cm="1">
        <f t="array" ref="L2053" xml:space="preserve"> sentimentCategory(K2053)</f>
        <v>Neutral</v>
      </c>
    </row>
    <row r="2054" spans="1:12">
      <c r="A2054" t="s">
        <v>415</v>
      </c>
      <c r="B2054" t="s">
        <v>2194</v>
      </c>
      <c r="C2054" t="str" cm="1">
        <f t="array" ref="C2054" xml:space="preserve"> CleanText(B2054)</f>
        <v>not a big fan of avatar</v>
      </c>
      <c r="D2054">
        <v>0</v>
      </c>
      <c r="E2054">
        <v>1</v>
      </c>
      <c r="F2054" t="s">
        <v>0</v>
      </c>
      <c r="G2054" t="str" cm="1">
        <f t="array" ref="G2054" xml:space="preserve"> FindCountryName(F2054)</f>
        <v>None</v>
      </c>
      <c r="H2054" s="1">
        <v>45279.565740740742</v>
      </c>
      <c r="I2054" s="1">
        <v>45279.565740740742</v>
      </c>
      <c r="J2054" s="1">
        <v>44091.781168981484</v>
      </c>
      <c r="K2054" cm="1">
        <f t="array" ref="K2054" xml:space="preserve"> sentimentCalc(C2054)</f>
        <v>4</v>
      </c>
      <c r="L2054" t="str" cm="1">
        <f t="array" ref="L2054" xml:space="preserve"> sentimentCategory(K2054)</f>
        <v>Positive</v>
      </c>
    </row>
    <row r="2055" spans="1:12">
      <c r="A2055" t="s">
        <v>2193</v>
      </c>
      <c r="B2055" t="s">
        <v>2192</v>
      </c>
      <c r="C2055" t="str" cm="1">
        <f t="array" ref="C2055" xml:space="preserve"> CleanText(B2055)</f>
        <v>no claims to the people that created effete but to the actors a lot of claims well how can you pick up on so many not suitable actors and actors to them too how can you so talentless to play roles prescribed in the anime</v>
      </c>
      <c r="D2055">
        <v>0</v>
      </c>
      <c r="E2055">
        <v>0</v>
      </c>
      <c r="F2055" t="s">
        <v>944</v>
      </c>
      <c r="G2055" t="str" cm="1">
        <f t="array" ref="G2055" xml:space="preserve"> FindCountryName(F2055)</f>
        <v>Russian Federation (the)</v>
      </c>
      <c r="H2055" s="1">
        <v>45279.562835648147</v>
      </c>
      <c r="I2055" s="1">
        <v>45279.562835648147</v>
      </c>
      <c r="J2055" s="1">
        <v>42031.430231481485</v>
      </c>
      <c r="K2055" cm="1">
        <f t="array" ref="K2055" xml:space="preserve"> sentimentCalc(C2055)</f>
        <v>-1</v>
      </c>
      <c r="L2055" t="str" cm="1">
        <f t="array" ref="L2055" xml:space="preserve"> sentimentCategory(K2055)</f>
        <v>Negative</v>
      </c>
    </row>
    <row r="2056" spans="1:12">
      <c r="A2056" t="s">
        <v>697</v>
      </c>
      <c r="B2056" t="s">
        <v>2191</v>
      </c>
      <c r="C2056" t="str" cm="1">
        <f t="array" ref="C2056" xml:space="preserve"> CleanText(B2056)</f>
        <v>havent we done this before</v>
      </c>
      <c r="D2056">
        <v>0</v>
      </c>
      <c r="E2056">
        <v>0</v>
      </c>
      <c r="F2056" t="s">
        <v>0</v>
      </c>
      <c r="G2056" t="str" cm="1">
        <f t="array" ref="G2056" xml:space="preserve"> FindCountryName(F2056)</f>
        <v>None</v>
      </c>
      <c r="H2056" s="1">
        <v>45279.531030092592</v>
      </c>
      <c r="I2056" s="1">
        <v>45279.531030092592</v>
      </c>
      <c r="J2056" s="1">
        <v>44992.414814814816</v>
      </c>
      <c r="K2056" cm="1">
        <f t="array" ref="K2056" xml:space="preserve"> sentimentCalc(C2056)</f>
        <v>0</v>
      </c>
      <c r="L2056" t="str" cm="1">
        <f t="array" ref="L2056" xml:space="preserve"> sentimentCategory(K2056)</f>
        <v>Neutral</v>
      </c>
    </row>
    <row r="2057" spans="1:12">
      <c r="A2057" t="s">
        <v>26</v>
      </c>
      <c r="B2057" t="s">
        <v>2190</v>
      </c>
      <c r="C2057" t="str" cm="1">
        <f t="array" ref="C2057" xml:space="preserve"> CleanText(B2057)</f>
        <v>eu amo o filme doavatar</v>
      </c>
      <c r="D2057">
        <v>0</v>
      </c>
      <c r="E2057">
        <v>0</v>
      </c>
      <c r="F2057" t="s">
        <v>0</v>
      </c>
      <c r="G2057" t="str" cm="1">
        <f t="array" ref="G2057" xml:space="preserve"> FindCountryName(F2057)</f>
        <v>None</v>
      </c>
      <c r="H2057" s="1">
        <v>45279.486921296295</v>
      </c>
      <c r="I2057" s="1">
        <v>45279.486921296295</v>
      </c>
      <c r="J2057" s="1">
        <v>43161.453599537039</v>
      </c>
      <c r="K2057" cm="1">
        <f t="array" ref="K2057" xml:space="preserve"> sentimentCalc(C2057)</f>
        <v>0</v>
      </c>
      <c r="L2057" t="str" cm="1">
        <f t="array" ref="L2057" xml:space="preserve"> sentimentCategory(K2057)</f>
        <v>Neutral</v>
      </c>
    </row>
    <row r="2058" spans="1:12">
      <c r="A2058" t="s">
        <v>1648</v>
      </c>
      <c r="B2058" t="s">
        <v>2189</v>
      </c>
      <c r="C2058" t="str" cm="1">
        <f t="array" ref="C2058" xml:space="preserve"> CleanText(B2058)</f>
        <v>one of my favorites this gon be  not like the movie  hopefully they do legend of korra too _xDD1E__xDFFE_</v>
      </c>
      <c r="D2058">
        <v>0</v>
      </c>
      <c r="E2058">
        <v>0</v>
      </c>
      <c r="F2058" t="s">
        <v>0</v>
      </c>
      <c r="G2058" t="str" cm="1">
        <f t="array" ref="G2058" xml:space="preserve"> FindCountryName(F2058)</f>
        <v>None</v>
      </c>
      <c r="H2058" s="1">
        <v>45279.480393518519</v>
      </c>
      <c r="I2058" s="1">
        <v>45279.480393518519</v>
      </c>
      <c r="J2058" s="1">
        <v>42752.896203703705</v>
      </c>
      <c r="K2058" cm="1">
        <f t="array" ref="K2058" xml:space="preserve"> sentimentCalc(C2058)</f>
        <v>6</v>
      </c>
      <c r="L2058" t="str" cm="1">
        <f t="array" ref="L2058" xml:space="preserve"> sentimentCategory(K2058)</f>
        <v>Positive</v>
      </c>
    </row>
    <row r="2059" spans="1:12">
      <c r="A2059" t="s">
        <v>2015</v>
      </c>
      <c r="B2059" t="s">
        <v>2188</v>
      </c>
      <c r="C2059" t="str" cm="1">
        <f t="array" ref="C2059" xml:space="preserve"> CleanText(B2059)</f>
        <v>the songs sound epic</v>
      </c>
      <c r="D2059">
        <v>0</v>
      </c>
      <c r="E2059">
        <v>0</v>
      </c>
      <c r="F2059" t="s">
        <v>0</v>
      </c>
      <c r="G2059" t="str" cm="1">
        <f t="array" ref="G2059" xml:space="preserve"> FindCountryName(F2059)</f>
        <v>None</v>
      </c>
      <c r="H2059" s="1">
        <v>45279.480358796296</v>
      </c>
      <c r="I2059" s="1">
        <v>45279.480358796296</v>
      </c>
      <c r="J2059" s="1">
        <v>43689.223136574074</v>
      </c>
      <c r="K2059" cm="1">
        <f t="array" ref="K2059" xml:space="preserve"> sentimentCalc(C2059)</f>
        <v>0</v>
      </c>
      <c r="L2059" t="str" cm="1">
        <f t="array" ref="L2059" xml:space="preserve"> sentimentCategory(K2059)</f>
        <v>Neutral</v>
      </c>
    </row>
    <row r="2060" spans="1:12">
      <c r="A2060" t="s">
        <v>2187</v>
      </c>
      <c r="B2060" t="s">
        <v>2186</v>
      </c>
      <c r="C2060" t="str" cm="1">
        <f t="array" ref="C2060" xml:space="preserve"> CleanText(B2060)</f>
        <v>merakla bekliyoruz</v>
      </c>
      <c r="D2060">
        <v>0</v>
      </c>
      <c r="E2060">
        <v>0</v>
      </c>
      <c r="F2060" t="s">
        <v>0</v>
      </c>
      <c r="G2060" t="str" cm="1">
        <f t="array" ref="G2060" xml:space="preserve"> FindCountryName(F2060)</f>
        <v>None</v>
      </c>
      <c r="H2060" s="1">
        <v>45279.426388888889</v>
      </c>
      <c r="I2060" s="1">
        <v>45279.426388888889</v>
      </c>
      <c r="J2060" s="1">
        <v>44744.530358796299</v>
      </c>
      <c r="K2060" cm="1">
        <f t="array" ref="K2060" xml:space="preserve"> sentimentCalc(C2060)</f>
        <v>0</v>
      </c>
      <c r="L2060" t="str" cm="1">
        <f t="array" ref="L2060" xml:space="preserve"> sentimentCategory(K2060)</f>
        <v>Neutral</v>
      </c>
    </row>
    <row r="2061" spans="1:12">
      <c r="A2061" t="s">
        <v>730</v>
      </c>
      <c r="B2061" t="s">
        <v>2185</v>
      </c>
      <c r="C2061" t="str" cm="1">
        <f t="array" ref="C2061" xml:space="preserve"> CleanText(B2061)</f>
        <v>i didnt watch the original one so i kinda like the shamalans movie i saw hate around it but didnt understand why</v>
      </c>
      <c r="D2061">
        <v>0</v>
      </c>
      <c r="E2061">
        <v>0</v>
      </c>
      <c r="F2061" t="s">
        <v>0</v>
      </c>
      <c r="G2061" t="str" cm="1">
        <f t="array" ref="G2061" xml:space="preserve"> FindCountryName(F2061)</f>
        <v>None</v>
      </c>
      <c r="H2061" s="1">
        <v>45279.425300925926</v>
      </c>
      <c r="I2061" s="1">
        <v>45279.425300925926</v>
      </c>
      <c r="J2061" s="1">
        <v>44791.192303240743</v>
      </c>
      <c r="K2061" cm="1">
        <f t="array" ref="K2061" xml:space="preserve"> sentimentCalc(C2061)</f>
        <v>-1</v>
      </c>
      <c r="L2061" t="str" cm="1">
        <f t="array" ref="L2061" xml:space="preserve"> sentimentCategory(K2061)</f>
        <v>Negative</v>
      </c>
    </row>
    <row r="2062" spans="1:12">
      <c r="A2062" t="s">
        <v>2184</v>
      </c>
      <c r="B2062" t="s">
        <v>2183</v>
      </c>
      <c r="C2062" t="str" cm="1">
        <f t="array" ref="C2062" xml:space="preserve"> CleanText(B2062)</f>
        <v>this looks better then what i expected as long they follow the source closely this should be amazing</v>
      </c>
      <c r="D2062">
        <v>66</v>
      </c>
      <c r="E2062">
        <v>7</v>
      </c>
      <c r="F2062" t="s">
        <v>112</v>
      </c>
      <c r="G2062" t="str" cm="1">
        <f t="array" ref="G2062" xml:space="preserve"> FindCountryName(F2062)</f>
        <v>Canada</v>
      </c>
      <c r="H2062" s="1">
        <v>45279.41642361111</v>
      </c>
      <c r="I2062" s="1">
        <v>45279.41642361111</v>
      </c>
      <c r="J2062" s="1">
        <v>43324.798298611109</v>
      </c>
      <c r="K2062" cm="1">
        <f t="array" ref="K2062" xml:space="preserve"> sentimentCalc(C2062)</f>
        <v>6</v>
      </c>
      <c r="L2062" t="str" cm="1">
        <f t="array" ref="L2062" xml:space="preserve"> sentimentCategory(K2062)</f>
        <v>Positive</v>
      </c>
    </row>
    <row r="2063" spans="1:12">
      <c r="A2063" t="s">
        <v>1507</v>
      </c>
      <c r="B2063" t="s">
        <v>2182</v>
      </c>
      <c r="C2063" t="str" cm="1">
        <f t="array" ref="C2063" xml:space="preserve"> CleanText(B2063)</f>
        <v>wasnt the first part already made by m night shyamalan few years back</v>
      </c>
      <c r="D2063">
        <v>0</v>
      </c>
      <c r="E2063">
        <v>0</v>
      </c>
      <c r="F2063" t="s">
        <v>0</v>
      </c>
      <c r="G2063" t="str" cm="1">
        <f t="array" ref="G2063" xml:space="preserve"> FindCountryName(F2063)</f>
        <v>None</v>
      </c>
      <c r="H2063" s="1">
        <v>45279.411979166667</v>
      </c>
      <c r="I2063" s="1">
        <v>45279.411979166667</v>
      </c>
      <c r="J2063" s="1">
        <v>39574.249814814815</v>
      </c>
      <c r="K2063" cm="1">
        <f t="array" ref="K2063" xml:space="preserve"> sentimentCalc(C2063)</f>
        <v>0</v>
      </c>
      <c r="L2063" t="str" cm="1">
        <f t="array" ref="L2063" xml:space="preserve"> sentimentCategory(K2063)</f>
        <v>Neutral</v>
      </c>
    </row>
    <row r="2064" spans="1:12">
      <c r="A2064" t="s">
        <v>2181</v>
      </c>
      <c r="B2064" t="s">
        <v>2180</v>
      </c>
      <c r="C2064" t="str" cm="1">
        <f t="array" ref="C2064" xml:space="preserve"> CleanText(B2064)</f>
        <v>is this a show or a movie</v>
      </c>
      <c r="D2064">
        <v>0</v>
      </c>
      <c r="E2064">
        <v>1</v>
      </c>
      <c r="F2064" t="s">
        <v>19</v>
      </c>
      <c r="G2064" t="str" cm="1">
        <f t="array" ref="G2064" xml:space="preserve"> FindCountryName(F2064)</f>
        <v>United States of America (the)</v>
      </c>
      <c r="H2064" s="1">
        <v>45279.366851851853</v>
      </c>
      <c r="I2064" s="1">
        <v>45279.366851851853</v>
      </c>
      <c r="J2064" s="1">
        <v>42635.939837962964</v>
      </c>
      <c r="K2064" cm="1">
        <f t="array" ref="K2064" xml:space="preserve"> sentimentCalc(C2064)</f>
        <v>0</v>
      </c>
      <c r="L2064" t="str" cm="1">
        <f t="array" ref="L2064" xml:space="preserve"> sentimentCategory(K2064)</f>
        <v>Neutral</v>
      </c>
    </row>
    <row r="2065" spans="1:12">
      <c r="A2065" t="s">
        <v>1446</v>
      </c>
      <c r="B2065" t="s">
        <v>2179</v>
      </c>
      <c r="C2065" t="str" cm="1">
        <f t="array" ref="C2065" xml:space="preserve"> CleanText(B2065)</f>
        <v>it better be funny asf</v>
      </c>
      <c r="D2065">
        <v>1</v>
      </c>
      <c r="E2065">
        <v>0</v>
      </c>
      <c r="F2065" t="s">
        <v>0</v>
      </c>
      <c r="G2065" t="str" cm="1">
        <f t="array" ref="G2065" xml:space="preserve"> FindCountryName(F2065)</f>
        <v>None</v>
      </c>
      <c r="H2065" s="1">
        <v>45279.366678240738</v>
      </c>
      <c r="I2065" s="1">
        <v>45279.366678240738</v>
      </c>
      <c r="J2065" s="1">
        <v>44041.446030092593</v>
      </c>
      <c r="K2065" cm="1">
        <f t="array" ref="K2065" xml:space="preserve"> sentimentCalc(C2065)</f>
        <v>6</v>
      </c>
      <c r="L2065" t="str" cm="1">
        <f t="array" ref="L2065" xml:space="preserve"> sentimentCategory(K2065)</f>
        <v>Positive</v>
      </c>
    </row>
    <row r="2066" spans="1:12">
      <c r="A2066" t="s">
        <v>779</v>
      </c>
      <c r="B2066" t="s">
        <v>2178</v>
      </c>
      <c r="C2066" t="str" cm="1">
        <f t="array" ref="C2066" xml:space="preserve"> CleanText(B2066)</f>
        <v>they actually hired asians this time</v>
      </c>
      <c r="D2066">
        <v>1</v>
      </c>
      <c r="E2066">
        <v>0</v>
      </c>
      <c r="F2066" t="s">
        <v>0</v>
      </c>
      <c r="G2066" t="str" cm="1">
        <f t="array" ref="G2066" xml:space="preserve"> FindCountryName(F2066)</f>
        <v>None</v>
      </c>
      <c r="H2066" s="1">
        <v>45279.347442129627</v>
      </c>
      <c r="I2066" s="1">
        <v>45279.347442129627</v>
      </c>
      <c r="J2066" s="1">
        <v>40419.442997685182</v>
      </c>
      <c r="K2066" cm="1">
        <f t="array" ref="K2066" xml:space="preserve"> sentimentCalc(C2066)</f>
        <v>0</v>
      </c>
      <c r="L2066" t="str" cm="1">
        <f t="array" ref="L2066" xml:space="preserve"> sentimentCategory(K2066)</f>
        <v>Neutral</v>
      </c>
    </row>
    <row r="2067" spans="1:12">
      <c r="A2067" t="s">
        <v>2177</v>
      </c>
      <c r="B2067" t="s">
        <v>2176</v>
      </c>
      <c r="C2067" t="str" cm="1">
        <f t="array" ref="C2067" xml:space="preserve"> CleanText(B2067)</f>
        <v>i hope they say aangs name corrently this time</v>
      </c>
      <c r="D2067">
        <v>0</v>
      </c>
      <c r="E2067">
        <v>0</v>
      </c>
      <c r="F2067" t="s">
        <v>0</v>
      </c>
      <c r="G2067" t="str" cm="1">
        <f t="array" ref="G2067" xml:space="preserve"> FindCountryName(F2067)</f>
        <v>None</v>
      </c>
      <c r="H2067" s="1">
        <v>45279.336053240739</v>
      </c>
      <c r="I2067" s="1">
        <v>45279.336053240739</v>
      </c>
      <c r="J2067" s="1">
        <v>40573.229178240741</v>
      </c>
      <c r="K2067" cm="1">
        <f t="array" ref="K2067" xml:space="preserve"> sentimentCalc(C2067)</f>
        <v>2</v>
      </c>
      <c r="L2067" t="str" cm="1">
        <f t="array" ref="L2067" xml:space="preserve"> sentimentCategory(K2067)</f>
        <v>Positive</v>
      </c>
    </row>
    <row r="2068" spans="1:12">
      <c r="A2068" t="s">
        <v>450</v>
      </c>
      <c r="B2068" t="s">
        <v>2175</v>
      </c>
      <c r="C2068" t="str" cm="1">
        <f t="array" ref="C2068" xml:space="preserve"> CleanText(B2068)</f>
        <v>appa yip yip</v>
      </c>
      <c r="D2068">
        <v>0</v>
      </c>
      <c r="E2068">
        <v>0</v>
      </c>
      <c r="F2068" t="s">
        <v>0</v>
      </c>
      <c r="G2068" t="str" cm="1">
        <f t="array" ref="G2068" xml:space="preserve"> FindCountryName(F2068)</f>
        <v>None</v>
      </c>
      <c r="H2068" s="1">
        <v>45279.302118055559</v>
      </c>
      <c r="I2068" s="1">
        <v>45279.302118055559</v>
      </c>
      <c r="J2068" s="1">
        <v>44138.212361111109</v>
      </c>
      <c r="K2068" cm="1">
        <f t="array" ref="K2068" xml:space="preserve"> sentimentCalc(C2068)</f>
        <v>0</v>
      </c>
      <c r="L2068" t="str" cm="1">
        <f t="array" ref="L2068" xml:space="preserve"> sentimentCategory(K2068)</f>
        <v>Neutral</v>
      </c>
    </row>
    <row r="2069" spans="1:12">
      <c r="A2069" t="s">
        <v>247</v>
      </c>
      <c r="B2069" t="s">
        <v>2174</v>
      </c>
      <c r="C2069" t="str" cm="1">
        <f t="array" ref="C2069" xml:space="preserve"> CleanText(B2069)</f>
        <v>wow that looks reallly good</v>
      </c>
      <c r="D2069">
        <v>0</v>
      </c>
      <c r="E2069">
        <v>0</v>
      </c>
      <c r="F2069" t="s">
        <v>0</v>
      </c>
      <c r="G2069" t="str" cm="1">
        <f t="array" ref="G2069" xml:space="preserve"> FindCountryName(F2069)</f>
        <v>None</v>
      </c>
      <c r="H2069" s="1">
        <v>45279.27851851852</v>
      </c>
      <c r="I2069" s="1">
        <v>45279.27851851852</v>
      </c>
      <c r="J2069" s="1">
        <v>41883.579664351855</v>
      </c>
      <c r="K2069" cm="1">
        <f t="array" ref="K2069" xml:space="preserve"> sentimentCalc(C2069)</f>
        <v>7</v>
      </c>
      <c r="L2069" t="str" cm="1">
        <f t="array" ref="L2069" xml:space="preserve"> sentimentCategory(K2069)</f>
        <v>Positive</v>
      </c>
    </row>
    <row r="2070" spans="1:12">
      <c r="A2070" t="s">
        <v>430</v>
      </c>
      <c r="B2070" t="s">
        <v>2173</v>
      </c>
      <c r="C2070" t="str" cm="1">
        <f t="array" ref="C2070" xml:space="preserve"> CleanText(B2070)</f>
        <v>they forgot the six elements  sesto elemento brought to yew by diablo the satan himself</v>
      </c>
      <c r="D2070">
        <v>0</v>
      </c>
      <c r="E2070">
        <v>0</v>
      </c>
      <c r="F2070" t="s">
        <v>0</v>
      </c>
      <c r="G2070" t="str" cm="1">
        <f t="array" ref="G2070" xml:space="preserve"> FindCountryName(F2070)</f>
        <v>None</v>
      </c>
      <c r="H2070" s="1">
        <v>45279.25503472222</v>
      </c>
      <c r="I2070" s="1">
        <v>45279.25503472222</v>
      </c>
      <c r="J2070" s="1">
        <v>45207.070370370369</v>
      </c>
      <c r="K2070" cm="1">
        <f t="array" ref="K2070" xml:space="preserve"> sentimentCalc(C2070)</f>
        <v>0</v>
      </c>
      <c r="L2070" t="str" cm="1">
        <f t="array" ref="L2070" xml:space="preserve"> sentimentCategory(K2070)</f>
        <v>Neutral</v>
      </c>
    </row>
    <row r="2071" spans="1:12">
      <c r="A2071" t="s">
        <v>2172</v>
      </c>
      <c r="B2071" t="s">
        <v>2171</v>
      </c>
      <c r="C2071" t="str" cm="1">
        <f t="array" ref="C2071" xml:space="preserve"> CleanText(B2071)</f>
        <v>trailer wouldve been x times better if it ended with foaming mouth guy going nuts after seeing the release date</v>
      </c>
      <c r="D2071">
        <v>0</v>
      </c>
      <c r="E2071">
        <v>0</v>
      </c>
      <c r="F2071" t="s">
        <v>0</v>
      </c>
      <c r="G2071" t="str" cm="1">
        <f t="array" ref="G2071" xml:space="preserve"> FindCountryName(F2071)</f>
        <v>None</v>
      </c>
      <c r="H2071" s="1">
        <v>45279.171261574076</v>
      </c>
      <c r="I2071" s="1">
        <v>45279.171261574076</v>
      </c>
      <c r="J2071" s="1">
        <v>40164.692245370374</v>
      </c>
      <c r="K2071" cm="1">
        <f t="array" ref="K2071" xml:space="preserve"> sentimentCalc(C2071)</f>
        <v>-1</v>
      </c>
      <c r="L2071" t="str" cm="1">
        <f t="array" ref="L2071" xml:space="preserve"> sentimentCategory(K2071)</f>
        <v>Negative</v>
      </c>
    </row>
    <row r="2072" spans="1:12">
      <c r="A2072" t="s">
        <v>415</v>
      </c>
      <c r="B2072" t="s">
        <v>2170</v>
      </c>
      <c r="C2072" t="str" cm="1">
        <f t="array" ref="C2072" xml:space="preserve"> CleanText(B2072)</f>
        <v>is not avatar? _xDE02_</v>
      </c>
      <c r="D2072">
        <v>0</v>
      </c>
      <c r="E2072">
        <v>0</v>
      </c>
      <c r="F2072" t="s">
        <v>0</v>
      </c>
      <c r="G2072" t="str" cm="1">
        <f t="array" ref="G2072" xml:space="preserve"> FindCountryName(F2072)</f>
        <v>None</v>
      </c>
      <c r="H2072" s="1">
        <v>45279.141747685186</v>
      </c>
      <c r="I2072" s="1">
        <v>45279.141747685186</v>
      </c>
      <c r="J2072" s="1">
        <v>41464.372453703705</v>
      </c>
      <c r="K2072" cm="1">
        <f t="array" ref="K2072" xml:space="preserve"> sentimentCalc(C2072)</f>
        <v>0</v>
      </c>
      <c r="L2072" t="str" cm="1">
        <f t="array" ref="L2072" xml:space="preserve"> sentimentCategory(K2072)</f>
        <v>Neutral</v>
      </c>
    </row>
    <row r="2073" spans="1:12">
      <c r="A2073" t="s">
        <v>2169</v>
      </c>
      <c r="B2073" t="s">
        <v>2168</v>
      </c>
      <c r="C2073" t="str" cm="1">
        <f t="array" ref="C2073" xml:space="preserve"> CleanText(B2073)</f>
        <v>yes diversity sucks i thought suko will be black or top</v>
      </c>
      <c r="D2073">
        <v>0</v>
      </c>
      <c r="E2073">
        <v>0</v>
      </c>
      <c r="F2073" t="s">
        <v>0</v>
      </c>
      <c r="G2073" t="str" cm="1">
        <f t="array" ref="G2073" xml:space="preserve"> FindCountryName(F2073)</f>
        <v>None</v>
      </c>
      <c r="H2073" s="1">
        <v>45279.024016203701</v>
      </c>
      <c r="I2073" s="1">
        <v>45279.024016203701</v>
      </c>
      <c r="J2073" s="1">
        <v>40810.969363425924</v>
      </c>
      <c r="K2073" cm="1">
        <f t="array" ref="K2073" xml:space="preserve"> sentimentCalc(C2073)</f>
        <v>0</v>
      </c>
      <c r="L2073" t="str" cm="1">
        <f t="array" ref="L2073" xml:space="preserve"> sentimentCategory(K2073)</f>
        <v>Neutral</v>
      </c>
    </row>
    <row r="2074" spans="1:12">
      <c r="A2074" t="s">
        <v>730</v>
      </c>
      <c r="B2074" t="s">
        <v>2167</v>
      </c>
      <c r="C2074" t="str" cm="1">
        <f t="array" ref="C2074" xml:space="preserve"> CleanText(B2074)</f>
        <v>im not getting my hope up i no yall saw the movie avatar last airbender and it was horrible</v>
      </c>
      <c r="D2074">
        <v>0</v>
      </c>
      <c r="E2074">
        <v>0</v>
      </c>
      <c r="F2074" t="s">
        <v>0</v>
      </c>
      <c r="G2074" t="str" cm="1">
        <f t="array" ref="G2074" xml:space="preserve"> FindCountryName(F2074)</f>
        <v>None</v>
      </c>
      <c r="H2074" s="1">
        <v>45279.006192129629</v>
      </c>
      <c r="I2074" s="1">
        <v>45279.006192129629</v>
      </c>
      <c r="J2074" s="1">
        <v>41402.853032407409</v>
      </c>
      <c r="K2074" cm="1">
        <f t="array" ref="K2074" xml:space="preserve"> sentimentCalc(C2074)</f>
        <v>-2</v>
      </c>
      <c r="L2074" t="str" cm="1">
        <f t="array" ref="L2074" xml:space="preserve"> sentimentCategory(K2074)</f>
        <v>Negative</v>
      </c>
    </row>
    <row r="2075" spans="1:12">
      <c r="A2075" t="s">
        <v>887</v>
      </c>
      <c r="B2075" t="s">
        <v>2166</v>
      </c>
      <c r="C2075" t="str" cm="1">
        <f t="array" ref="C2075" xml:space="preserve"> CleanText(B2075)</f>
        <v>when the theme song drops</v>
      </c>
      <c r="D2075">
        <v>1</v>
      </c>
      <c r="E2075">
        <v>0</v>
      </c>
      <c r="F2075" t="s">
        <v>0</v>
      </c>
      <c r="G2075" t="str" cm="1">
        <f t="array" ref="G2075" xml:space="preserve"> FindCountryName(F2075)</f>
        <v>None</v>
      </c>
      <c r="H2075" s="1">
        <v>45278.947187500002</v>
      </c>
      <c r="I2075" s="1">
        <v>45278.947187500002</v>
      </c>
      <c r="J2075" s="1">
        <v>41051.849224537036</v>
      </c>
      <c r="K2075" cm="1">
        <f t="array" ref="K2075" xml:space="preserve"> sentimentCalc(C2075)</f>
        <v>0</v>
      </c>
      <c r="L2075" t="str" cm="1">
        <f t="array" ref="L2075" xml:space="preserve"> sentimentCategory(K2075)</f>
        <v>Neutral</v>
      </c>
    </row>
    <row r="2076" spans="1:12">
      <c r="A2076" t="s">
        <v>816</v>
      </c>
      <c r="B2076" t="s">
        <v>2165</v>
      </c>
      <c r="C2076" t="str" cm="1">
        <f t="array" ref="C2076" xml:space="preserve"> CleanText(B2076)</f>
        <v>please do it in  parts like the books dont try to cram it all in  movie</v>
      </c>
      <c r="D2076">
        <v>1</v>
      </c>
      <c r="E2076">
        <v>2</v>
      </c>
      <c r="F2076" t="s">
        <v>0</v>
      </c>
      <c r="G2076" t="str" cm="1">
        <f t="array" ref="G2076" xml:space="preserve"> FindCountryName(F2076)</f>
        <v>None</v>
      </c>
      <c r="H2076" s="1">
        <v>45278.946932870371</v>
      </c>
      <c r="I2076" s="1">
        <v>45278.946932870371</v>
      </c>
      <c r="J2076" s="1">
        <v>41130.045347222222</v>
      </c>
      <c r="K2076" cm="1">
        <f t="array" ref="K2076" xml:space="preserve"> sentimentCalc(C2076)</f>
        <v>3</v>
      </c>
      <c r="L2076" t="str" cm="1">
        <f t="array" ref="L2076" xml:space="preserve"> sentimentCategory(K2076)</f>
        <v>Positive</v>
      </c>
    </row>
    <row r="2077" spans="1:12">
      <c r="A2077" t="s">
        <v>745</v>
      </c>
      <c r="B2077" t="s">
        <v>2164</v>
      </c>
      <c r="C2077" t="str" cm="1">
        <f t="array" ref="C2077" xml:space="preserve"> CleanText(B2077)</f>
        <v>praise the lord for creating ice water</v>
      </c>
      <c r="D2077">
        <v>0</v>
      </c>
      <c r="E2077">
        <v>0</v>
      </c>
      <c r="F2077" t="s">
        <v>19</v>
      </c>
      <c r="G2077" t="str" cm="1">
        <f t="array" ref="G2077" xml:space="preserve"> FindCountryName(F2077)</f>
        <v>United States of America (the)</v>
      </c>
      <c r="H2077" s="1">
        <v>45278.932488425926</v>
      </c>
      <c r="I2077" s="1">
        <v>45278.932488425926</v>
      </c>
      <c r="J2077" s="1">
        <v>43819.947129629632</v>
      </c>
      <c r="K2077" cm="1">
        <f t="array" ref="K2077" xml:space="preserve"> sentimentCalc(C2077)</f>
        <v>3</v>
      </c>
      <c r="L2077" t="str" cm="1">
        <f t="array" ref="L2077" xml:space="preserve"> sentimentCategory(K2077)</f>
        <v>Positive</v>
      </c>
    </row>
    <row r="2078" spans="1:12">
      <c r="A2078" t="s">
        <v>826</v>
      </c>
      <c r="B2078" t="s">
        <v>2163</v>
      </c>
      <c r="C2078" t="str" cm="1">
        <f t="array" ref="C2078" xml:space="preserve"> CleanText(B2078)</f>
        <v>the live actions need to be stopped</v>
      </c>
      <c r="D2078">
        <v>0</v>
      </c>
      <c r="E2078">
        <v>0</v>
      </c>
      <c r="F2078" t="s">
        <v>0</v>
      </c>
      <c r="G2078" t="str" cm="1">
        <f t="array" ref="G2078" xml:space="preserve"> FindCountryName(F2078)</f>
        <v>None</v>
      </c>
      <c r="H2078" s="1">
        <v>45278.927893518521</v>
      </c>
      <c r="I2078" s="1">
        <v>45278.927893518521</v>
      </c>
      <c r="J2078" s="1">
        <v>42583.208657407406</v>
      </c>
      <c r="K2078" cm="1">
        <f t="array" ref="K2078" xml:space="preserve"> sentimentCalc(C2078)</f>
        <v>-1</v>
      </c>
      <c r="L2078" t="str" cm="1">
        <f t="array" ref="L2078" xml:space="preserve"> sentimentCategory(K2078)</f>
        <v>Negative</v>
      </c>
    </row>
    <row r="2079" spans="1:12">
      <c r="A2079" t="s">
        <v>1261</v>
      </c>
      <c r="B2079" t="s">
        <v>2162</v>
      </c>
      <c r="C2079" t="str" cm="1">
        <f t="array" ref="C2079" xml:space="preserve"> CleanText(B2079)</f>
        <v>this show has a special place in my heart ️_xDCAF_</v>
      </c>
      <c r="D2079">
        <v>21</v>
      </c>
      <c r="E2079">
        <v>0</v>
      </c>
      <c r="F2079" t="s">
        <v>0</v>
      </c>
      <c r="G2079" t="str" cm="1">
        <f t="array" ref="G2079" xml:space="preserve"> FindCountryName(F2079)</f>
        <v>None</v>
      </c>
      <c r="H2079" s="1">
        <v>45278.901331018518</v>
      </c>
      <c r="I2079" s="1">
        <v>45278.901331018518</v>
      </c>
      <c r="J2079" s="1">
        <v>40982.446851851855</v>
      </c>
      <c r="K2079" cm="1">
        <f t="array" ref="K2079" xml:space="preserve"> sentimentCalc(C2079)</f>
        <v>0</v>
      </c>
      <c r="L2079" t="str" cm="1">
        <f t="array" ref="L2079" xml:space="preserve"> sentimentCategory(K2079)</f>
        <v>Neutral</v>
      </c>
    </row>
    <row r="2080" spans="1:12">
      <c r="A2080" t="s">
        <v>86</v>
      </c>
      <c r="B2080" t="s">
        <v>2161</v>
      </c>
      <c r="C2080" t="str" cm="1">
        <f t="array" ref="C2080" xml:space="preserve"> CleanText(B2080)</f>
        <v>iroh and sokka look spot on</v>
      </c>
      <c r="D2080">
        <v>1</v>
      </c>
      <c r="E2080">
        <v>0</v>
      </c>
      <c r="F2080" t="s">
        <v>0</v>
      </c>
      <c r="G2080" t="str" cm="1">
        <f t="array" ref="G2080" xml:space="preserve"> FindCountryName(F2080)</f>
        <v>None</v>
      </c>
      <c r="H2080" s="1">
        <v>45278.900231481479</v>
      </c>
      <c r="I2080" s="1">
        <v>45278.900231481479</v>
      </c>
      <c r="J2080" s="1">
        <v>44575.846192129633</v>
      </c>
      <c r="K2080" cm="1">
        <f t="array" ref="K2080" xml:space="preserve"> sentimentCalc(C2080)</f>
        <v>0</v>
      </c>
      <c r="L2080" t="str" cm="1">
        <f t="array" ref="L2080" xml:space="preserve"> sentimentCategory(K2080)</f>
        <v>Neutral</v>
      </c>
    </row>
    <row r="2081" spans="1:12">
      <c r="A2081" t="s">
        <v>1847</v>
      </c>
      <c r="B2081" t="s">
        <v>2160</v>
      </c>
      <c r="C2081" t="str" cm="1">
        <f t="array" ref="C2081" xml:space="preserve"> CleanText(B2081)</f>
        <v>im hoping that the personalities of each character match that of the original show</v>
      </c>
      <c r="D2081">
        <v>1</v>
      </c>
      <c r="E2081">
        <v>0</v>
      </c>
      <c r="F2081" t="s">
        <v>19</v>
      </c>
      <c r="G2081" t="str" cm="1">
        <f t="array" ref="G2081" xml:space="preserve"> FindCountryName(F2081)</f>
        <v>United States of America (the)</v>
      </c>
      <c r="H2081" s="1">
        <v>45278.886666666665</v>
      </c>
      <c r="I2081" s="1">
        <v>45278.886666666665</v>
      </c>
      <c r="J2081" s="1">
        <v>43159.285219907404</v>
      </c>
      <c r="K2081" cm="1">
        <f t="array" ref="K2081" xml:space="preserve"> sentimentCalc(C2081)</f>
        <v>2</v>
      </c>
      <c r="L2081" t="str" cm="1">
        <f t="array" ref="L2081" xml:space="preserve"> sentimentCategory(K2081)</f>
        <v>Positive</v>
      </c>
    </row>
    <row r="2082" spans="1:12">
      <c r="A2082" t="s">
        <v>1154</v>
      </c>
      <c r="B2082" t="s">
        <v>2159</v>
      </c>
      <c r="C2082" t="str" cm="1">
        <f t="array" ref="C2082" xml:space="preserve"> CleanText(B2082)</f>
        <v>im 8 years old and im excited please redeem that one  disaster</v>
      </c>
      <c r="D2082">
        <v>1</v>
      </c>
      <c r="E2082">
        <v>0</v>
      </c>
      <c r="F2082" t="s">
        <v>0</v>
      </c>
      <c r="G2082" t="str" cm="1">
        <f t="array" ref="G2082" xml:space="preserve"> FindCountryName(F2082)</f>
        <v>None</v>
      </c>
      <c r="H2082" s="1">
        <v>45278.886597222219</v>
      </c>
      <c r="I2082" s="1">
        <v>45278.886597222219</v>
      </c>
      <c r="J2082" s="1">
        <v>41467.002812500003</v>
      </c>
      <c r="K2082" cm="1">
        <f t="array" ref="K2082" xml:space="preserve"> sentimentCalc(C2082)</f>
        <v>2</v>
      </c>
      <c r="L2082" t="str" cm="1">
        <f t="array" ref="L2082" xml:space="preserve"> sentimentCategory(K2082)</f>
        <v>Positive</v>
      </c>
    </row>
    <row r="2083" spans="1:12">
      <c r="A2083" t="s">
        <v>516</v>
      </c>
      <c r="B2083" t="s">
        <v>2158</v>
      </c>
      <c r="C2083" t="str" cm="1">
        <f t="array" ref="C2083" xml:space="preserve"> CleanText(B2083)</f>
        <v>yo it just hit me that music reminds me of the crysis  theme</v>
      </c>
      <c r="D2083">
        <v>0</v>
      </c>
      <c r="E2083">
        <v>0</v>
      </c>
      <c r="F2083" t="s">
        <v>0</v>
      </c>
      <c r="G2083" t="str" cm="1">
        <f t="array" ref="G2083" xml:space="preserve"> FindCountryName(F2083)</f>
        <v>None</v>
      </c>
      <c r="H2083" s="1">
        <v>45278.857858796298</v>
      </c>
      <c r="I2083" s="1">
        <v>45278.857858796298</v>
      </c>
      <c r="J2083" s="1">
        <v>42257.717037037037</v>
      </c>
      <c r="K2083" cm="1">
        <f t="array" ref="K2083" xml:space="preserve"> sentimentCalc(C2083)</f>
        <v>0</v>
      </c>
      <c r="L2083" t="str" cm="1">
        <f t="array" ref="L2083" xml:space="preserve"> sentimentCategory(K2083)</f>
        <v>Neutral</v>
      </c>
    </row>
    <row r="2084" spans="1:12">
      <c r="A2084" t="s">
        <v>521</v>
      </c>
      <c r="B2084" t="s">
        <v>2157</v>
      </c>
      <c r="C2084" t="str" cm="1">
        <f t="array" ref="C2084" xml:space="preserve"> CleanText(B2084)</f>
        <v>ok one can we talk about how ass the first movie was and how ass katara an sokka look_xD83C__xD83D_</v>
      </c>
      <c r="D2084">
        <v>0</v>
      </c>
      <c r="E2084">
        <v>0</v>
      </c>
      <c r="F2084" t="s">
        <v>0</v>
      </c>
      <c r="G2084" t="str" cm="1">
        <f t="array" ref="G2084" xml:space="preserve"> FindCountryName(F2084)</f>
        <v>None</v>
      </c>
      <c r="H2084" s="1">
        <v>45278.855682870373</v>
      </c>
      <c r="I2084" s="1">
        <v>45278.855682870373</v>
      </c>
      <c r="J2084" s="1">
        <v>45142.710358796299</v>
      </c>
      <c r="K2084" cm="1">
        <f t="array" ref="K2084" xml:space="preserve"> sentimentCalc(C2084)</f>
        <v>-8</v>
      </c>
      <c r="L2084" t="str" cm="1">
        <f t="array" ref="L2084" xml:space="preserve"> sentimentCategory(K2084)</f>
        <v>Negative</v>
      </c>
    </row>
    <row r="2085" spans="1:12">
      <c r="A2085" t="s">
        <v>2156</v>
      </c>
      <c r="B2085" t="s">
        <v>2155</v>
      </c>
      <c r="C2085" t="str" cm="1">
        <f t="array" ref="C2085" xml:space="preserve"> CleanText(B2085)</f>
        <v>actually looks very promising</v>
      </c>
      <c r="D2085">
        <v>0</v>
      </c>
      <c r="E2085">
        <v>0</v>
      </c>
      <c r="F2085" t="s">
        <v>0</v>
      </c>
      <c r="G2085" t="str" cm="1">
        <f t="array" ref="G2085" xml:space="preserve"> FindCountryName(F2085)</f>
        <v>None</v>
      </c>
      <c r="H2085" s="1">
        <v>45278.805138888885</v>
      </c>
      <c r="I2085" s="1">
        <v>45278.805138888885</v>
      </c>
      <c r="J2085" s="1">
        <v>40934.689097222225</v>
      </c>
      <c r="K2085" cm="1">
        <f t="array" ref="K2085" xml:space="preserve"> sentimentCalc(C2085)</f>
        <v>0</v>
      </c>
      <c r="L2085" t="str" cm="1">
        <f t="array" ref="L2085" xml:space="preserve"> sentimentCategory(K2085)</f>
        <v>Neutral</v>
      </c>
    </row>
    <row r="2086" spans="1:12">
      <c r="A2086" t="s">
        <v>2154</v>
      </c>
      <c r="B2086" t="s">
        <v>2153</v>
      </c>
      <c r="C2086" t="str" cm="1">
        <f t="array" ref="C2086" xml:space="preserve"> CleanText(B2086)</f>
        <v>how many timee must they remake this yuck</v>
      </c>
      <c r="D2086">
        <v>0</v>
      </c>
      <c r="E2086">
        <v>1</v>
      </c>
      <c r="F2086" t="s">
        <v>0</v>
      </c>
      <c r="G2086" t="str" cm="1">
        <f t="array" ref="G2086" xml:space="preserve"> FindCountryName(F2086)</f>
        <v>None</v>
      </c>
      <c r="H2086" s="1">
        <v>45278.758935185186</v>
      </c>
      <c r="I2086" s="1">
        <v>45278.758935185186</v>
      </c>
      <c r="J2086" s="1">
        <v>39986.810636574075</v>
      </c>
      <c r="K2086" cm="1">
        <f t="array" ref="K2086" xml:space="preserve"> sentimentCalc(C2086)</f>
        <v>0</v>
      </c>
      <c r="L2086" t="str" cm="1">
        <f t="array" ref="L2086" xml:space="preserve"> sentimentCategory(K2086)</f>
        <v>Neutral</v>
      </c>
    </row>
    <row r="2087" spans="1:12">
      <c r="A2087" t="s">
        <v>2152</v>
      </c>
      <c r="B2087" t="s">
        <v>2151</v>
      </c>
      <c r="C2087" t="str" cm="1">
        <f t="array" ref="C2087" xml:space="preserve"> CleanText(B2087)</f>
        <v>looks kinda good i hope they nail it</v>
      </c>
      <c r="D2087">
        <v>0</v>
      </c>
      <c r="E2087">
        <v>0</v>
      </c>
      <c r="F2087" t="s">
        <v>0</v>
      </c>
      <c r="G2087" t="str" cm="1">
        <f t="array" ref="G2087" xml:space="preserve"> FindCountryName(F2087)</f>
        <v>None</v>
      </c>
      <c r="H2087" s="1">
        <v>45278.733634259261</v>
      </c>
      <c r="I2087" s="1">
        <v>45278.733634259261</v>
      </c>
      <c r="J2087" s="1">
        <v>42604.559745370374</v>
      </c>
      <c r="K2087" cm="1">
        <f t="array" ref="K2087" xml:space="preserve"> sentimentCalc(C2087)</f>
        <v>5</v>
      </c>
      <c r="L2087" t="str" cm="1">
        <f t="array" ref="L2087" xml:space="preserve"> sentimentCategory(K2087)</f>
        <v>Positive</v>
      </c>
    </row>
    <row r="2088" spans="1:12">
      <c r="A2088" t="s">
        <v>2150</v>
      </c>
      <c r="B2088" t="s">
        <v>2149</v>
      </c>
      <c r="C2088" t="str" cm="1">
        <f t="array" ref="C2088" xml:space="preserve"> CleanText(B2088)</f>
        <v>wow he white</v>
      </c>
      <c r="D2088">
        <v>0</v>
      </c>
      <c r="E2088">
        <v>1</v>
      </c>
      <c r="F2088" t="s">
        <v>0</v>
      </c>
      <c r="G2088" t="str" cm="1">
        <f t="array" ref="G2088" xml:space="preserve"> FindCountryName(F2088)</f>
        <v>None</v>
      </c>
      <c r="H2088" s="1">
        <v>45278.711956018517</v>
      </c>
      <c r="I2088" s="1">
        <v>45278.711956018517</v>
      </c>
      <c r="J2088" s="1">
        <v>41769.540856481479</v>
      </c>
      <c r="K2088" cm="1">
        <f t="array" ref="K2088" xml:space="preserve"> sentimentCalc(C2088)</f>
        <v>4</v>
      </c>
      <c r="L2088" t="str" cm="1">
        <f t="array" ref="L2088" xml:space="preserve"> sentimentCategory(K2088)</f>
        <v>Positive</v>
      </c>
    </row>
    <row r="2089" spans="1:12">
      <c r="A2089" t="s">
        <v>763</v>
      </c>
      <c r="B2089" t="s">
        <v>2148</v>
      </c>
      <c r="C2089" t="str" cm="1">
        <f t="array" ref="C2089" xml:space="preserve"> CleanText(B2089)</f>
        <v>this actually looks divine</v>
      </c>
      <c r="D2089">
        <v>1</v>
      </c>
      <c r="E2089">
        <v>0</v>
      </c>
      <c r="F2089" t="s">
        <v>0</v>
      </c>
      <c r="G2089" t="str" cm="1">
        <f t="array" ref="G2089" xml:space="preserve"> FindCountryName(F2089)</f>
        <v>None</v>
      </c>
      <c r="H2089" s="1">
        <v>45278.707650462966</v>
      </c>
      <c r="I2089" s="1">
        <v>45278.707650462966</v>
      </c>
      <c r="J2089" s="1">
        <v>41449.755173611113</v>
      </c>
      <c r="K2089" cm="1">
        <f t="array" ref="K2089" xml:space="preserve"> sentimentCalc(C2089)</f>
        <v>0</v>
      </c>
      <c r="L2089" t="str" cm="1">
        <f t="array" ref="L2089" xml:space="preserve"> sentimentCategory(K2089)</f>
        <v>Neutral</v>
      </c>
    </row>
    <row r="2090" spans="1:12">
      <c r="A2090" t="s">
        <v>2147</v>
      </c>
      <c r="B2090" t="s">
        <v>2146</v>
      </c>
      <c r="C2090" t="str" cm="1">
        <f t="array" ref="C2090" xml:space="preserve"> CleanText(B2090)</f>
        <v>still white katarasokka but at least they got the rest kinda right netflix mogli was already far superior to uhm junglebookyet i still got one quesiton whythere is nothing a remake can improve upon here</v>
      </c>
      <c r="D2090">
        <v>0</v>
      </c>
      <c r="E2090">
        <v>1</v>
      </c>
      <c r="F2090" t="s">
        <v>0</v>
      </c>
      <c r="G2090" t="str" cm="1">
        <f t="array" ref="G2090" xml:space="preserve"> FindCountryName(F2090)</f>
        <v>None</v>
      </c>
      <c r="H2090" s="1">
        <v>45278.673460648148</v>
      </c>
      <c r="I2090" s="1">
        <v>45278.673460648148</v>
      </c>
      <c r="J2090" s="1">
        <v>38996.592604166668</v>
      </c>
      <c r="K2090" cm="1">
        <f t="array" ref="K2090" xml:space="preserve"> sentimentCalc(C2090)</f>
        <v>4</v>
      </c>
      <c r="L2090" t="str" cm="1">
        <f t="array" ref="L2090" xml:space="preserve"> sentimentCategory(K2090)</f>
        <v>Positive</v>
      </c>
    </row>
    <row r="2091" spans="1:12">
      <c r="A2091" t="s">
        <v>2145</v>
      </c>
      <c r="B2091" t="s">
        <v>2144</v>
      </c>
      <c r="C2091" t="str" cm="1">
        <f t="array" ref="C2091" xml:space="preserve"> CleanText(B2091)</f>
        <v>avatar the last chance</v>
      </c>
      <c r="D2091">
        <v>1</v>
      </c>
      <c r="E2091">
        <v>0</v>
      </c>
      <c r="F2091" t="s">
        <v>0</v>
      </c>
      <c r="G2091" t="str" cm="1">
        <f t="array" ref="G2091" xml:space="preserve"> FindCountryName(F2091)</f>
        <v>None</v>
      </c>
      <c r="H2091" s="1">
        <v>45278.662731481483</v>
      </c>
      <c r="I2091" s="1">
        <v>45278.662731481483</v>
      </c>
      <c r="J2091" s="1">
        <v>42840.068888888891</v>
      </c>
      <c r="K2091" cm="1">
        <f t="array" ref="K2091" xml:space="preserve"> sentimentCalc(C2091)</f>
        <v>2</v>
      </c>
      <c r="L2091" t="str" cm="1">
        <f t="array" ref="L2091" xml:space="preserve"> sentimentCategory(K2091)</f>
        <v>Positive</v>
      </c>
    </row>
    <row r="2092" spans="1:12">
      <c r="A2092" t="s">
        <v>1634</v>
      </c>
      <c r="B2092" t="s">
        <v>2143</v>
      </c>
      <c r="C2092" t="str" cm="1">
        <f t="array" ref="C2092" xml:space="preserve"> CleanText(B2092)</f>
        <v>why do they need to make every great cartoon into a live action this looks horrid lmao</v>
      </c>
      <c r="D2092">
        <v>1</v>
      </c>
      <c r="E2092">
        <v>0</v>
      </c>
      <c r="F2092" t="s">
        <v>0</v>
      </c>
      <c r="G2092" t="str" cm="1">
        <f t="array" ref="G2092" xml:space="preserve"> FindCountryName(F2092)</f>
        <v>None</v>
      </c>
      <c r="H2092" s="1">
        <v>45278.656597222223</v>
      </c>
      <c r="I2092" s="1">
        <v>45278.656597222223</v>
      </c>
      <c r="J2092" s="1">
        <v>41129.631203703706</v>
      </c>
      <c r="K2092" cm="1">
        <f t="array" ref="K2092" xml:space="preserve"> sentimentCalc(C2092)</f>
        <v>3</v>
      </c>
      <c r="L2092" t="str" cm="1">
        <f t="array" ref="L2092" xml:space="preserve"> sentimentCategory(K2092)</f>
        <v>Positive</v>
      </c>
    </row>
    <row r="2093" spans="1:12">
      <c r="A2093" t="s">
        <v>2142</v>
      </c>
      <c r="B2093" t="s">
        <v>2141</v>
      </c>
      <c r="C2093" t="str" cm="1">
        <f t="array" ref="C2093" xml:space="preserve"> CleanText(B2093)</f>
        <v>nah what theyre making a life movie of avatar the last airbender interesting</v>
      </c>
      <c r="D2093">
        <v>0</v>
      </c>
      <c r="E2093">
        <v>0</v>
      </c>
      <c r="F2093" t="s">
        <v>0</v>
      </c>
      <c r="G2093" t="str" cm="1">
        <f t="array" ref="G2093" xml:space="preserve"> FindCountryName(F2093)</f>
        <v>None</v>
      </c>
      <c r="H2093" s="1">
        <v>45278.654282407406</v>
      </c>
      <c r="I2093" s="1">
        <v>45278.654282407406</v>
      </c>
      <c r="J2093" s="1">
        <v>44959.656192129631</v>
      </c>
      <c r="K2093" cm="1">
        <f t="array" ref="K2093" xml:space="preserve"> sentimentCalc(C2093)</f>
        <v>2</v>
      </c>
      <c r="L2093" t="str" cm="1">
        <f t="array" ref="L2093" xml:space="preserve"> sentimentCategory(K2093)</f>
        <v>Positive</v>
      </c>
    </row>
    <row r="2094" spans="1:12">
      <c r="A2094" t="s">
        <v>156</v>
      </c>
      <c r="B2094" t="s">
        <v>2140</v>
      </c>
      <c r="C2094" t="str" cm="1">
        <f t="array" ref="C2094" xml:space="preserve"> CleanText(B2094)</f>
        <v>kid infront of a genuis</v>
      </c>
      <c r="D2094">
        <v>0</v>
      </c>
      <c r="E2094">
        <v>0</v>
      </c>
      <c r="F2094" t="s">
        <v>0</v>
      </c>
      <c r="G2094" t="str" cm="1">
        <f t="array" ref="G2094" xml:space="preserve"> FindCountryName(F2094)</f>
        <v>None</v>
      </c>
      <c r="H2094" s="1">
        <v>45278.632939814815</v>
      </c>
      <c r="I2094" s="1">
        <v>45278.632939814815</v>
      </c>
      <c r="J2094" s="1">
        <v>44638.656967592593</v>
      </c>
      <c r="K2094" cm="1">
        <f t="array" ref="K2094" xml:space="preserve"> sentimentCalc(C2094)</f>
        <v>0</v>
      </c>
      <c r="L2094" t="str" cm="1">
        <f t="array" ref="L2094" xml:space="preserve"> sentimentCategory(K2094)</f>
        <v>Neutral</v>
      </c>
    </row>
    <row r="2095" spans="1:12">
      <c r="A2095" t="s">
        <v>282</v>
      </c>
      <c r="B2095" t="s">
        <v>2139</v>
      </c>
      <c r="C2095" t="str" cm="1">
        <f t="array" ref="C2095" xml:space="preserve"> CleanText(B2095)</f>
        <v>i want this to be goodbuti dont think so</v>
      </c>
      <c r="D2095">
        <v>0</v>
      </c>
      <c r="E2095">
        <v>0</v>
      </c>
      <c r="F2095" t="s">
        <v>0</v>
      </c>
      <c r="G2095" t="str" cm="1">
        <f t="array" ref="G2095" xml:space="preserve"> FindCountryName(F2095)</f>
        <v>None</v>
      </c>
      <c r="H2095" s="1">
        <v>45278.599583333336</v>
      </c>
      <c r="I2095" s="1">
        <v>45278.599583333336</v>
      </c>
      <c r="J2095" s="1">
        <v>40838.11341435185</v>
      </c>
      <c r="K2095" cm="1">
        <f t="array" ref="K2095" xml:space="preserve"> sentimentCalc(C2095)</f>
        <v>1</v>
      </c>
      <c r="L2095" t="str" cm="1">
        <f t="array" ref="L2095" xml:space="preserve"> sentimentCategory(K2095)</f>
        <v>Positive</v>
      </c>
    </row>
    <row r="2096" spans="1:12">
      <c r="A2096" t="s">
        <v>1121</v>
      </c>
      <c r="B2096" t="s">
        <v>2138</v>
      </c>
      <c r="C2096" t="str" cm="1">
        <f t="array" ref="C2096" xml:space="preserve"> CleanText(B2096)</f>
        <v>they actually made fire benders asian instead of customer support like in the other movie</v>
      </c>
      <c r="D2096">
        <v>0</v>
      </c>
      <c r="E2096">
        <v>0</v>
      </c>
      <c r="F2096" t="s">
        <v>0</v>
      </c>
      <c r="G2096" t="str" cm="1">
        <f t="array" ref="G2096" xml:space="preserve"> FindCountryName(F2096)</f>
        <v>None</v>
      </c>
      <c r="H2096" s="1">
        <v>45278.55332175926</v>
      </c>
      <c r="I2096" s="1">
        <v>45278.55332175926</v>
      </c>
      <c r="J2096" s="1">
        <v>45212.652499999997</v>
      </c>
      <c r="K2096" cm="1">
        <f t="array" ref="K2096" xml:space="preserve"> sentimentCalc(C2096)</f>
        <v>2</v>
      </c>
      <c r="L2096" t="str" cm="1">
        <f t="array" ref="L2096" xml:space="preserve"> sentimentCategory(K2096)</f>
        <v>Positive</v>
      </c>
    </row>
    <row r="2097" spans="1:12">
      <c r="A2097" t="s">
        <v>514</v>
      </c>
      <c r="B2097" t="s">
        <v>2137</v>
      </c>
      <c r="C2097" t="str" cm="1">
        <f t="array" ref="C2097" xml:space="preserve"> CleanText(B2097)</f>
        <v>no not again</v>
      </c>
      <c r="D2097">
        <v>0</v>
      </c>
      <c r="E2097">
        <v>0</v>
      </c>
      <c r="F2097" t="s">
        <v>0</v>
      </c>
      <c r="G2097" t="str" cm="1">
        <f t="array" ref="G2097" xml:space="preserve"> FindCountryName(F2097)</f>
        <v>None</v>
      </c>
      <c r="H2097" s="1">
        <v>45278.529386574075</v>
      </c>
      <c r="I2097" s="1">
        <v>45278.529386574075</v>
      </c>
      <c r="J2097" s="1">
        <v>42895.140162037038</v>
      </c>
      <c r="K2097" cm="1">
        <f t="array" ref="K2097" xml:space="preserve"> sentimentCalc(C2097)</f>
        <v>-1</v>
      </c>
      <c r="L2097" t="str" cm="1">
        <f t="array" ref="L2097" xml:space="preserve"> sentimentCategory(K2097)</f>
        <v>Negative</v>
      </c>
    </row>
    <row r="2098" spans="1:12">
      <c r="A2098" t="s">
        <v>1829</v>
      </c>
      <c r="B2098" t="s">
        <v>2136</v>
      </c>
      <c r="C2098" t="str" cm="1">
        <f t="array" ref="C2098" xml:space="preserve"> CleanText(B2098)</f>
        <v>congratulations</v>
      </c>
      <c r="D2098">
        <v>2</v>
      </c>
      <c r="E2098">
        <v>0</v>
      </c>
      <c r="F2098" t="s">
        <v>0</v>
      </c>
      <c r="G2098" t="str" cm="1">
        <f t="array" ref="G2098" xml:space="preserve"> FindCountryName(F2098)</f>
        <v>None</v>
      </c>
      <c r="H2098" s="1">
        <v>45278.507118055553</v>
      </c>
      <c r="I2098" s="1">
        <v>45278.507118055553</v>
      </c>
      <c r="J2098" s="1">
        <v>44573.812731481485</v>
      </c>
      <c r="K2098" cm="1">
        <f t="array" ref="K2098" xml:space="preserve"> sentimentCalc(C2098)</f>
        <v>2</v>
      </c>
      <c r="L2098" t="str" cm="1">
        <f t="array" ref="L2098" xml:space="preserve"> sentimentCategory(K2098)</f>
        <v>Positive</v>
      </c>
    </row>
    <row r="2099" spans="1:12">
      <c r="A2099" t="s">
        <v>2135</v>
      </c>
      <c r="B2099" t="s">
        <v>2134</v>
      </c>
      <c r="C2099" t="str" cm="1">
        <f t="array" ref="C2099" xml:space="preserve"> CleanText(B2099)</f>
        <v>just found out this is happening day  of redeemable live action prayer has commenced</v>
      </c>
      <c r="D2099">
        <v>0</v>
      </c>
      <c r="E2099">
        <v>0</v>
      </c>
      <c r="F2099" t="s">
        <v>0</v>
      </c>
      <c r="G2099" t="str" cm="1">
        <f t="array" ref="G2099" xml:space="preserve"> FindCountryName(F2099)</f>
        <v>None</v>
      </c>
      <c r="H2099" s="1">
        <v>45278.501597222225</v>
      </c>
      <c r="I2099" s="1">
        <v>45278.501597222225</v>
      </c>
      <c r="J2099" s="1">
        <v>45195.567650462966</v>
      </c>
      <c r="K2099" cm="1">
        <f t="array" ref="K2099" xml:space="preserve"> sentimentCalc(C2099)</f>
        <v>0</v>
      </c>
      <c r="L2099" t="str" cm="1">
        <f t="array" ref="L2099" xml:space="preserve"> sentimentCategory(K2099)</f>
        <v>Neutral</v>
      </c>
    </row>
    <row r="2100" spans="1:12">
      <c r="A2100" t="s">
        <v>1096</v>
      </c>
      <c r="B2100" t="s">
        <v>2133</v>
      </c>
      <c r="C2100" t="str" cm="1">
        <f t="array" ref="C2100" xml:space="preserve"> CleanText(B2100)</f>
        <v>pretty accurate with casting it seems good so lets hope it is good</v>
      </c>
      <c r="D2100">
        <v>0</v>
      </c>
      <c r="E2100">
        <v>0</v>
      </c>
      <c r="F2100" t="s">
        <v>0</v>
      </c>
      <c r="G2100" t="str" cm="1">
        <f t="array" ref="G2100" xml:space="preserve"> FindCountryName(F2100)</f>
        <v>None</v>
      </c>
      <c r="H2100" s="1">
        <v>45278.459837962961</v>
      </c>
      <c r="I2100" s="1">
        <v>45278.459837962961</v>
      </c>
      <c r="J2100" s="1">
        <v>43793.709988425922</v>
      </c>
      <c r="K2100" cm="1">
        <f t="array" ref="K2100" xml:space="preserve"> sentimentCalc(C2100)</f>
        <v>9</v>
      </c>
      <c r="L2100" t="str" cm="1">
        <f t="array" ref="L2100" xml:space="preserve"> sentimentCategory(K2100)</f>
        <v>Positive</v>
      </c>
    </row>
    <row r="2101" spans="1:12">
      <c r="A2101" t="s">
        <v>1522</v>
      </c>
      <c r="B2101" t="s">
        <v>2132</v>
      </c>
      <c r="C2101" t="str" cm="1">
        <f t="array" ref="C2101" xml:space="preserve"> CleanText(B2101)</f>
        <v>so    basically the same thing only different    been there done that</v>
      </c>
      <c r="D2101">
        <v>0</v>
      </c>
      <c r="E2101">
        <v>0</v>
      </c>
      <c r="F2101" t="s">
        <v>0</v>
      </c>
      <c r="G2101" t="str" cm="1">
        <f t="array" ref="G2101" xml:space="preserve"> FindCountryName(F2101)</f>
        <v>None</v>
      </c>
      <c r="H2101" s="1">
        <v>45278.458796296298</v>
      </c>
      <c r="I2101" s="1">
        <v>45278.458796296298</v>
      </c>
      <c r="J2101" s="1">
        <v>43862.499675925923</v>
      </c>
      <c r="K2101" cm="1">
        <f t="array" ref="K2101" xml:space="preserve"> sentimentCalc(C2101)</f>
        <v>0</v>
      </c>
      <c r="L2101" t="str" cm="1">
        <f t="array" ref="L2101" xml:space="preserve"> sentimentCategory(K2101)</f>
        <v>Neutral</v>
      </c>
    </row>
    <row r="2102" spans="1:12">
      <c r="A2102" t="s">
        <v>422</v>
      </c>
      <c r="B2102" t="s">
        <v>2131</v>
      </c>
      <c r="C2102" t="str" cm="1">
        <f t="array" ref="C2102" xml:space="preserve"> CleanText(B2102)</f>
        <v>is it a series or a movie</v>
      </c>
      <c r="D2102">
        <v>0</v>
      </c>
      <c r="E2102">
        <v>1</v>
      </c>
      <c r="F2102" t="s">
        <v>112</v>
      </c>
      <c r="G2102" t="str" cm="1">
        <f t="array" ref="G2102" xml:space="preserve"> FindCountryName(F2102)</f>
        <v>Canada</v>
      </c>
      <c r="H2102" s="1">
        <v>45278.444224537037</v>
      </c>
      <c r="I2102" s="1">
        <v>45278.444224537037</v>
      </c>
      <c r="J2102" s="1">
        <v>44030.552546296298</v>
      </c>
      <c r="K2102" cm="1">
        <f t="array" ref="K2102" xml:space="preserve"> sentimentCalc(C2102)</f>
        <v>0</v>
      </c>
      <c r="L2102" t="str" cm="1">
        <f t="array" ref="L2102" xml:space="preserve"> sentimentCategory(K2102)</f>
        <v>Neutral</v>
      </c>
    </row>
    <row r="2103" spans="1:12">
      <c r="A2103" t="s">
        <v>2130</v>
      </c>
      <c r="B2103" t="s">
        <v>2129</v>
      </c>
      <c r="C2103" t="str" cm="1">
        <f t="array" ref="C2103" xml:space="preserve"> CleanText(B2103)</f>
        <v>this looks promising</v>
      </c>
      <c r="D2103">
        <v>0</v>
      </c>
      <c r="E2103">
        <v>0</v>
      </c>
      <c r="F2103" t="s">
        <v>0</v>
      </c>
      <c r="G2103" t="str" cm="1">
        <f t="array" ref="G2103" xml:space="preserve"> FindCountryName(F2103)</f>
        <v>None</v>
      </c>
      <c r="H2103" s="1">
        <v>45278.427395833336</v>
      </c>
      <c r="I2103" s="1">
        <v>45278.427395833336</v>
      </c>
      <c r="J2103" s="1">
        <v>40503.221053240741</v>
      </c>
      <c r="K2103" cm="1">
        <f t="array" ref="K2103" xml:space="preserve"> sentimentCalc(C2103)</f>
        <v>0</v>
      </c>
      <c r="L2103" t="str" cm="1">
        <f t="array" ref="L2103" xml:space="preserve"> sentimentCategory(K2103)</f>
        <v>Neutral</v>
      </c>
    </row>
    <row r="2104" spans="1:12">
      <c r="A2104" t="s">
        <v>2128</v>
      </c>
      <c r="B2104" t="s">
        <v>2127</v>
      </c>
      <c r="C2104" t="str" cm="1">
        <f t="array" ref="C2104" xml:space="preserve"> CleanText(B2104)</f>
        <v>waiting for a long time</v>
      </c>
      <c r="D2104">
        <v>0</v>
      </c>
      <c r="E2104">
        <v>0</v>
      </c>
      <c r="F2104" t="s">
        <v>0</v>
      </c>
      <c r="G2104" t="str" cm="1">
        <f t="array" ref="G2104" xml:space="preserve"> FindCountryName(F2104)</f>
        <v>None</v>
      </c>
      <c r="H2104" s="1">
        <v>45278.404432870368</v>
      </c>
      <c r="I2104" s="1">
        <v>45278.404432870368</v>
      </c>
      <c r="J2104" s="1">
        <v>44885.119409722225</v>
      </c>
      <c r="K2104" cm="1">
        <f t="array" ref="K2104" xml:space="preserve"> sentimentCalc(C2104)</f>
        <v>0</v>
      </c>
      <c r="L2104" t="str" cm="1">
        <f t="array" ref="L2104" xml:space="preserve"> sentimentCategory(K2104)</f>
        <v>Neutral</v>
      </c>
    </row>
    <row r="2105" spans="1:12">
      <c r="A2105" t="s">
        <v>2126</v>
      </c>
      <c r="B2105" t="s">
        <v>2125</v>
      </c>
      <c r="C2105" t="str" cm="1">
        <f t="array" ref="C2105" xml:space="preserve"> CleanText(B2105)</f>
        <v>i find it sad they didnt give each nation their eye colour the avatar world was inspired by asiatic cultures but still fictional so were the races kind of the blue eyes represented the water tribe amber eyes the fire nation green eyes the earth kingdom and grey eyes the air nomads</v>
      </c>
      <c r="D2105">
        <v>0</v>
      </c>
      <c r="E2105">
        <v>0</v>
      </c>
      <c r="F2105" t="s">
        <v>0</v>
      </c>
      <c r="G2105" t="str" cm="1">
        <f t="array" ref="G2105" xml:space="preserve"> FindCountryName(F2105)</f>
        <v>None</v>
      </c>
      <c r="H2105" s="1">
        <v>45278.395497685182</v>
      </c>
      <c r="I2105" s="1">
        <v>45278.395497685182</v>
      </c>
      <c r="J2105" s="1">
        <v>42667.618437500001</v>
      </c>
      <c r="K2105" cm="1">
        <f t="array" ref="K2105" xml:space="preserve"> sentimentCalc(C2105)</f>
        <v>-1</v>
      </c>
      <c r="L2105" t="str" cm="1">
        <f t="array" ref="L2105" xml:space="preserve"> sentimentCategory(K2105)</f>
        <v>Negative</v>
      </c>
    </row>
    <row r="2106" spans="1:12">
      <c r="A2106" t="s">
        <v>2124</v>
      </c>
      <c r="B2106" t="s">
        <v>2123</v>
      </c>
      <c r="C2106" t="str" cm="1">
        <f t="array" ref="C2106" xml:space="preserve"> CleanText(B2106)</f>
        <v>yip yip</v>
      </c>
      <c r="D2106">
        <v>0</v>
      </c>
      <c r="E2106">
        <v>1</v>
      </c>
      <c r="F2106" t="s">
        <v>0</v>
      </c>
      <c r="G2106" t="str" cm="1">
        <f t="array" ref="G2106" xml:space="preserve"> FindCountryName(F2106)</f>
        <v>None</v>
      </c>
      <c r="H2106" s="1">
        <v>45278.378067129626</v>
      </c>
      <c r="I2106" s="1">
        <v>45278.378067129626</v>
      </c>
      <c r="J2106" s="1">
        <v>41183.893761574072</v>
      </c>
      <c r="K2106" cm="1">
        <f t="array" ref="K2106" xml:space="preserve"> sentimentCalc(C2106)</f>
        <v>0</v>
      </c>
      <c r="L2106" t="str" cm="1">
        <f t="array" ref="L2106" xml:space="preserve"> sentimentCategory(K2106)</f>
        <v>Neutral</v>
      </c>
    </row>
    <row r="2107" spans="1:12">
      <c r="A2107" t="s">
        <v>1174</v>
      </c>
      <c r="B2107" t="s">
        <v>2122</v>
      </c>
      <c r="C2107" t="str" cm="1">
        <f t="array" ref="C2107" xml:space="preserve"> CleanText(B2107)</f>
        <v>the last one was trash</v>
      </c>
      <c r="D2107">
        <v>1</v>
      </c>
      <c r="E2107">
        <v>0</v>
      </c>
      <c r="F2107" t="s">
        <v>0</v>
      </c>
      <c r="G2107" t="str" cm="1">
        <f t="array" ref="G2107" xml:space="preserve"> FindCountryName(F2107)</f>
        <v>None</v>
      </c>
      <c r="H2107" s="1">
        <v>45278.339363425926</v>
      </c>
      <c r="I2107" s="1">
        <v>45278.339363425926</v>
      </c>
      <c r="J2107" s="1">
        <v>45048.621562499997</v>
      </c>
      <c r="K2107" cm="1">
        <f t="array" ref="K2107" xml:space="preserve"> sentimentCalc(C2107)</f>
        <v>0</v>
      </c>
      <c r="L2107" t="str" cm="1">
        <f t="array" ref="L2107" xml:space="preserve"> sentimentCategory(K2107)</f>
        <v>Neutral</v>
      </c>
    </row>
    <row r="2108" spans="1:12">
      <c r="A2108" t="s">
        <v>2121</v>
      </c>
      <c r="B2108" t="s">
        <v>2120</v>
      </c>
      <c r="C2108" t="str" cm="1">
        <f t="array" ref="C2108" xml:space="preserve"> CleanText(B2108)</f>
        <v>the best thing is that fire benders dont have to carry torches around to bend fire</v>
      </c>
      <c r="D2108">
        <v>0</v>
      </c>
      <c r="E2108">
        <v>0</v>
      </c>
      <c r="F2108" t="s">
        <v>0</v>
      </c>
      <c r="G2108" t="str" cm="1">
        <f t="array" ref="G2108" xml:space="preserve"> FindCountryName(F2108)</f>
        <v>None</v>
      </c>
      <c r="H2108" s="1">
        <v>45278.295104166667</v>
      </c>
      <c r="I2108" s="1">
        <v>45278.295104166667</v>
      </c>
      <c r="J2108" s="1">
        <v>44418.270914351851</v>
      </c>
      <c r="K2108" cm="1">
        <f t="array" ref="K2108" xml:space="preserve"> sentimentCalc(C2108)</f>
        <v>-1</v>
      </c>
      <c r="L2108" t="str" cm="1">
        <f t="array" ref="L2108" xml:space="preserve"> sentimentCategory(K2108)</f>
        <v>Negative</v>
      </c>
    </row>
    <row r="2109" spans="1:12">
      <c r="A2109" t="s">
        <v>887</v>
      </c>
      <c r="B2109" t="s">
        <v>2119</v>
      </c>
      <c r="C2109" t="str" cm="1">
        <f t="array" ref="C2109" xml:space="preserve"> CleanText(B2109)</f>
        <v>it probably wont get past season  like the oa it looks to expensive</v>
      </c>
      <c r="D2109">
        <v>0</v>
      </c>
      <c r="E2109">
        <v>0</v>
      </c>
      <c r="F2109" t="s">
        <v>0</v>
      </c>
      <c r="G2109" t="str" cm="1">
        <f t="array" ref="G2109" xml:space="preserve"> FindCountryName(F2109)</f>
        <v>None</v>
      </c>
      <c r="H2109" s="1">
        <v>45278.289351851854</v>
      </c>
      <c r="I2109" s="1">
        <v>45278.289351851854</v>
      </c>
      <c r="J2109" s="1">
        <v>42823.564872685187</v>
      </c>
      <c r="K2109" cm="1">
        <f t="array" ref="K2109" xml:space="preserve"> sentimentCalc(C2109)</f>
        <v>2</v>
      </c>
      <c r="L2109" t="str" cm="1">
        <f t="array" ref="L2109" xml:space="preserve"> sentimentCategory(K2109)</f>
        <v>Positive</v>
      </c>
    </row>
    <row r="2110" spans="1:12">
      <c r="A2110" t="s">
        <v>637</v>
      </c>
      <c r="B2110" t="s">
        <v>2118</v>
      </c>
      <c r="C2110" t="str" cm="1">
        <f t="array" ref="C2110" xml:space="preserve"> CleanText(B2110)</f>
        <v>why make a lengthy show a movie   pass</v>
      </c>
      <c r="D2110">
        <v>0</v>
      </c>
      <c r="E2110">
        <v>1</v>
      </c>
      <c r="F2110" t="s">
        <v>0</v>
      </c>
      <c r="G2110" t="str" cm="1">
        <f t="array" ref="G2110" xml:space="preserve"> FindCountryName(F2110)</f>
        <v>None</v>
      </c>
      <c r="H2110" s="1">
        <v>45278.275625000002</v>
      </c>
      <c r="I2110" s="1">
        <v>45278.275625000002</v>
      </c>
      <c r="J2110" s="1">
        <v>40457.893136574072</v>
      </c>
      <c r="K2110" cm="1">
        <f t="array" ref="K2110" xml:space="preserve"> sentimentCalc(C2110)</f>
        <v>0</v>
      </c>
      <c r="L2110" t="str" cm="1">
        <f t="array" ref="L2110" xml:space="preserve"> sentimentCategory(K2110)</f>
        <v>Neutral</v>
      </c>
    </row>
    <row r="2111" spans="1:12">
      <c r="A2111" t="s">
        <v>8</v>
      </c>
      <c r="B2111" t="s">
        <v>2117</v>
      </c>
      <c r="C2111" t="str" cm="1">
        <f t="array" ref="C2111" xml:space="preserve"> CleanText(B2111)</f>
        <v>they really shouldve shaved his eyebrows they look like sht smh</v>
      </c>
      <c r="D2111">
        <v>1</v>
      </c>
      <c r="E2111">
        <v>0</v>
      </c>
      <c r="F2111" t="s">
        <v>0</v>
      </c>
      <c r="G2111" t="str" cm="1">
        <f t="array" ref="G2111" xml:space="preserve"> FindCountryName(F2111)</f>
        <v>None</v>
      </c>
      <c r="H2111" s="1">
        <v>45278.222638888888</v>
      </c>
      <c r="I2111" s="1">
        <v>45278.222638888888</v>
      </c>
      <c r="J2111" s="1">
        <v>43999.016516203701</v>
      </c>
      <c r="K2111" cm="1">
        <f t="array" ref="K2111" xml:space="preserve"> sentimentCalc(C2111)</f>
        <v>2</v>
      </c>
      <c r="L2111" t="str" cm="1">
        <f t="array" ref="L2111" xml:space="preserve"> sentimentCategory(K2111)</f>
        <v>Positive</v>
      </c>
    </row>
    <row r="2112" spans="1:12">
      <c r="A2112" t="s">
        <v>2116</v>
      </c>
      <c r="B2112" t="s">
        <v>2115</v>
      </c>
      <c r="C2112" t="str" cm="1">
        <f t="array" ref="C2112" xml:space="preserve"> CleanText(B2112)</f>
        <v>please please please be goodnevermind i can already tell it wont be</v>
      </c>
      <c r="D2112">
        <v>0</v>
      </c>
      <c r="E2112">
        <v>0</v>
      </c>
      <c r="F2112" t="s">
        <v>0</v>
      </c>
      <c r="G2112" t="str" cm="1">
        <f t="array" ref="G2112" xml:space="preserve"> FindCountryName(F2112)</f>
        <v>None</v>
      </c>
      <c r="H2112" s="1">
        <v>45278.207986111112</v>
      </c>
      <c r="I2112" s="1">
        <v>45278.208703703705</v>
      </c>
      <c r="J2112" s="1">
        <v>39626.826493055552</v>
      </c>
      <c r="K2112" cm="1">
        <f t="array" ref="K2112" xml:space="preserve"> sentimentCalc(C2112)</f>
        <v>3</v>
      </c>
      <c r="L2112" t="str" cm="1">
        <f t="array" ref="L2112" xml:space="preserve"> sentimentCategory(K2112)</f>
        <v>Positive</v>
      </c>
    </row>
    <row r="2113" spans="1:12">
      <c r="A2113" t="s">
        <v>924</v>
      </c>
      <c r="B2113" t="s">
        <v>2114</v>
      </c>
      <c r="C2113" t="str" cm="1">
        <f t="array" ref="C2113" xml:space="preserve"> CleanText(B2113)</f>
        <v>you can see from the thumbnail that its trash</v>
      </c>
      <c r="D2113">
        <v>0</v>
      </c>
      <c r="E2113">
        <v>4</v>
      </c>
      <c r="F2113" t="s">
        <v>0</v>
      </c>
      <c r="G2113" t="str" cm="1">
        <f t="array" ref="G2113" xml:space="preserve"> FindCountryName(F2113)</f>
        <v>None</v>
      </c>
      <c r="H2113" s="1">
        <v>45278.202708333331</v>
      </c>
      <c r="I2113" s="1">
        <v>45278.202708333331</v>
      </c>
      <c r="J2113" s="1">
        <v>44686.612754629627</v>
      </c>
      <c r="K2113" cm="1">
        <f t="array" ref="K2113" xml:space="preserve"> sentimentCalc(C2113)</f>
        <v>0</v>
      </c>
      <c r="L2113" t="str" cm="1">
        <f t="array" ref="L2113" xml:space="preserve"> sentimentCategory(K2113)</f>
        <v>Neutral</v>
      </c>
    </row>
    <row r="2114" spans="1:12">
      <c r="A2114" t="s">
        <v>1554</v>
      </c>
      <c r="B2114" t="s">
        <v>2113</v>
      </c>
      <c r="C2114" t="str" cm="1">
        <f t="array" ref="C2114" xml:space="preserve"> CleanText(B2114)</f>
        <v>this seems like it will actually be accurate to the source material after the movie im scared to be hyped but it is looking quite promising</v>
      </c>
      <c r="D2114">
        <v>1</v>
      </c>
      <c r="E2114">
        <v>0</v>
      </c>
      <c r="F2114" t="s">
        <v>0</v>
      </c>
      <c r="G2114" t="str" cm="1">
        <f t="array" ref="G2114" xml:space="preserve"> FindCountryName(F2114)</f>
        <v>None</v>
      </c>
      <c r="H2114" s="1">
        <v>45278.168900462966</v>
      </c>
      <c r="I2114" s="1">
        <v>45278.168900462966</v>
      </c>
      <c r="J2114" s="1">
        <v>42006.176481481481</v>
      </c>
      <c r="K2114" cm="1">
        <f t="array" ref="K2114" xml:space="preserve"> sentimentCalc(C2114)</f>
        <v>0</v>
      </c>
      <c r="L2114" t="str" cm="1">
        <f t="array" ref="L2114" xml:space="preserve"> sentimentCategory(K2114)</f>
        <v>Neutral</v>
      </c>
    </row>
    <row r="2115" spans="1:12">
      <c r="A2115" t="s">
        <v>36</v>
      </c>
      <c r="B2115" t="s">
        <v>2112</v>
      </c>
      <c r="C2115" t="str" cm="1">
        <f t="array" ref="C2115" xml:space="preserve"> CleanText(B2115)</f>
        <v>ong</v>
      </c>
      <c r="D2115">
        <v>0</v>
      </c>
      <c r="E2115">
        <v>0</v>
      </c>
      <c r="F2115" t="s">
        <v>0</v>
      </c>
      <c r="G2115" t="str" cm="1">
        <f t="array" ref="G2115" xml:space="preserve"> FindCountryName(F2115)</f>
        <v>None</v>
      </c>
      <c r="H2115" s="1">
        <v>45278.136493055557</v>
      </c>
      <c r="I2115" s="1">
        <v>45278.136493055557</v>
      </c>
      <c r="J2115" s="1">
        <v>45040.472141203703</v>
      </c>
      <c r="K2115" cm="1">
        <f t="array" ref="K2115" xml:space="preserve"> sentimentCalc(C2115)</f>
        <v>0</v>
      </c>
      <c r="L2115" t="str" cm="1">
        <f t="array" ref="L2115" xml:space="preserve"> sentimentCategory(K2115)</f>
        <v>Neutral</v>
      </c>
    </row>
    <row r="2116" spans="1:12">
      <c r="A2116" t="s">
        <v>1494</v>
      </c>
      <c r="B2116" t="s">
        <v>2111</v>
      </c>
      <c r="C2116" t="str" cm="1">
        <f t="array" ref="C2116" xml:space="preserve"> CleanText(B2116)</f>
        <v>sheehshhh</v>
      </c>
      <c r="D2116">
        <v>0</v>
      </c>
      <c r="E2116">
        <v>0</v>
      </c>
      <c r="F2116" t="s">
        <v>0</v>
      </c>
      <c r="G2116" t="str" cm="1">
        <f t="array" ref="G2116" xml:space="preserve"> FindCountryName(F2116)</f>
        <v>None</v>
      </c>
      <c r="H2116" s="1">
        <v>45278.135243055556</v>
      </c>
      <c r="I2116" s="1">
        <v>45278.135243055556</v>
      </c>
      <c r="J2116" s="1">
        <v>44038.05736111111</v>
      </c>
      <c r="K2116" cm="1">
        <f t="array" ref="K2116" xml:space="preserve"> sentimentCalc(C2116)</f>
        <v>0</v>
      </c>
      <c r="L2116" t="str" cm="1">
        <f t="array" ref="L2116" xml:space="preserve"> sentimentCategory(K2116)</f>
        <v>Neutral</v>
      </c>
    </row>
    <row r="2117" spans="1:12">
      <c r="A2117" t="s">
        <v>2110</v>
      </c>
      <c r="B2117" t="s">
        <v>2109</v>
      </c>
      <c r="C2117" t="str" cm="1">
        <f t="array" ref="C2117" xml:space="preserve"> CleanText(B2117)</f>
        <v>oh boy another series for netflix to mess up</v>
      </c>
      <c r="D2117">
        <v>0</v>
      </c>
      <c r="E2117">
        <v>1</v>
      </c>
      <c r="F2117" t="s">
        <v>0</v>
      </c>
      <c r="G2117" t="str" cm="1">
        <f t="array" ref="G2117" xml:space="preserve"> FindCountryName(F2117)</f>
        <v>None</v>
      </c>
      <c r="H2117" s="1">
        <v>45278.128171296295</v>
      </c>
      <c r="I2117" s="1">
        <v>45278.128310185188</v>
      </c>
      <c r="J2117" s="1">
        <v>41949.946458333332</v>
      </c>
      <c r="K2117" cm="1">
        <f t="array" ref="K2117" xml:space="preserve"> sentimentCalc(C2117)</f>
        <v>-2</v>
      </c>
      <c r="L2117" t="str" cm="1">
        <f t="array" ref="L2117" xml:space="preserve"> sentimentCategory(K2117)</f>
        <v>Negative</v>
      </c>
    </row>
    <row r="2118" spans="1:12">
      <c r="A2118" t="s">
        <v>367</v>
      </c>
      <c r="B2118" t="s">
        <v>2108</v>
      </c>
      <c r="C2118" t="str" cm="1">
        <f t="array" ref="C2118" xml:space="preserve"> CleanText(B2118)</f>
        <v>new version</v>
      </c>
      <c r="D2118">
        <v>0</v>
      </c>
      <c r="E2118">
        <v>0</v>
      </c>
      <c r="F2118" t="s">
        <v>0</v>
      </c>
      <c r="G2118" t="str" cm="1">
        <f t="array" ref="G2118" xml:space="preserve"> FindCountryName(F2118)</f>
        <v>None</v>
      </c>
      <c r="H2118" s="1">
        <v>45278.125115740739</v>
      </c>
      <c r="I2118" s="1">
        <v>45278.125115740739</v>
      </c>
      <c r="J2118" s="1">
        <v>41455.972199074073</v>
      </c>
      <c r="K2118" cm="1">
        <f t="array" ref="K2118" xml:space="preserve"> sentimentCalc(C2118)</f>
        <v>0</v>
      </c>
      <c r="L2118" t="str" cm="1">
        <f t="array" ref="L2118" xml:space="preserve"> sentimentCategory(K2118)</f>
        <v>Neutral</v>
      </c>
    </row>
    <row r="2119" spans="1:12">
      <c r="A2119" t="s">
        <v>2107</v>
      </c>
      <c r="B2119" t="s">
        <v>2106</v>
      </c>
      <c r="C2119" t="str" cm="1">
        <f t="array" ref="C2119" xml:space="preserve"> CleanText(B2119)</f>
        <v>hopefully his name isnt ong this time</v>
      </c>
      <c r="D2119">
        <v>0</v>
      </c>
      <c r="E2119">
        <v>0</v>
      </c>
      <c r="F2119" t="s">
        <v>0</v>
      </c>
      <c r="G2119" t="str" cm="1">
        <f t="array" ref="G2119" xml:space="preserve"> FindCountryName(F2119)</f>
        <v>None</v>
      </c>
      <c r="H2119" s="1">
        <v>45278.112222222226</v>
      </c>
      <c r="I2119" s="1">
        <v>45278.112222222226</v>
      </c>
      <c r="J2119" s="1">
        <v>40043.003807870373</v>
      </c>
      <c r="K2119" cm="1">
        <f t="array" ref="K2119" xml:space="preserve"> sentimentCalc(C2119)</f>
        <v>2</v>
      </c>
      <c r="L2119" t="str" cm="1">
        <f t="array" ref="L2119" xml:space="preserve"> sentimentCategory(K2119)</f>
        <v>Positive</v>
      </c>
    </row>
    <row r="2120" spans="1:12">
      <c r="A2120" t="s">
        <v>483</v>
      </c>
      <c r="B2120" t="s">
        <v>2105</v>
      </c>
      <c r="C2120" t="str" cm="1">
        <f t="array" ref="C2120" xml:space="preserve"> CleanText(B2120)</f>
        <v>n</v>
      </c>
      <c r="D2120">
        <v>0</v>
      </c>
      <c r="E2120">
        <v>0</v>
      </c>
      <c r="F2120" t="s">
        <v>0</v>
      </c>
      <c r="G2120" t="str" cm="1">
        <f t="array" ref="G2120" xml:space="preserve"> FindCountryName(F2120)</f>
        <v>None</v>
      </c>
      <c r="H2120" s="1">
        <v>45278.096967592595</v>
      </c>
      <c r="I2120" s="1">
        <v>45278.096967592595</v>
      </c>
      <c r="J2120" s="1">
        <v>41029.390173611115</v>
      </c>
      <c r="K2120" cm="1">
        <f t="array" ref="K2120" xml:space="preserve"> sentimentCalc(C2120)</f>
        <v>0</v>
      </c>
      <c r="L2120" t="str" cm="1">
        <f t="array" ref="L2120" xml:space="preserve"> sentimentCategory(K2120)</f>
        <v>Neutral</v>
      </c>
    </row>
    <row r="2121" spans="1:12">
      <c r="A2121" t="s">
        <v>158</v>
      </c>
      <c r="B2121" t="s">
        <v>2104</v>
      </c>
      <c r="C2121" t="str" cm="1">
        <f t="array" ref="C2121" xml:space="preserve"> CleanText(B2121)</f>
        <v>this already looks  times better than the last airbender but this live action has maaassssiiivvveee shoes to fill the cgi looks pretty good but im not so sure about the casting they might not be bad im hopeful but i dont feel like they look anything like their counterpartsand before anybody says its a cartoon they wont look the same sukkis actress looks great though</v>
      </c>
      <c r="D2121">
        <v>0</v>
      </c>
      <c r="E2121">
        <v>0</v>
      </c>
      <c r="F2121" t="s">
        <v>0</v>
      </c>
      <c r="G2121" t="str" cm="1">
        <f t="array" ref="G2121" xml:space="preserve"> FindCountryName(F2121)</f>
        <v>None</v>
      </c>
      <c r="H2121" s="1">
        <v>45278.077349537038</v>
      </c>
      <c r="I2121" s="1">
        <v>45278.077349537038</v>
      </c>
      <c r="J2121" s="1">
        <v>44406.679814814815</v>
      </c>
      <c r="K2121" cm="1">
        <f t="array" ref="K2121" xml:space="preserve"> sentimentCalc(C2121)</f>
        <v>12</v>
      </c>
      <c r="L2121" t="str" cm="1">
        <f t="array" ref="L2121" xml:space="preserve"> sentimentCategory(K2121)</f>
        <v>Positive</v>
      </c>
    </row>
    <row r="2122" spans="1:12">
      <c r="A2122" t="s">
        <v>640</v>
      </c>
      <c r="B2122" t="s">
        <v>2103</v>
      </c>
      <c r="C2122" t="str" cm="1">
        <f t="array" ref="C2122" xml:space="preserve"> CleanText(B2122)</f>
        <v>the animated show is my childhoodthe music still gives me goosebumpsvery very very excited for this</v>
      </c>
      <c r="D2122">
        <v>51</v>
      </c>
      <c r="E2122">
        <v>1</v>
      </c>
      <c r="F2122" t="s">
        <v>0</v>
      </c>
      <c r="G2122" t="str" cm="1">
        <f t="array" ref="G2122" xml:space="preserve"> FindCountryName(F2122)</f>
        <v>None</v>
      </c>
      <c r="H2122" s="1">
        <v>45278.075671296298</v>
      </c>
      <c r="I2122" s="1">
        <v>45278.075671296298</v>
      </c>
      <c r="J2122" s="1">
        <v>44096.567129629628</v>
      </c>
      <c r="K2122" cm="1">
        <f t="array" ref="K2122" xml:space="preserve"> sentimentCalc(C2122)</f>
        <v>3</v>
      </c>
      <c r="L2122" t="str" cm="1">
        <f t="array" ref="L2122" xml:space="preserve"> sentimentCategory(K2122)</f>
        <v>Positive</v>
      </c>
    </row>
    <row r="2123" spans="1:12">
      <c r="A2123" t="s">
        <v>2102</v>
      </c>
      <c r="B2123" t="s">
        <v>113</v>
      </c>
      <c r="C2123" t="str" cm="1">
        <f t="array" ref="C2123" xml:space="preserve"> CleanText(B2123)</f>
        <v>omg</v>
      </c>
      <c r="D2123">
        <v>0</v>
      </c>
      <c r="E2123">
        <v>0</v>
      </c>
      <c r="F2123" t="s">
        <v>0</v>
      </c>
      <c r="G2123" t="str" cm="1">
        <f t="array" ref="G2123" xml:space="preserve"> FindCountryName(F2123)</f>
        <v>None</v>
      </c>
      <c r="H2123" s="1">
        <v>45278.038136574076</v>
      </c>
      <c r="I2123" s="1">
        <v>45278.038136574076</v>
      </c>
      <c r="J2123" s="1">
        <v>41876.79420138889</v>
      </c>
      <c r="K2123" cm="1">
        <f t="array" ref="K2123" xml:space="preserve"> sentimentCalc(C2123)</f>
        <v>0</v>
      </c>
      <c r="L2123" t="str" cm="1">
        <f t="array" ref="L2123" xml:space="preserve"> sentimentCategory(K2123)</f>
        <v>Neutral</v>
      </c>
    </row>
    <row r="2124" spans="1:12">
      <c r="A2124" t="s">
        <v>2101</v>
      </c>
      <c r="B2124" t="s">
        <v>2100</v>
      </c>
      <c r="C2124" t="str" cm="1">
        <f t="array" ref="C2124" xml:space="preserve"> CleanText(B2124)</f>
        <v>i just hope this is as good as the animated version and not the movie version the movie version i will not speak of because it was that bad _xDE20__xD83E_</v>
      </c>
      <c r="D2124">
        <v>0</v>
      </c>
      <c r="E2124">
        <v>0</v>
      </c>
      <c r="F2124" t="s">
        <v>0</v>
      </c>
      <c r="G2124" t="str" cm="1">
        <f t="array" ref="G2124" xml:space="preserve"> FindCountryName(F2124)</f>
        <v>None</v>
      </c>
      <c r="H2124" s="1">
        <v>45277.994108796294</v>
      </c>
      <c r="I2124" s="1">
        <v>45277.994108796294</v>
      </c>
      <c r="J2124" s="1">
        <v>45174.07167824074</v>
      </c>
      <c r="K2124" cm="1">
        <f t="array" ref="K2124" xml:space="preserve"> sentimentCalc(C2124)</f>
        <v>2</v>
      </c>
      <c r="L2124" t="str" cm="1">
        <f t="array" ref="L2124" xml:space="preserve"> sentimentCategory(K2124)</f>
        <v>Positive</v>
      </c>
    </row>
    <row r="2125" spans="1:12">
      <c r="A2125" t="s">
        <v>955</v>
      </c>
      <c r="B2125" t="s">
        <v>2099</v>
      </c>
      <c r="C2125" t="str" cm="1">
        <f t="array" ref="C2125" xml:space="preserve"> CleanText(B2125)</f>
        <v>i want to hope but ive been hurt by netflix too many times</v>
      </c>
      <c r="D2125">
        <v>0</v>
      </c>
      <c r="E2125">
        <v>0</v>
      </c>
      <c r="F2125" t="s">
        <v>0</v>
      </c>
      <c r="G2125" t="str" cm="1">
        <f t="array" ref="G2125" xml:space="preserve"> FindCountryName(F2125)</f>
        <v>None</v>
      </c>
      <c r="H2125" s="1">
        <v>45277.98537037037</v>
      </c>
      <c r="I2125" s="1">
        <v>45277.98537037037</v>
      </c>
      <c r="J2125" s="1">
        <v>40696.361747685187</v>
      </c>
      <c r="K2125" cm="1">
        <f t="array" ref="K2125" xml:space="preserve"> sentimentCalc(C2125)</f>
        <v>1</v>
      </c>
      <c r="L2125" t="str" cm="1">
        <f t="array" ref="L2125" xml:space="preserve"> sentimentCategory(K2125)</f>
        <v>Positive</v>
      </c>
    </row>
    <row r="2126" spans="1:12">
      <c r="A2126" t="s">
        <v>53</v>
      </c>
      <c r="B2126" t="s">
        <v>2098</v>
      </c>
      <c r="C2126" t="str" cm="1">
        <f t="array" ref="C2126" xml:space="preserve"> CleanText(B2126)</f>
        <v>im old enough to remember what they did to both this and dbz im going to avoid this one like the plague</v>
      </c>
      <c r="D2126">
        <v>0</v>
      </c>
      <c r="E2126">
        <v>0</v>
      </c>
      <c r="F2126" t="s">
        <v>0</v>
      </c>
      <c r="G2126" t="str" cm="1">
        <f t="array" ref="G2126" xml:space="preserve"> FindCountryName(F2126)</f>
        <v>None</v>
      </c>
      <c r="H2126" s="1">
        <v>45277.978784722225</v>
      </c>
      <c r="I2126" s="1">
        <v>45277.978784722225</v>
      </c>
      <c r="J2126" s="1">
        <v>40424.555300925924</v>
      </c>
      <c r="K2126" cm="1">
        <f t="array" ref="K2126" xml:space="preserve"> sentimentCalc(C2126)</f>
        <v>1</v>
      </c>
      <c r="L2126" t="str" cm="1">
        <f t="array" ref="L2126" xml:space="preserve"> sentimentCategory(K2126)</f>
        <v>Positive</v>
      </c>
    </row>
    <row r="2127" spans="1:12">
      <c r="A2127" t="s">
        <v>278</v>
      </c>
      <c r="B2127" t="s">
        <v>2097</v>
      </c>
      <c r="C2127" t="str" cm="1">
        <f t="array" ref="C2127" xml:space="preserve"> CleanText(B2127)</f>
        <v>i mean it looks good</v>
      </c>
      <c r="D2127">
        <v>1</v>
      </c>
      <c r="E2127">
        <v>0</v>
      </c>
      <c r="F2127" t="s">
        <v>1961</v>
      </c>
      <c r="G2127" t="str" cm="1">
        <f t="array" ref="G2127" xml:space="preserve"> FindCountryName(F2127)</f>
        <v>Australia</v>
      </c>
      <c r="H2127" s="1">
        <v>45277.962592592594</v>
      </c>
      <c r="I2127" s="1">
        <v>45277.962592592594</v>
      </c>
      <c r="J2127" s="1">
        <v>44504.290439814817</v>
      </c>
      <c r="K2127" cm="1">
        <f t="array" ref="K2127" xml:space="preserve"> sentimentCalc(C2127)</f>
        <v>3</v>
      </c>
      <c r="L2127" t="str" cm="1">
        <f t="array" ref="L2127" xml:space="preserve"> sentimentCategory(K2127)</f>
        <v>Positive</v>
      </c>
    </row>
    <row r="2128" spans="1:12">
      <c r="A2128" t="s">
        <v>2096</v>
      </c>
      <c r="B2128" t="s">
        <v>2095</v>
      </c>
      <c r="C2128" t="str" cm="1">
        <f t="array" ref="C2128" xml:space="preserve"> CleanText(B2128)</f>
        <v>here we go again</v>
      </c>
      <c r="D2128">
        <v>1</v>
      </c>
      <c r="E2128">
        <v>0</v>
      </c>
      <c r="F2128" t="s">
        <v>0</v>
      </c>
      <c r="G2128" t="str" cm="1">
        <f t="array" ref="G2128" xml:space="preserve"> FindCountryName(F2128)</f>
        <v>None</v>
      </c>
      <c r="H2128" s="1">
        <v>45277.943402777775</v>
      </c>
      <c r="I2128" s="1">
        <v>45277.943402777775</v>
      </c>
      <c r="J2128" s="1">
        <v>40652.668819444443</v>
      </c>
      <c r="K2128" cm="1">
        <f t="array" ref="K2128" xml:space="preserve"> sentimentCalc(C2128)</f>
        <v>0</v>
      </c>
      <c r="L2128" t="str" cm="1">
        <f t="array" ref="L2128" xml:space="preserve"> sentimentCategory(K2128)</f>
        <v>Neutral</v>
      </c>
    </row>
    <row r="2129" spans="1:12">
      <c r="A2129" t="s">
        <v>297</v>
      </c>
      <c r="B2129" t="s">
        <v>2094</v>
      </c>
      <c r="C2129" t="str" cm="1">
        <f t="array" ref="C2129" xml:space="preserve"> CleanText(B2129)</f>
        <v>im so happy theyre making a better version</v>
      </c>
      <c r="D2129">
        <v>0</v>
      </c>
      <c r="E2129">
        <v>0</v>
      </c>
      <c r="F2129" t="s">
        <v>0</v>
      </c>
      <c r="G2129" t="str" cm="1">
        <f t="array" ref="G2129" xml:space="preserve"> FindCountryName(F2129)</f>
        <v>None</v>
      </c>
      <c r="H2129" s="1">
        <v>45277.926319444443</v>
      </c>
      <c r="I2129" s="1">
        <v>45277.926319444443</v>
      </c>
      <c r="J2129" s="1">
        <v>44197.123356481483</v>
      </c>
      <c r="K2129" cm="1">
        <f t="array" ref="K2129" xml:space="preserve"> sentimentCalc(C2129)</f>
        <v>5</v>
      </c>
      <c r="L2129" t="str" cm="1">
        <f t="array" ref="L2129" xml:space="preserve"> sentimentCategory(K2129)</f>
        <v>Positive</v>
      </c>
    </row>
    <row r="2130" spans="1:12">
      <c r="A2130" t="s">
        <v>1467</v>
      </c>
      <c r="B2130" t="s">
        <v>2093</v>
      </c>
      <c r="C2130" t="str" cm="1">
        <f t="array" ref="C2130" xml:space="preserve"> CleanText(B2130)</f>
        <v>made in china</v>
      </c>
      <c r="D2130">
        <v>0</v>
      </c>
      <c r="E2130">
        <v>0</v>
      </c>
      <c r="F2130" t="s">
        <v>0</v>
      </c>
      <c r="G2130" t="str" cm="1">
        <f t="array" ref="G2130" xml:space="preserve"> FindCountryName(F2130)</f>
        <v>None</v>
      </c>
      <c r="H2130" s="1">
        <v>45277.907754629632</v>
      </c>
      <c r="I2130" s="1">
        <v>45277.907754629632</v>
      </c>
      <c r="J2130" s="1">
        <v>43846.540810185186</v>
      </c>
      <c r="K2130" cm="1">
        <f t="array" ref="K2130" xml:space="preserve"> sentimentCalc(C2130)</f>
        <v>0</v>
      </c>
      <c r="L2130" t="str" cm="1">
        <f t="array" ref="L2130" xml:space="preserve"> sentimentCategory(K2130)</f>
        <v>Neutral</v>
      </c>
    </row>
    <row r="2131" spans="1:12">
      <c r="A2131" t="s">
        <v>2015</v>
      </c>
      <c r="B2131" t="s">
        <v>2092</v>
      </c>
      <c r="C2131" t="str" cm="1">
        <f t="array" ref="C2131" xml:space="preserve"> CleanText(B2131)</f>
        <v>goosebumps</v>
      </c>
      <c r="D2131">
        <v>0</v>
      </c>
      <c r="E2131">
        <v>0</v>
      </c>
      <c r="F2131" t="s">
        <v>0</v>
      </c>
      <c r="G2131" t="str" cm="1">
        <f t="array" ref="G2131" xml:space="preserve"> FindCountryName(F2131)</f>
        <v>None</v>
      </c>
      <c r="H2131" s="1">
        <v>45277.881712962961</v>
      </c>
      <c r="I2131" s="1">
        <v>45277.881712962961</v>
      </c>
      <c r="J2131" s="1">
        <v>44275.405821759261</v>
      </c>
      <c r="K2131" cm="1">
        <f t="array" ref="K2131" xml:space="preserve"> sentimentCalc(C2131)</f>
        <v>0</v>
      </c>
      <c r="L2131" t="str" cm="1">
        <f t="array" ref="L2131" xml:space="preserve"> sentimentCategory(K2131)</f>
        <v>Neutral</v>
      </c>
    </row>
    <row r="2132" spans="1:12">
      <c r="A2132" t="s">
        <v>136</v>
      </c>
      <c r="B2132" t="s">
        <v>2091</v>
      </c>
      <c r="C2132" t="str" cm="1">
        <f t="array" ref="C2132" xml:space="preserve"> CleanText(B2132)</f>
        <v>so excited to see this</v>
      </c>
      <c r="D2132">
        <v>0</v>
      </c>
      <c r="E2132">
        <v>0</v>
      </c>
      <c r="F2132" t="s">
        <v>0</v>
      </c>
      <c r="G2132" t="str" cm="1">
        <f t="array" ref="G2132" xml:space="preserve"> FindCountryName(F2132)</f>
        <v>None</v>
      </c>
      <c r="H2132" s="1">
        <v>45277.855590277781</v>
      </c>
      <c r="I2132" s="1">
        <v>45277.855590277781</v>
      </c>
      <c r="J2132" s="1">
        <v>45088.827372685184</v>
      </c>
      <c r="K2132" cm="1">
        <f t="array" ref="K2132" xml:space="preserve"> sentimentCalc(C2132)</f>
        <v>3</v>
      </c>
      <c r="L2132" t="str" cm="1">
        <f t="array" ref="L2132" xml:space="preserve"> sentimentCategory(K2132)</f>
        <v>Positive</v>
      </c>
    </row>
    <row r="2133" spans="1:12">
      <c r="A2133" t="s">
        <v>1178</v>
      </c>
      <c r="B2133" t="s">
        <v>2090</v>
      </c>
      <c r="C2133" t="str" cm="1">
        <f t="array" ref="C2133" xml:space="preserve"> CleanText(B2133)</f>
        <v>is it a series</v>
      </c>
      <c r="D2133">
        <v>0</v>
      </c>
      <c r="E2133">
        <v>1</v>
      </c>
      <c r="F2133" t="s">
        <v>0</v>
      </c>
      <c r="G2133" t="str" cm="1">
        <f t="array" ref="G2133" xml:space="preserve"> FindCountryName(F2133)</f>
        <v>None</v>
      </c>
      <c r="H2133" s="1">
        <v>45277.840532407405</v>
      </c>
      <c r="I2133" s="1">
        <v>45277.840532407405</v>
      </c>
      <c r="J2133" s="1">
        <v>45277.840520833335</v>
      </c>
      <c r="K2133" cm="1">
        <f t="array" ref="K2133" xml:space="preserve"> sentimentCalc(C2133)</f>
        <v>0</v>
      </c>
      <c r="L2133" t="str" cm="1">
        <f t="array" ref="L2133" xml:space="preserve"> sentimentCategory(K2133)</f>
        <v>Neutral</v>
      </c>
    </row>
    <row r="2134" spans="1:12">
      <c r="A2134" t="s">
        <v>2089</v>
      </c>
      <c r="B2134" t="s">
        <v>2088</v>
      </c>
      <c r="C2134" t="str" cm="1">
        <f t="array" ref="C2134" xml:space="preserve"> CleanText(B2134)</f>
        <v>please just let sokka be goofy</v>
      </c>
      <c r="D2134">
        <v>1</v>
      </c>
      <c r="E2134">
        <v>0</v>
      </c>
      <c r="F2134" t="s">
        <v>19</v>
      </c>
      <c r="G2134" t="str" cm="1">
        <f t="array" ref="G2134" xml:space="preserve"> FindCountryName(F2134)</f>
        <v>United States of America (the)</v>
      </c>
      <c r="H2134" s="1">
        <v>45277.839525462965</v>
      </c>
      <c r="I2134" s="1">
        <v>45277.839525462965</v>
      </c>
      <c r="J2134" s="1">
        <v>39193.826840277776</v>
      </c>
      <c r="K2134" cm="1">
        <f t="array" ref="K2134" xml:space="preserve"> sentimentCalc(C2134)</f>
        <v>1</v>
      </c>
      <c r="L2134" t="str" cm="1">
        <f t="array" ref="L2134" xml:space="preserve"> sentimentCategory(K2134)</f>
        <v>Positive</v>
      </c>
    </row>
    <row r="2135" spans="1:12">
      <c r="A2135" t="s">
        <v>730</v>
      </c>
      <c r="B2135" t="s">
        <v>2087</v>
      </c>
      <c r="C2135" t="str" cm="1">
        <f t="array" ref="C2135" xml:space="preserve"> CleanText(B2135)</f>
        <v>n</v>
      </c>
      <c r="D2135">
        <v>0</v>
      </c>
      <c r="E2135">
        <v>0</v>
      </c>
      <c r="F2135" t="s">
        <v>0</v>
      </c>
      <c r="G2135" t="str" cm="1">
        <f t="array" ref="G2135" xml:space="preserve"> FindCountryName(F2135)</f>
        <v>None</v>
      </c>
      <c r="H2135" s="1">
        <v>45277.81763888889</v>
      </c>
      <c r="I2135" s="1">
        <v>45277.81763888889</v>
      </c>
      <c r="J2135" s="1">
        <v>43365.894270833334</v>
      </c>
      <c r="K2135" cm="1">
        <f t="array" ref="K2135" xml:space="preserve"> sentimentCalc(C2135)</f>
        <v>0</v>
      </c>
      <c r="L2135" t="str" cm="1">
        <f t="array" ref="L2135" xml:space="preserve"> sentimentCategory(K2135)</f>
        <v>Neutral</v>
      </c>
    </row>
    <row r="2136" spans="1:12">
      <c r="A2136" t="s">
        <v>2086</v>
      </c>
      <c r="B2136" t="s">
        <v>2085</v>
      </c>
      <c r="C2136" t="str" cm="1">
        <f t="array" ref="C2136" xml:space="preserve"> CleanText(B2136)</f>
        <v>ohh come on netflix why isnt the water benders inuits god damn white washing again another shaymalan bs</v>
      </c>
      <c r="D2136">
        <v>0</v>
      </c>
      <c r="E2136">
        <v>4</v>
      </c>
      <c r="F2136" t="s">
        <v>0</v>
      </c>
      <c r="G2136" t="str" cm="1">
        <f t="array" ref="G2136" xml:space="preserve"> FindCountryName(F2136)</f>
        <v>None</v>
      </c>
      <c r="H2136" s="1">
        <v>45277.798032407409</v>
      </c>
      <c r="I2136" s="1">
        <v>45277.798032407409</v>
      </c>
      <c r="J2136" s="1">
        <v>40648.37709490741</v>
      </c>
      <c r="K2136" cm="1">
        <f t="array" ref="K2136" xml:space="preserve"> sentimentCalc(C2136)</f>
        <v>-3</v>
      </c>
      <c r="L2136" t="str" cm="1">
        <f t="array" ref="L2136" xml:space="preserve"> sentimentCategory(K2136)</f>
        <v>Negative</v>
      </c>
    </row>
    <row r="2137" spans="1:12">
      <c r="A2137" t="s">
        <v>1771</v>
      </c>
      <c r="B2137" t="s">
        <v>2084</v>
      </c>
      <c r="C2137" t="str" cm="1">
        <f t="array" ref="C2137" xml:space="preserve"> CleanText(B2137)</f>
        <v>so waityoure saying well get another cool live action remake after one piece!</v>
      </c>
      <c r="D2137">
        <v>1</v>
      </c>
      <c r="E2137">
        <v>0</v>
      </c>
      <c r="F2137" t="s">
        <v>2083</v>
      </c>
      <c r="G2137" t="str" cm="1">
        <f t="array" ref="G2137" xml:space="preserve"> FindCountryName(F2137)</f>
        <v>Italy</v>
      </c>
      <c r="H2137" s="1">
        <v>45277.777557870373</v>
      </c>
      <c r="I2137" s="1">
        <v>45277.777557870373</v>
      </c>
      <c r="J2137" s="1">
        <v>42438.633680555555</v>
      </c>
      <c r="K2137" cm="1">
        <f t="array" ref="K2137" xml:space="preserve"> sentimentCalc(C2137)</f>
        <v>1</v>
      </c>
      <c r="L2137" t="str" cm="1">
        <f t="array" ref="L2137" xml:space="preserve"> sentimentCategory(K2137)</f>
        <v>Positive</v>
      </c>
    </row>
    <row r="2138" spans="1:12">
      <c r="A2138" t="s">
        <v>2082</v>
      </c>
      <c r="B2138" t="s">
        <v>2081</v>
      </c>
      <c r="C2138" t="str" cm="1">
        <f t="array" ref="C2138" xml:space="preserve"> CleanText(B2138)</f>
        <v>eh ive seen this story do something new</v>
      </c>
      <c r="D2138">
        <v>0</v>
      </c>
      <c r="E2138">
        <v>0</v>
      </c>
      <c r="F2138" t="s">
        <v>0</v>
      </c>
      <c r="G2138" t="str" cm="1">
        <f t="array" ref="G2138" xml:space="preserve"> FindCountryName(F2138)</f>
        <v>None</v>
      </c>
      <c r="H2138" s="1">
        <v>45277.771064814813</v>
      </c>
      <c r="I2138" s="1">
        <v>45277.771064814813</v>
      </c>
      <c r="J2138" s="1">
        <v>38932.794120370374</v>
      </c>
      <c r="K2138" cm="1">
        <f t="array" ref="K2138" xml:space="preserve"> sentimentCalc(C2138)</f>
        <v>0</v>
      </c>
      <c r="L2138" t="str" cm="1">
        <f t="array" ref="L2138" xml:space="preserve"> sentimentCategory(K2138)</f>
        <v>Neutral</v>
      </c>
    </row>
    <row r="2139" spans="1:12">
      <c r="A2139" t="s">
        <v>1084</v>
      </c>
      <c r="B2139" t="s">
        <v>2080</v>
      </c>
      <c r="C2139" t="str" cm="1">
        <f t="array" ref="C2139" xml:space="preserve"> CleanText(B2139)</f>
        <v>i cant get over how weird sokka looks</v>
      </c>
      <c r="D2139">
        <v>0</v>
      </c>
      <c r="E2139">
        <v>0</v>
      </c>
      <c r="F2139" t="s">
        <v>0</v>
      </c>
      <c r="G2139" t="str" cm="1">
        <f t="array" ref="G2139" xml:space="preserve"> FindCountryName(F2139)</f>
        <v>None</v>
      </c>
      <c r="H2139" s="1">
        <v>45277.746388888889</v>
      </c>
      <c r="I2139" s="1">
        <v>45277.746388888889</v>
      </c>
      <c r="J2139" s="1">
        <v>41548.82949074074</v>
      </c>
      <c r="K2139" cm="1">
        <f t="array" ref="K2139" xml:space="preserve"> sentimentCalc(C2139)</f>
        <v>-2</v>
      </c>
      <c r="L2139" t="str" cm="1">
        <f t="array" ref="L2139" xml:space="preserve"> sentimentCategory(K2139)</f>
        <v>Negative</v>
      </c>
    </row>
    <row r="2140" spans="1:12">
      <c r="A2140" t="s">
        <v>2079</v>
      </c>
      <c r="B2140" t="s">
        <v>2078</v>
      </c>
      <c r="C2140" t="str" cm="1">
        <f t="array" ref="C2140" xml:space="preserve"> CleanText(B2140)</f>
        <v>ouh that look promisingif it gets dvd or blueray i migth watch it</v>
      </c>
      <c r="D2140">
        <v>0</v>
      </c>
      <c r="E2140">
        <v>0</v>
      </c>
      <c r="F2140" t="s">
        <v>0</v>
      </c>
      <c r="G2140" t="str" cm="1">
        <f t="array" ref="G2140" xml:space="preserve"> FindCountryName(F2140)</f>
        <v>None</v>
      </c>
      <c r="H2140" s="1">
        <v>45277.740636574075</v>
      </c>
      <c r="I2140" s="1">
        <v>45277.740636574075</v>
      </c>
      <c r="J2140" s="1">
        <v>41741.260381944441</v>
      </c>
      <c r="K2140" cm="1">
        <f t="array" ref="K2140" xml:space="preserve"> sentimentCalc(C2140)</f>
        <v>0</v>
      </c>
      <c r="L2140" t="str" cm="1">
        <f t="array" ref="L2140" xml:space="preserve"> sentimentCategory(K2140)</f>
        <v>Neutral</v>
      </c>
    </row>
    <row r="2141" spans="1:12">
      <c r="A2141" t="s">
        <v>926</v>
      </c>
      <c r="B2141" t="s">
        <v>2077</v>
      </c>
      <c r="C2141" t="str" cm="1">
        <f t="array" ref="C2141" xml:space="preserve"> CleanText(B2141)</f>
        <v>looks dumber then the movie</v>
      </c>
      <c r="D2141">
        <v>0</v>
      </c>
      <c r="E2141">
        <v>0</v>
      </c>
      <c r="F2141" t="s">
        <v>0</v>
      </c>
      <c r="G2141" t="str" cm="1">
        <f t="array" ref="G2141" xml:space="preserve"> FindCountryName(F2141)</f>
        <v>None</v>
      </c>
      <c r="H2141" s="1">
        <v>45277.734305555554</v>
      </c>
      <c r="I2141" s="1">
        <v>45277.734305555554</v>
      </c>
      <c r="J2141" s="1">
        <v>42625.840092592596</v>
      </c>
      <c r="K2141" cm="1">
        <f t="array" ref="K2141" xml:space="preserve"> sentimentCalc(C2141)</f>
        <v>0</v>
      </c>
      <c r="L2141" t="str" cm="1">
        <f t="array" ref="L2141" xml:space="preserve"> sentimentCategory(K2141)</f>
        <v>Neutral</v>
      </c>
    </row>
    <row r="2142" spans="1:12">
      <c r="A2142" t="s">
        <v>603</v>
      </c>
      <c r="B2142" t="s">
        <v>2076</v>
      </c>
      <c r="C2142" t="str" cm="1">
        <f t="array" ref="C2142" xml:space="preserve"> CleanText(B2142)</f>
        <v>both katara and sokka are whitewashed</v>
      </c>
      <c r="D2142">
        <v>0</v>
      </c>
      <c r="E2142">
        <v>2</v>
      </c>
      <c r="F2142" t="s">
        <v>39</v>
      </c>
      <c r="G2142" t="str" cm="1">
        <f t="array" ref="G2142" xml:space="preserve"> FindCountryName(F2142)</f>
        <v>United Kingdom of Great Britain and Northern Ireland (the)</v>
      </c>
      <c r="H2142" s="1">
        <v>45277.711319444446</v>
      </c>
      <c r="I2142" s="1">
        <v>45277.711319444446</v>
      </c>
      <c r="J2142" s="1">
        <v>42642.598275462966</v>
      </c>
      <c r="K2142" cm="1">
        <f t="array" ref="K2142" xml:space="preserve"> sentimentCalc(C2142)</f>
        <v>0</v>
      </c>
      <c r="L2142" t="str" cm="1">
        <f t="array" ref="L2142" xml:space="preserve"> sentimentCategory(K2142)</f>
        <v>Neutral</v>
      </c>
    </row>
    <row r="2143" spans="1:12">
      <c r="A2143" t="s">
        <v>814</v>
      </c>
      <c r="B2143" t="s">
        <v>2075</v>
      </c>
      <c r="C2143" t="str" cm="1">
        <f t="array" ref="C2143" xml:space="preserve"> CleanText(B2143)</f>
        <v>it looks amazing im excited can i just say except for the fact that katara looks like aangs mom or something their age difference looks huge in here its probably gonna look weird  _xDE05_ i hope im wrong also i cried when i saw appaaaa looooveee</v>
      </c>
      <c r="D2143">
        <v>0</v>
      </c>
      <c r="E2143">
        <v>3</v>
      </c>
      <c r="F2143" t="s">
        <v>0</v>
      </c>
      <c r="G2143" t="str" cm="1">
        <f t="array" ref="G2143" xml:space="preserve"> FindCountryName(F2143)</f>
        <v>None</v>
      </c>
      <c r="H2143" s="1">
        <v>45277.710393518515</v>
      </c>
      <c r="I2143" s="1">
        <v>45277.713726851849</v>
      </c>
      <c r="J2143" s="1">
        <v>41614.017442129632</v>
      </c>
      <c r="K2143" cm="1">
        <f t="array" ref="K2143" xml:space="preserve"> sentimentCalc(C2143)</f>
        <v>6</v>
      </c>
      <c r="L2143" t="str" cm="1">
        <f t="array" ref="L2143" xml:space="preserve"> sentimentCategory(K2143)</f>
        <v>Positive</v>
      </c>
    </row>
    <row r="2144" spans="1:12">
      <c r="A2144" t="s">
        <v>1221</v>
      </c>
      <c r="B2144" t="s">
        <v>2074</v>
      </c>
      <c r="C2144" t="str" cm="1">
        <f t="array" ref="C2144" xml:space="preserve"> CleanText(B2144)</f>
        <v>this teaser alone already put the movie to shame this trailer looks bad ass and i am excited cant wait for this to come out great job on the actors the cgi the kid whos playing aang im watching this trailer with a big smile on my face</v>
      </c>
      <c r="D2144">
        <v>15</v>
      </c>
      <c r="E2144">
        <v>0</v>
      </c>
      <c r="F2144" t="s">
        <v>0</v>
      </c>
      <c r="G2144" t="str" cm="1">
        <f t="array" ref="G2144" xml:space="preserve"> FindCountryName(F2144)</f>
        <v>None</v>
      </c>
      <c r="H2144" s="1">
        <v>45277.680335648147</v>
      </c>
      <c r="I2144" s="1">
        <v>45277.680335648147</v>
      </c>
      <c r="J2144" s="1">
        <v>40160.988217592596</v>
      </c>
      <c r="K2144" cm="1">
        <f t="array" ref="K2144" xml:space="preserve"> sentimentCalc(C2144)</f>
        <v>-2</v>
      </c>
      <c r="L2144" t="str" cm="1">
        <f t="array" ref="L2144" xml:space="preserve"> sentimentCategory(K2144)</f>
        <v>Negative</v>
      </c>
    </row>
    <row r="2145" spans="1:12">
      <c r="A2145" t="s">
        <v>210</v>
      </c>
      <c r="B2145" t="s">
        <v>2073</v>
      </c>
      <c r="C2145" t="str" cm="1">
        <f t="array" ref="C2145" xml:space="preserve"> CleanText(B2145)</f>
        <v>maximum cringe</v>
      </c>
      <c r="D2145">
        <v>0</v>
      </c>
      <c r="E2145">
        <v>0</v>
      </c>
      <c r="F2145" t="s">
        <v>0</v>
      </c>
      <c r="G2145" t="str" cm="1">
        <f t="array" ref="G2145" xml:space="preserve"> FindCountryName(F2145)</f>
        <v>None</v>
      </c>
      <c r="H2145" s="1">
        <v>45277.661666666667</v>
      </c>
      <c r="I2145" s="1">
        <v>45277.661666666667</v>
      </c>
      <c r="J2145" s="1">
        <v>43789.40966435185</v>
      </c>
      <c r="K2145" cm="1">
        <f t="array" ref="K2145" xml:space="preserve"> sentimentCalc(C2145)</f>
        <v>0</v>
      </c>
      <c r="L2145" t="str" cm="1">
        <f t="array" ref="L2145" xml:space="preserve"> sentimentCategory(K2145)</f>
        <v>Neutral</v>
      </c>
    </row>
    <row r="2146" spans="1:12">
      <c r="A2146" t="s">
        <v>1361</v>
      </c>
      <c r="B2146" t="s">
        <v>2072</v>
      </c>
      <c r="C2146" t="str" cm="1">
        <f t="array" ref="C2146" xml:space="preserve"> CleanText(B2146)</f>
        <v>i think theyre gonna get it right this time for sure im excited for it</v>
      </c>
      <c r="D2146">
        <v>6</v>
      </c>
      <c r="E2146">
        <v>0</v>
      </c>
      <c r="F2146" t="s">
        <v>0</v>
      </c>
      <c r="G2146" t="str" cm="1">
        <f t="array" ref="G2146" xml:space="preserve"> FindCountryName(F2146)</f>
        <v>None</v>
      </c>
      <c r="H2146" s="1">
        <v>45277.657314814816</v>
      </c>
      <c r="I2146" s="1">
        <v>45277.657314814816</v>
      </c>
      <c r="J2146" s="1">
        <v>41770.402395833335</v>
      </c>
      <c r="K2146" cm="1">
        <f t="array" ref="K2146" xml:space="preserve"> sentimentCalc(C2146)</f>
        <v>3</v>
      </c>
      <c r="L2146" t="str" cm="1">
        <f t="array" ref="L2146" xml:space="preserve"> sentimentCategory(K2146)</f>
        <v>Positive</v>
      </c>
    </row>
    <row r="2147" spans="1:12">
      <c r="A2147" t="s">
        <v>2071</v>
      </c>
      <c r="B2147" t="s">
        <v>2070</v>
      </c>
      <c r="C2147" t="str" cm="1">
        <f t="array" ref="C2147" xml:space="preserve"> CleanText(B2147)</f>
        <v>у  ы   кя к гд   фк n</v>
      </c>
      <c r="D2147">
        <v>0</v>
      </c>
      <c r="E2147">
        <v>0</v>
      </c>
      <c r="F2147" t="s">
        <v>0</v>
      </c>
      <c r="G2147" t="str" cm="1">
        <f t="array" ref="G2147" xml:space="preserve"> FindCountryName(F2147)</f>
        <v>None</v>
      </c>
      <c r="H2147" s="1">
        <v>45277.653055555558</v>
      </c>
      <c r="I2147" s="1">
        <v>45277.653055555558</v>
      </c>
      <c r="J2147" s="1">
        <v>41253.468645833331</v>
      </c>
      <c r="K2147" cm="1">
        <f t="array" ref="K2147" xml:space="preserve"> sentimentCalc(C2147)</f>
        <v>0</v>
      </c>
      <c r="L2147" t="str" cm="1">
        <f t="array" ref="L2147" xml:space="preserve"> sentimentCategory(K2147)</f>
        <v>Neutral</v>
      </c>
    </row>
    <row r="2148" spans="1:12">
      <c r="A2148" t="s">
        <v>340</v>
      </c>
      <c r="B2148" t="s">
        <v>2069</v>
      </c>
      <c r="C2148" t="str" cm="1">
        <f t="array" ref="C2148" xml:space="preserve"> CleanText(B2148)</f>
        <v>(feb  4 mannnnn im so excited for this</v>
      </c>
      <c r="D2148">
        <v>0</v>
      </c>
      <c r="E2148">
        <v>3</v>
      </c>
      <c r="F2148" t="s">
        <v>0</v>
      </c>
      <c r="G2148" t="str" cm="1">
        <f t="array" ref="G2148" xml:space="preserve"> FindCountryName(F2148)</f>
        <v>None</v>
      </c>
      <c r="H2148" s="1">
        <v>45277.648923611108</v>
      </c>
      <c r="I2148" s="1">
        <v>45277.648923611108</v>
      </c>
      <c r="J2148" s="1">
        <v>41206.482789351852</v>
      </c>
      <c r="K2148" cm="1">
        <f t="array" ref="K2148" xml:space="preserve"> sentimentCalc(C2148)</f>
        <v>3</v>
      </c>
      <c r="L2148" t="str" cm="1">
        <f t="array" ref="L2148" xml:space="preserve"> sentimentCategory(K2148)</f>
        <v>Positive</v>
      </c>
    </row>
    <row r="2149" spans="1:12">
      <c r="A2149" t="s">
        <v>411</v>
      </c>
      <c r="B2149" t="s">
        <v>2068</v>
      </c>
      <c r="C2149" t="str" cm="1">
        <f t="array" ref="C2149" xml:space="preserve"> CleanText(B2149)</f>
        <v>now hollywood is realizing that character costumes being more accurate to the source material can actually look good</v>
      </c>
      <c r="D2149">
        <v>0</v>
      </c>
      <c r="E2149">
        <v>0</v>
      </c>
      <c r="F2149" t="s">
        <v>0</v>
      </c>
      <c r="G2149" t="str" cm="1">
        <f t="array" ref="G2149" xml:space="preserve"> FindCountryName(F2149)</f>
        <v>None</v>
      </c>
      <c r="H2149" s="1">
        <v>45277.638159722221</v>
      </c>
      <c r="I2149" s="1">
        <v>45277.638159722221</v>
      </c>
      <c r="J2149" s="1">
        <v>39346.847951388889</v>
      </c>
      <c r="K2149" cm="1">
        <f t="array" ref="K2149" xml:space="preserve"> sentimentCalc(C2149)</f>
        <v>3</v>
      </c>
      <c r="L2149" t="str" cm="1">
        <f t="array" ref="L2149" xml:space="preserve"> sentimentCategory(K2149)</f>
        <v>Positive</v>
      </c>
    </row>
    <row r="2150" spans="1:12">
      <c r="A2150" t="s">
        <v>2067</v>
      </c>
      <c r="B2150" t="s">
        <v>2066</v>
      </c>
      <c r="C2150" t="str" cm="1">
        <f t="array" ref="C2150" xml:space="preserve"> CleanText(B2150)</f>
        <v>l</v>
      </c>
      <c r="D2150">
        <v>0</v>
      </c>
      <c r="E2150">
        <v>0</v>
      </c>
      <c r="F2150" t="s">
        <v>0</v>
      </c>
      <c r="G2150" t="str" cm="1">
        <f t="array" ref="G2150" xml:space="preserve"> FindCountryName(F2150)</f>
        <v>None</v>
      </c>
      <c r="H2150" s="1">
        <v>45277.637789351851</v>
      </c>
      <c r="I2150" s="1">
        <v>45277.637789351851</v>
      </c>
      <c r="J2150" s="1">
        <v>44767.816122685188</v>
      </c>
      <c r="K2150" cm="1">
        <f t="array" ref="K2150" xml:space="preserve"> sentimentCalc(C2150)</f>
        <v>0</v>
      </c>
      <c r="L2150" t="str" cm="1">
        <f t="array" ref="L2150" xml:space="preserve"> sentimentCategory(K2150)</f>
        <v>Neutral</v>
      </c>
    </row>
    <row r="2151" spans="1:12">
      <c r="A2151" t="s">
        <v>2065</v>
      </c>
      <c r="B2151" t="s">
        <v>2064</v>
      </c>
      <c r="C2151" t="str" cm="1">
        <f t="array" ref="C2151" xml:space="preserve"> CleanText(B2151)</f>
        <v>honestly i just cant understand ppl anymore cgi looks very cheap here casting hit and miss an yet everyone hyping this up</v>
      </c>
      <c r="D2151">
        <v>0</v>
      </c>
      <c r="E2151">
        <v>0</v>
      </c>
      <c r="F2151" t="s">
        <v>0</v>
      </c>
      <c r="G2151" t="str" cm="1">
        <f t="array" ref="G2151" xml:space="preserve"> FindCountryName(F2151)</f>
        <v>None</v>
      </c>
      <c r="H2151" s="1">
        <v>45277.600613425922</v>
      </c>
      <c r="I2151" s="1">
        <v>45277.600613425922</v>
      </c>
      <c r="J2151" s="1">
        <v>40918.642511574071</v>
      </c>
      <c r="K2151" cm="1">
        <f t="array" ref="K2151" xml:space="preserve"> sentimentCalc(C2151)</f>
        <v>-2</v>
      </c>
      <c r="L2151" t="str" cm="1">
        <f t="array" ref="L2151" xml:space="preserve"> sentimentCategory(K2151)</f>
        <v>Negative</v>
      </c>
    </row>
    <row r="2152" spans="1:12">
      <c r="A2152" t="s">
        <v>2063</v>
      </c>
      <c r="B2152" t="s">
        <v>2062</v>
      </c>
      <c r="C2152" t="str" cm="1">
        <f t="array" ref="C2152" xml:space="preserve"> CleanText(B2152)</f>
        <v>wow the cgi looks quite good im glad appa doesnt look creepy lol</v>
      </c>
      <c r="D2152">
        <v>1</v>
      </c>
      <c r="E2152">
        <v>0</v>
      </c>
      <c r="F2152" t="s">
        <v>39</v>
      </c>
      <c r="G2152" t="str" cm="1">
        <f t="array" ref="G2152" xml:space="preserve"> FindCountryName(F2152)</f>
        <v>United Kingdom of Great Britain and Northern Ireland (the)</v>
      </c>
      <c r="H2152" s="1">
        <v>45277.587719907409</v>
      </c>
      <c r="I2152" s="1">
        <v>45277.587719907409</v>
      </c>
      <c r="J2152" s="1">
        <v>42784.534386574072</v>
      </c>
      <c r="K2152" cm="1">
        <f t="array" ref="K2152" xml:space="preserve"> sentimentCalc(C2152)</f>
        <v>10</v>
      </c>
      <c r="L2152" t="str" cm="1">
        <f t="array" ref="L2152" xml:space="preserve"> sentimentCategory(K2152)</f>
        <v>Positive</v>
      </c>
    </row>
    <row r="2153" spans="1:12">
      <c r="A2153" t="s">
        <v>180</v>
      </c>
      <c r="B2153" t="s">
        <v>2061</v>
      </c>
      <c r="C2153" t="str" cm="1">
        <f t="array" ref="C2153" xml:space="preserve"> CleanText(B2153)</f>
        <v>the last kid who play him was more charismatic why the changed</v>
      </c>
      <c r="D2153">
        <v>0</v>
      </c>
      <c r="E2153">
        <v>3</v>
      </c>
      <c r="F2153" t="s">
        <v>0</v>
      </c>
      <c r="G2153" t="str" cm="1">
        <f t="array" ref="G2153" xml:space="preserve"> FindCountryName(F2153)</f>
        <v>None</v>
      </c>
      <c r="H2153" s="1">
        <v>45277.464895833335</v>
      </c>
      <c r="I2153" s="1">
        <v>45277.464895833335</v>
      </c>
      <c r="J2153" s="1">
        <v>42216.642152777778</v>
      </c>
      <c r="K2153" cm="1">
        <f t="array" ref="K2153" xml:space="preserve"> sentimentCalc(C2153)</f>
        <v>0</v>
      </c>
      <c r="L2153" t="str" cm="1">
        <f t="array" ref="L2153" xml:space="preserve"> sentimentCategory(K2153)</f>
        <v>Neutral</v>
      </c>
    </row>
    <row r="2154" spans="1:12">
      <c r="A2154" t="s">
        <v>2060</v>
      </c>
      <c r="B2154" t="s">
        <v>2059</v>
      </c>
      <c r="C2154" t="str" cm="1">
        <f t="array" ref="C2154" xml:space="preserve"> CleanText(B2154)</f>
        <v>avatar last air bender is probably my most highly rated tv show of all time  and thats only after seeing it for the first time in   long after seeing breaking bad and game of thrones and thinking nothing would ever beat those shows  and of all things it was a kids show incredible really  with that said  i can safely say that this recreation will be inferior if anything they should have updated the animation and sound of the old series i am not looking forward to a live recreation at all and as always with most modern content they will find a way to ruin it</v>
      </c>
      <c r="D2154">
        <v>0</v>
      </c>
      <c r="E2154">
        <v>0</v>
      </c>
      <c r="F2154" t="s">
        <v>0</v>
      </c>
      <c r="G2154" t="str" cm="1">
        <f t="array" ref="G2154" xml:space="preserve"> FindCountryName(F2154)</f>
        <v>None</v>
      </c>
      <c r="H2154" s="1">
        <v>45277.455740740741</v>
      </c>
      <c r="I2154" s="1">
        <v>45277.455740740741</v>
      </c>
      <c r="J2154" s="1">
        <v>39786.186956018515</v>
      </c>
      <c r="K2154" cm="1">
        <f t="array" ref="K2154" xml:space="preserve"> sentimentCalc(C2154)</f>
        <v>-6</v>
      </c>
      <c r="L2154" t="str" cm="1">
        <f t="array" ref="L2154" xml:space="preserve"> sentimentCategory(K2154)</f>
        <v>Negative</v>
      </c>
    </row>
    <row r="2155" spans="1:12">
      <c r="A2155" t="s">
        <v>317</v>
      </c>
      <c r="B2155" t="s">
        <v>2058</v>
      </c>
      <c r="C2155" t="str" cm="1">
        <f t="array" ref="C2155" xml:space="preserve"> CleanText(B2155)</f>
        <v>netflix make the witcher and ruined it and they are going do the same with this</v>
      </c>
      <c r="D2155">
        <v>0</v>
      </c>
      <c r="E2155">
        <v>0</v>
      </c>
      <c r="F2155" t="s">
        <v>0</v>
      </c>
      <c r="G2155" t="str" cm="1">
        <f t="array" ref="G2155" xml:space="preserve"> FindCountryName(F2155)</f>
        <v>None</v>
      </c>
      <c r="H2155" s="1">
        <v>45277.453125</v>
      </c>
      <c r="I2155" s="1">
        <v>45277.453125</v>
      </c>
      <c r="J2155" s="1">
        <v>41633.373020833336</v>
      </c>
      <c r="K2155" cm="1">
        <f t="array" ref="K2155" xml:space="preserve"> sentimentCalc(C2155)</f>
        <v>-2</v>
      </c>
      <c r="L2155" t="str" cm="1">
        <f t="array" ref="L2155" xml:space="preserve"> sentimentCategory(K2155)</f>
        <v>Negative</v>
      </c>
    </row>
    <row r="2156" spans="1:12">
      <c r="A2156" t="s">
        <v>2057</v>
      </c>
      <c r="B2156" t="s">
        <v>2056</v>
      </c>
      <c r="C2156" t="str" cm="1">
        <f t="array" ref="C2156" xml:space="preserve"> CleanText(B2156)</f>
        <v>this is fire _xDD25_ or should i say this is air _xD83C_</v>
      </c>
      <c r="D2156">
        <v>0</v>
      </c>
      <c r="E2156">
        <v>0</v>
      </c>
      <c r="F2156" t="s">
        <v>98</v>
      </c>
      <c r="G2156" t="str" cm="1">
        <f t="array" ref="G2156" xml:space="preserve"> FindCountryName(F2156)</f>
        <v>India</v>
      </c>
      <c r="H2156" s="1">
        <v>45277.441261574073</v>
      </c>
      <c r="I2156" s="1">
        <v>45277.441261574073</v>
      </c>
      <c r="J2156" s="1">
        <v>43930.24659722222</v>
      </c>
      <c r="K2156" cm="1">
        <f t="array" ref="K2156" xml:space="preserve"> sentimentCalc(C2156)</f>
        <v>-2</v>
      </c>
      <c r="L2156" t="str" cm="1">
        <f t="array" ref="L2156" xml:space="preserve"> sentimentCategory(K2156)</f>
        <v>Negative</v>
      </c>
    </row>
    <row r="2157" spans="1:12">
      <c r="A2157" t="s">
        <v>598</v>
      </c>
      <c r="B2157" t="s">
        <v>2055</v>
      </c>
      <c r="C2157" t="str" cm="1">
        <f t="array" ref="C2157" xml:space="preserve"> CleanText(B2157)</f>
        <v>lets hope one piece broke the curse</v>
      </c>
      <c r="D2157">
        <v>1</v>
      </c>
      <c r="E2157">
        <v>0</v>
      </c>
      <c r="F2157" t="s">
        <v>0</v>
      </c>
      <c r="G2157" t="str" cm="1">
        <f t="array" ref="G2157" xml:space="preserve"> FindCountryName(F2157)</f>
        <v>None</v>
      </c>
      <c r="H2157" s="1">
        <v>45277.434201388889</v>
      </c>
      <c r="I2157" s="1">
        <v>45277.434201388889</v>
      </c>
      <c r="J2157" s="1">
        <v>44992.849236111113</v>
      </c>
      <c r="K2157" cm="1">
        <f t="array" ref="K2157" xml:space="preserve"> sentimentCalc(C2157)</f>
        <v>0</v>
      </c>
      <c r="L2157" t="str" cm="1">
        <f t="array" ref="L2157" xml:space="preserve"> sentimentCategory(K2157)</f>
        <v>Neutral</v>
      </c>
    </row>
    <row r="2158" spans="1:12">
      <c r="A2158" t="s">
        <v>1776</v>
      </c>
      <c r="B2158" t="s">
        <v>2054</v>
      </c>
      <c r="C2158" t="str" cm="1">
        <f t="array" ref="C2158" xml:space="preserve"> CleanText(B2158)</f>
        <v>cartoon serie version always stay best in our memories this movie looks suck against it  sad but truth</v>
      </c>
      <c r="D2158">
        <v>0</v>
      </c>
      <c r="E2158">
        <v>0</v>
      </c>
      <c r="F2158" t="s">
        <v>0</v>
      </c>
      <c r="G2158" t="str" cm="1">
        <f t="array" ref="G2158" xml:space="preserve"> FindCountryName(F2158)</f>
        <v>None</v>
      </c>
      <c r="H2158" s="1">
        <v>45277.43173611111</v>
      </c>
      <c r="I2158" s="1">
        <v>45277.43173611111</v>
      </c>
      <c r="J2158" s="1">
        <v>42916.551192129627</v>
      </c>
      <c r="K2158" cm="1">
        <f t="array" ref="K2158" xml:space="preserve"> sentimentCalc(C2158)</f>
        <v>-2</v>
      </c>
      <c r="L2158" t="str" cm="1">
        <f t="array" ref="L2158" xml:space="preserve"> sentimentCategory(K2158)</f>
        <v>Negative</v>
      </c>
    </row>
    <row r="2159" spans="1:12">
      <c r="A2159" t="s">
        <v>786</v>
      </c>
      <c r="B2159" t="s">
        <v>2053</v>
      </c>
      <c r="C2159" t="str" cm="1">
        <f t="array" ref="C2159" xml:space="preserve"> CleanText(B2159)</f>
        <v>you have a responsibility netflix</v>
      </c>
      <c r="D2159">
        <v>0</v>
      </c>
      <c r="E2159">
        <v>0</v>
      </c>
      <c r="F2159" t="s">
        <v>0</v>
      </c>
      <c r="G2159" t="str" cm="1">
        <f t="array" ref="G2159" xml:space="preserve"> FindCountryName(F2159)</f>
        <v>None</v>
      </c>
      <c r="H2159" s="1">
        <v>45277.403819444444</v>
      </c>
      <c r="I2159" s="1">
        <v>45277.403819444444</v>
      </c>
      <c r="J2159" s="1">
        <v>44522.579212962963</v>
      </c>
      <c r="K2159" cm="1">
        <f t="array" ref="K2159" xml:space="preserve"> sentimentCalc(C2159)</f>
        <v>0</v>
      </c>
      <c r="L2159" t="str" cm="1">
        <f t="array" ref="L2159" xml:space="preserve"> sentimentCategory(K2159)</f>
        <v>Neutral</v>
      </c>
    </row>
    <row r="2160" spans="1:12">
      <c r="A2160" t="s">
        <v>38</v>
      </c>
      <c r="B2160" t="s">
        <v>2052</v>
      </c>
      <c r="C2160" t="str" cm="1">
        <f t="array" ref="C2160" xml:space="preserve"> CleanText(B2160)</f>
        <v>cant wait this legendary story</v>
      </c>
      <c r="D2160">
        <v>0</v>
      </c>
      <c r="E2160">
        <v>0</v>
      </c>
      <c r="F2160" t="s">
        <v>0</v>
      </c>
      <c r="G2160" t="str" cm="1">
        <f t="array" ref="G2160" xml:space="preserve"> FindCountryName(F2160)</f>
        <v>None</v>
      </c>
      <c r="H2160" s="1">
        <v>45277.378564814811</v>
      </c>
      <c r="I2160" s="1">
        <v>45277.378564814811</v>
      </c>
      <c r="J2160" s="1">
        <v>44392.101956018516</v>
      </c>
      <c r="K2160" cm="1">
        <f t="array" ref="K2160" xml:space="preserve"> sentimentCalc(C2160)</f>
        <v>0</v>
      </c>
      <c r="L2160" t="str" cm="1">
        <f t="array" ref="L2160" xml:space="preserve"> sentimentCategory(K2160)</f>
        <v>Neutral</v>
      </c>
    </row>
    <row r="2161" spans="1:12">
      <c r="A2161" t="s">
        <v>1338</v>
      </c>
      <c r="B2161" t="s">
        <v>2051</v>
      </c>
      <c r="C2161" t="str" cm="1">
        <f t="array" ref="C2161" xml:space="preserve"> CleanText(B2161)</f>
        <v>just decided im rewatching the show again</v>
      </c>
      <c r="D2161">
        <v>0</v>
      </c>
      <c r="E2161">
        <v>0</v>
      </c>
      <c r="F2161" t="s">
        <v>0</v>
      </c>
      <c r="G2161" t="str" cm="1">
        <f t="array" ref="G2161" xml:space="preserve"> FindCountryName(F2161)</f>
        <v>None</v>
      </c>
      <c r="H2161" s="1">
        <v>45277.305208333331</v>
      </c>
      <c r="I2161" s="1">
        <v>45277.305208333331</v>
      </c>
      <c r="J2161" s="1">
        <v>45045.677939814814</v>
      </c>
      <c r="K2161" cm="1">
        <f t="array" ref="K2161" xml:space="preserve"> sentimentCalc(C2161)</f>
        <v>0</v>
      </c>
      <c r="L2161" t="str" cm="1">
        <f t="array" ref="L2161" xml:space="preserve"> sentimentCategory(K2161)</f>
        <v>Neutral</v>
      </c>
    </row>
    <row r="2162" spans="1:12">
      <c r="A2162" t="s">
        <v>661</v>
      </c>
      <c r="B2162" t="s">
        <v>2050</v>
      </c>
      <c r="C2162" t="str" cm="1">
        <f t="array" ref="C2162" xml:space="preserve"> CleanText(B2162)</f>
        <v>just hope they manage a decent movie because the cgi in the trailer is pretty good</v>
      </c>
      <c r="D2162">
        <v>0</v>
      </c>
      <c r="E2162">
        <v>0</v>
      </c>
      <c r="F2162" t="s">
        <v>0</v>
      </c>
      <c r="G2162" t="str" cm="1">
        <f t="array" ref="G2162" xml:space="preserve"> FindCountryName(F2162)</f>
        <v>None</v>
      </c>
      <c r="H2162" s="1">
        <v>45277.30259259259</v>
      </c>
      <c r="I2162" s="1">
        <v>45277.30259259259</v>
      </c>
      <c r="J2162" s="1">
        <v>44788.398101851853</v>
      </c>
      <c r="K2162" cm="1">
        <f t="array" ref="K2162" xml:space="preserve"> sentimentCalc(C2162)</f>
        <v>6</v>
      </c>
      <c r="L2162" t="str" cm="1">
        <f t="array" ref="L2162" xml:space="preserve"> sentimentCategory(K2162)</f>
        <v>Positive</v>
      </c>
    </row>
    <row r="2163" spans="1:12">
      <c r="A2163" t="s">
        <v>335</v>
      </c>
      <c r="B2163" t="s">
        <v>2049</v>
      </c>
      <c r="C2163" t="str" cm="1">
        <f t="array" ref="C2163" xml:space="preserve"> CleanText(B2163)</f>
        <v>finally they got a little chinese kid to play ang</v>
      </c>
      <c r="D2163">
        <v>1</v>
      </c>
      <c r="E2163">
        <v>0</v>
      </c>
      <c r="F2163" t="s">
        <v>0</v>
      </c>
      <c r="G2163" t="str" cm="1">
        <f t="array" ref="G2163" xml:space="preserve"> FindCountryName(F2163)</f>
        <v>None</v>
      </c>
      <c r="H2163" s="1">
        <v>45277.29546296296</v>
      </c>
      <c r="I2163" s="1">
        <v>45277.29546296296</v>
      </c>
      <c r="J2163" s="1">
        <v>41329.535358796296</v>
      </c>
      <c r="K2163" cm="1">
        <f t="array" ref="K2163" xml:space="preserve"> sentimentCalc(C2163)</f>
        <v>0</v>
      </c>
      <c r="L2163" t="str" cm="1">
        <f t="array" ref="L2163" xml:space="preserve"> sentimentCategory(K2163)</f>
        <v>Neutral</v>
      </c>
    </row>
    <row r="2164" spans="1:12">
      <c r="A2164" t="s">
        <v>2048</v>
      </c>
      <c r="B2164" t="s">
        <v>2047</v>
      </c>
      <c r="C2164" t="str" cm="1">
        <f t="array" ref="C2164" xml:space="preserve"> CleanText(B2164)</f>
        <v>how did they manage to whitewash the only two brown leads againedit ive been corrected great to hear the actors are indeed inuit already way better than the og movie good to see</v>
      </c>
      <c r="D2164">
        <v>0</v>
      </c>
      <c r="E2164">
        <v>6</v>
      </c>
      <c r="F2164" t="s">
        <v>19</v>
      </c>
      <c r="G2164" t="str" cm="1">
        <f t="array" ref="G2164" xml:space="preserve"> FindCountryName(F2164)</f>
        <v>United States of America (the)</v>
      </c>
      <c r="H2164" s="1">
        <v>45277.215567129628</v>
      </c>
      <c r="I2164" s="1">
        <v>45279.180451388886</v>
      </c>
      <c r="J2164" s="1">
        <v>41516.461423611108</v>
      </c>
      <c r="K2164" cm="1">
        <f t="array" ref="K2164" xml:space="preserve"> sentimentCalc(C2164)</f>
        <v>5</v>
      </c>
      <c r="L2164" t="str" cm="1">
        <f t="array" ref="L2164" xml:space="preserve"> sentimentCategory(K2164)</f>
        <v>Positive</v>
      </c>
    </row>
    <row r="2165" spans="1:12">
      <c r="A2165" t="s">
        <v>1150</v>
      </c>
      <c r="B2165" t="s">
        <v>2046</v>
      </c>
      <c r="C2165" t="str" cm="1">
        <f t="array" ref="C2165" xml:space="preserve"> CleanText(B2165)</f>
        <v>how many times do we have to teach you this lesson old man</v>
      </c>
      <c r="D2165">
        <v>0</v>
      </c>
      <c r="E2165">
        <v>0</v>
      </c>
      <c r="F2165" t="s">
        <v>0</v>
      </c>
      <c r="G2165" t="str" cm="1">
        <f t="array" ref="G2165" xml:space="preserve"> FindCountryName(F2165)</f>
        <v>None</v>
      </c>
      <c r="H2165" s="1">
        <v>45277.195196759261</v>
      </c>
      <c r="I2165" s="1">
        <v>45277.195196759261</v>
      </c>
      <c r="J2165" s="1">
        <v>42367.693171296298</v>
      </c>
      <c r="K2165" cm="1">
        <f t="array" ref="K2165" xml:space="preserve"> sentimentCalc(C2165)</f>
        <v>0</v>
      </c>
      <c r="L2165" t="str" cm="1">
        <f t="array" ref="L2165" xml:space="preserve"> sentimentCategory(K2165)</f>
        <v>Neutral</v>
      </c>
    </row>
    <row r="2166" spans="1:12">
      <c r="A2166" t="s">
        <v>38</v>
      </c>
      <c r="B2166" t="s">
        <v>2045</v>
      </c>
      <c r="C2166" t="str" cm="1">
        <f t="array" ref="C2166" xml:space="preserve"> CleanText(B2166)</f>
        <v>д р? n</v>
      </c>
      <c r="D2166">
        <v>0</v>
      </c>
      <c r="E2166">
        <v>0</v>
      </c>
      <c r="F2166" t="s">
        <v>0</v>
      </c>
      <c r="G2166" t="str" cm="1">
        <f t="array" ref="G2166" xml:space="preserve"> FindCountryName(F2166)</f>
        <v>None</v>
      </c>
      <c r="H2166" s="1">
        <v>45277.194456018522</v>
      </c>
      <c r="I2166" s="1">
        <v>45277.194456018522</v>
      </c>
      <c r="J2166" s="1">
        <v>43638.703263888892</v>
      </c>
      <c r="K2166" cm="1">
        <f t="array" ref="K2166" xml:space="preserve"> sentimentCalc(C2166)</f>
        <v>0</v>
      </c>
      <c r="L2166" t="str" cm="1">
        <f t="array" ref="L2166" xml:space="preserve"> sentimentCategory(K2166)</f>
        <v>Neutral</v>
      </c>
    </row>
    <row r="2167" spans="1:12">
      <c r="A2167" t="s">
        <v>2044</v>
      </c>
      <c r="B2167" t="s">
        <v>2043</v>
      </c>
      <c r="C2167" t="str" cm="1">
        <f t="array" ref="C2167" xml:space="preserve"> CleanText(B2167)</f>
        <v>catara y su hermano no eran blancos</v>
      </c>
      <c r="D2167">
        <v>0</v>
      </c>
      <c r="E2167">
        <v>3</v>
      </c>
      <c r="F2167" t="s">
        <v>0</v>
      </c>
      <c r="G2167" t="str" cm="1">
        <f t="array" ref="G2167" xml:space="preserve"> FindCountryName(F2167)</f>
        <v>None</v>
      </c>
      <c r="H2167" s="1">
        <v>45277.159722222219</v>
      </c>
      <c r="I2167" s="1">
        <v>45277.159722222219</v>
      </c>
      <c r="J2167" s="1">
        <v>45164.152453703704</v>
      </c>
      <c r="K2167" cm="1">
        <f t="array" ref="K2167" xml:space="preserve"> sentimentCalc(C2167)</f>
        <v>-1</v>
      </c>
      <c r="L2167" t="str" cm="1">
        <f t="array" ref="L2167" xml:space="preserve"> sentimentCategory(K2167)</f>
        <v>Negative</v>
      </c>
    </row>
    <row r="2168" spans="1:12">
      <c r="A2168" t="s">
        <v>2042</v>
      </c>
      <c r="B2168" t="s">
        <v>2041</v>
      </c>
      <c r="C2168" t="str" cm="1">
        <f t="array" ref="C2168" xml:space="preserve"> CleanText(B2168)</f>
        <v>у оь о до  ди n</v>
      </c>
      <c r="D2168">
        <v>0</v>
      </c>
      <c r="E2168">
        <v>0</v>
      </c>
      <c r="F2168" t="s">
        <v>0</v>
      </c>
      <c r="G2168" t="str" cm="1">
        <f t="array" ref="G2168" xml:space="preserve"> FindCountryName(F2168)</f>
        <v>None</v>
      </c>
      <c r="H2168" s="1">
        <v>45277.142060185186</v>
      </c>
      <c r="I2168" s="1">
        <v>45277.142060185186</v>
      </c>
      <c r="J2168" s="1">
        <v>41430.105370370373</v>
      </c>
      <c r="K2168" cm="1">
        <f t="array" ref="K2168" xml:space="preserve"> sentimentCalc(C2168)</f>
        <v>0</v>
      </c>
      <c r="L2168" t="str" cm="1">
        <f t="array" ref="L2168" xml:space="preserve"> sentimentCategory(K2168)</f>
        <v>Neutral</v>
      </c>
    </row>
    <row r="2169" spans="1:12">
      <c r="A2169" t="s">
        <v>58</v>
      </c>
      <c r="B2169" t="s">
        <v>2040</v>
      </c>
      <c r="C2169" t="str" cm="1">
        <f t="array" ref="C2169" xml:space="preserve"> CleanText(B2169)</f>
        <v>is it a series</v>
      </c>
      <c r="D2169">
        <v>0</v>
      </c>
      <c r="E2169">
        <v>0</v>
      </c>
      <c r="F2169" t="s">
        <v>0</v>
      </c>
      <c r="G2169" t="str" cm="1">
        <f t="array" ref="G2169" xml:space="preserve"> FindCountryName(F2169)</f>
        <v>None</v>
      </c>
      <c r="H2169" s="1">
        <v>45277.105682870373</v>
      </c>
      <c r="I2169" s="1">
        <v>45277.105682870373</v>
      </c>
      <c r="J2169" s="1">
        <v>44383.687685185185</v>
      </c>
      <c r="K2169" cm="1">
        <f t="array" ref="K2169" xml:space="preserve"> sentimentCalc(C2169)</f>
        <v>0</v>
      </c>
      <c r="L2169" t="str" cm="1">
        <f t="array" ref="L2169" xml:space="preserve"> sentimentCategory(K2169)</f>
        <v>Neutral</v>
      </c>
    </row>
    <row r="2170" spans="1:12">
      <c r="A2170" t="s">
        <v>317</v>
      </c>
      <c r="B2170" t="s">
        <v>2039</v>
      </c>
      <c r="C2170" t="str" cm="1">
        <f t="array" ref="C2170" xml:space="preserve"> CleanText(B2170)</f>
        <v>дм n</v>
      </c>
      <c r="D2170">
        <v>0</v>
      </c>
      <c r="E2170">
        <v>2</v>
      </c>
      <c r="F2170" t="s">
        <v>0</v>
      </c>
      <c r="G2170" t="str" cm="1">
        <f t="array" ref="G2170" xml:space="preserve"> FindCountryName(F2170)</f>
        <v>None</v>
      </c>
      <c r="H2170" s="1">
        <v>45277.085520833331</v>
      </c>
      <c r="I2170" s="1">
        <v>45277.085520833331</v>
      </c>
      <c r="J2170" s="1">
        <v>42115.166944444441</v>
      </c>
      <c r="K2170" cm="1">
        <f t="array" ref="K2170" xml:space="preserve"> sentimentCalc(C2170)</f>
        <v>0</v>
      </c>
      <c r="L2170" t="str" cm="1">
        <f t="array" ref="L2170" xml:space="preserve"> sentimentCategory(K2170)</f>
        <v>Neutral</v>
      </c>
    </row>
    <row r="2171" spans="1:12">
      <c r="A2171" t="s">
        <v>1072</v>
      </c>
      <c r="B2171" t="s">
        <v>2038</v>
      </c>
      <c r="C2171" t="str" cm="1">
        <f t="array" ref="C2171" xml:space="preserve"> CleanText(B2171)</f>
        <v>finally ang and not ong</v>
      </c>
      <c r="D2171">
        <v>1</v>
      </c>
      <c r="E2171">
        <v>0</v>
      </c>
      <c r="F2171" t="s">
        <v>0</v>
      </c>
      <c r="G2171" t="str" cm="1">
        <f t="array" ref="G2171" xml:space="preserve"> FindCountryName(F2171)</f>
        <v>None</v>
      </c>
      <c r="H2171" s="1">
        <v>45277.074166666665</v>
      </c>
      <c r="I2171" s="1">
        <v>45277.074166666665</v>
      </c>
      <c r="J2171" s="1">
        <v>45251.003831018519</v>
      </c>
      <c r="K2171" cm="1">
        <f t="array" ref="K2171" xml:space="preserve"> sentimentCalc(C2171)</f>
        <v>0</v>
      </c>
      <c r="L2171" t="str" cm="1">
        <f t="array" ref="L2171" xml:space="preserve"> sentimentCategory(K2171)</f>
        <v>Neutral</v>
      </c>
    </row>
    <row r="2172" spans="1:12">
      <c r="A2172" t="s">
        <v>826</v>
      </c>
      <c r="B2172" t="s">
        <v>2037</v>
      </c>
      <c r="C2172" t="str" cm="1">
        <f t="array" ref="C2172" xml:space="preserve"> CleanText(B2172)</f>
        <v>hollywood oklets try this one last time</v>
      </c>
      <c r="D2172">
        <v>0</v>
      </c>
      <c r="E2172">
        <v>0</v>
      </c>
      <c r="F2172" t="s">
        <v>0</v>
      </c>
      <c r="G2172" t="str" cm="1">
        <f t="array" ref="G2172" xml:space="preserve"> FindCountryName(F2172)</f>
        <v>None</v>
      </c>
      <c r="H2172" s="1">
        <v>45277.024004629631</v>
      </c>
      <c r="I2172" s="1">
        <v>45277.024004629631</v>
      </c>
      <c r="J2172" s="1">
        <v>41778.69122685185</v>
      </c>
      <c r="K2172" cm="1">
        <f t="array" ref="K2172" xml:space="preserve"> sentimentCalc(C2172)</f>
        <v>0</v>
      </c>
      <c r="L2172" t="str" cm="1">
        <f t="array" ref="L2172" xml:space="preserve"> sentimentCategory(K2172)</f>
        <v>Neutral</v>
      </c>
    </row>
    <row r="2173" spans="1:12">
      <c r="A2173" t="s">
        <v>47</v>
      </c>
      <c r="B2173" t="s">
        <v>2036</v>
      </c>
      <c r="C2173" t="str" cm="1">
        <f t="array" ref="C2173" xml:space="preserve"> CleanText(B2173)</f>
        <v>netflix im still waiting an exciting to see the casagrandes movie teaser  can you turn now please</v>
      </c>
      <c r="D2173">
        <v>0</v>
      </c>
      <c r="E2173">
        <v>0</v>
      </c>
      <c r="F2173" t="s">
        <v>0</v>
      </c>
      <c r="G2173" t="str" cm="1">
        <f t="array" ref="G2173" xml:space="preserve"> FindCountryName(F2173)</f>
        <v>None</v>
      </c>
      <c r="H2173" s="1">
        <v>45277.009710648148</v>
      </c>
      <c r="I2173" s="1">
        <v>45277.009710648148</v>
      </c>
      <c r="J2173" s="1">
        <v>44729.673587962963</v>
      </c>
      <c r="K2173" cm="1">
        <f t="array" ref="K2173" xml:space="preserve"> sentimentCalc(C2173)</f>
        <v>4</v>
      </c>
      <c r="L2173" t="str" cm="1">
        <f t="array" ref="L2173" xml:space="preserve"> sentimentCategory(K2173)</f>
        <v>Positive</v>
      </c>
    </row>
    <row r="2174" spans="1:12">
      <c r="A2174" t="s">
        <v>2035</v>
      </c>
      <c r="B2174" t="s">
        <v>2034</v>
      </c>
      <c r="C2174" t="str" cm="1">
        <f t="array" ref="C2174" xml:space="preserve"> CleanText(B2174)</f>
        <v>yo lets goooooo</v>
      </c>
      <c r="D2174">
        <v>0</v>
      </c>
      <c r="E2174">
        <v>0</v>
      </c>
      <c r="F2174" t="s">
        <v>0</v>
      </c>
      <c r="G2174" t="str" cm="1">
        <f t="array" ref="G2174" xml:space="preserve"> FindCountryName(F2174)</f>
        <v>None</v>
      </c>
      <c r="H2174" s="1">
        <v>45277.008402777778</v>
      </c>
      <c r="I2174" s="1">
        <v>45277.008402777778</v>
      </c>
      <c r="J2174" s="1">
        <v>44710.896238425928</v>
      </c>
      <c r="K2174" cm="1">
        <f t="array" ref="K2174" xml:space="preserve"> sentimentCalc(C2174)</f>
        <v>0</v>
      </c>
      <c r="L2174" t="str" cm="1">
        <f t="array" ref="L2174" xml:space="preserve"> sentimentCategory(K2174)</f>
        <v>Neutral</v>
      </c>
    </row>
    <row r="2175" spans="1:12">
      <c r="A2175" t="s">
        <v>349</v>
      </c>
      <c r="B2175" t="s">
        <v>2033</v>
      </c>
      <c r="C2175" t="str" cm="1">
        <f t="array" ref="C2175" xml:space="preserve"> CleanText(B2175)</f>
        <v>in my forties and this is still my all time favorite tv show so after watching this trailer all i can say is that it looks really good but how are they going to ruin the whole thing with wokeness</v>
      </c>
      <c r="D2175">
        <v>0</v>
      </c>
      <c r="E2175">
        <v>0</v>
      </c>
      <c r="F2175" t="s">
        <v>0</v>
      </c>
      <c r="G2175" t="str" cm="1">
        <f t="array" ref="G2175" xml:space="preserve"> FindCountryName(F2175)</f>
        <v>None</v>
      </c>
      <c r="H2175" s="1">
        <v>45276.996180555558</v>
      </c>
      <c r="I2175" s="1">
        <v>45276.996180555558</v>
      </c>
      <c r="J2175" s="1">
        <v>41178.162210648145</v>
      </c>
      <c r="K2175" cm="1">
        <f t="array" ref="K2175" xml:space="preserve"> sentimentCalc(C2175)</f>
        <v>3</v>
      </c>
      <c r="L2175" t="str" cm="1">
        <f t="array" ref="L2175" xml:space="preserve"> sentimentCategory(K2175)</f>
        <v>Positive</v>
      </c>
    </row>
    <row r="2176" spans="1:12">
      <c r="A2176" t="s">
        <v>529</v>
      </c>
      <c r="B2176" t="s">
        <v>2032</v>
      </c>
      <c r="C2176" t="str" cm="1">
        <f t="array" ref="C2176" xml:space="preserve"> CleanText(B2176)</f>
        <v>yeah lets ruin this good thing originality is dead</v>
      </c>
      <c r="D2176">
        <v>0</v>
      </c>
      <c r="E2176">
        <v>3</v>
      </c>
      <c r="F2176" t="s">
        <v>0</v>
      </c>
      <c r="G2176" t="str" cm="1">
        <f t="array" ref="G2176" xml:space="preserve"> FindCountryName(F2176)</f>
        <v>None</v>
      </c>
      <c r="H2176" s="1">
        <v>45276.964537037034</v>
      </c>
      <c r="I2176" s="1">
        <v>45276.964537037034</v>
      </c>
      <c r="J2176" s="1">
        <v>43335.81795138889</v>
      </c>
      <c r="K2176" cm="1">
        <f t="array" ref="K2176" xml:space="preserve"> sentimentCalc(C2176)</f>
        <v>-1</v>
      </c>
      <c r="L2176" t="str" cm="1">
        <f t="array" ref="L2176" xml:space="preserve"> sentimentCategory(K2176)</f>
        <v>Negative</v>
      </c>
    </row>
    <row r="2177" spans="1:12">
      <c r="A2177" t="s">
        <v>853</v>
      </c>
      <c r="B2177" t="s">
        <v>2031</v>
      </c>
      <c r="C2177" t="str" cm="1">
        <f t="array" ref="C2177" xml:space="preserve"> CleanText(B2177)</f>
        <v>pleease for the love of god dont pronounce aangs name as ong</v>
      </c>
      <c r="D2177">
        <v>0</v>
      </c>
      <c r="E2177">
        <v>0</v>
      </c>
      <c r="F2177" t="s">
        <v>0</v>
      </c>
      <c r="G2177" t="str" cm="1">
        <f t="array" ref="G2177" xml:space="preserve"> FindCountryName(F2177)</f>
        <v>None</v>
      </c>
      <c r="H2177" s="1">
        <v>45276.954375000001</v>
      </c>
      <c r="I2177" s="1">
        <v>45276.954375000001</v>
      </c>
      <c r="J2177" s="1">
        <v>43165.700879629629</v>
      </c>
      <c r="K2177" cm="1">
        <f t="array" ref="K2177" xml:space="preserve"> sentimentCalc(C2177)</f>
        <v>4</v>
      </c>
      <c r="L2177" t="str" cm="1">
        <f t="array" ref="L2177" xml:space="preserve"> sentimentCategory(K2177)</f>
        <v>Positive</v>
      </c>
    </row>
    <row r="2178" spans="1:12">
      <c r="A2178" t="s">
        <v>774</v>
      </c>
      <c r="B2178" t="s">
        <v>2030</v>
      </c>
      <c r="C2178" t="str" cm="1">
        <f t="array" ref="C2178" xml:space="preserve"> CleanText(B2178)</f>
        <v>looks better than cringe one piece live action</v>
      </c>
      <c r="D2178">
        <v>0</v>
      </c>
      <c r="E2178">
        <v>0</v>
      </c>
      <c r="F2178" t="s">
        <v>0</v>
      </c>
      <c r="G2178" t="str" cm="1">
        <f t="array" ref="G2178" xml:space="preserve"> FindCountryName(F2178)</f>
        <v>None</v>
      </c>
      <c r="H2178" s="1">
        <v>45276.947569444441</v>
      </c>
      <c r="I2178" s="1">
        <v>45276.947569444441</v>
      </c>
      <c r="J2178" s="1">
        <v>44506.637280092589</v>
      </c>
      <c r="K2178" cm="1">
        <f t="array" ref="K2178" xml:space="preserve"> sentimentCalc(C2178)</f>
        <v>2</v>
      </c>
      <c r="L2178" t="str" cm="1">
        <f t="array" ref="L2178" xml:space="preserve"> sentimentCategory(K2178)</f>
        <v>Positive</v>
      </c>
    </row>
    <row r="2179" spans="1:12">
      <c r="A2179" t="s">
        <v>2029</v>
      </c>
      <c r="B2179" t="s">
        <v>2028</v>
      </c>
      <c r="C2179" t="str" cm="1">
        <f t="array" ref="C2179" xml:space="preserve"> CleanText(B2179)</f>
        <v>its the same story with the last airbender so i dont understand why to watch this one as a child i was hoping that i could see the nd part</v>
      </c>
      <c r="D2179">
        <v>0</v>
      </c>
      <c r="E2179">
        <v>0</v>
      </c>
      <c r="F2179" t="s">
        <v>0</v>
      </c>
      <c r="G2179" t="str" cm="1">
        <f t="array" ref="G2179" xml:space="preserve"> FindCountryName(F2179)</f>
        <v>None</v>
      </c>
      <c r="H2179" s="1">
        <v>45276.879282407404</v>
      </c>
      <c r="I2179" s="1">
        <v>45276.879282407404</v>
      </c>
      <c r="J2179" s="1">
        <v>44784.446099537039</v>
      </c>
      <c r="K2179" cm="1">
        <f t="array" ref="K2179" xml:space="preserve"> sentimentCalc(C2179)</f>
        <v>2</v>
      </c>
      <c r="L2179" t="str" cm="1">
        <f t="array" ref="L2179" xml:space="preserve"> sentimentCategory(K2179)</f>
        <v>Positive</v>
      </c>
    </row>
    <row r="2180" spans="1:12">
      <c r="A2180" t="s">
        <v>722</v>
      </c>
      <c r="B2180" t="s">
        <v>2027</v>
      </c>
      <c r="C2180" t="str" cm="1">
        <f t="array" ref="C2180" xml:space="preserve"> CleanText(B2180)</f>
        <v>oh god please please please please let it be good _xDE4F_</v>
      </c>
      <c r="D2180">
        <v>0</v>
      </c>
      <c r="E2180">
        <v>0</v>
      </c>
      <c r="F2180" t="s">
        <v>0</v>
      </c>
      <c r="G2180" t="str" cm="1">
        <f t="array" ref="G2180" xml:space="preserve"> FindCountryName(F2180)</f>
        <v>None</v>
      </c>
      <c r="H2180" s="1">
        <v>45276.878252314818</v>
      </c>
      <c r="I2180" s="1">
        <v>45276.878252314818</v>
      </c>
      <c r="J2180" s="1">
        <v>40951.350717592592</v>
      </c>
      <c r="K2180" cm="1">
        <f t="array" ref="K2180" xml:space="preserve"> sentimentCalc(C2180)</f>
        <v>8</v>
      </c>
      <c r="L2180" t="str" cm="1">
        <f t="array" ref="L2180" xml:space="preserve"> sentimentCategory(K2180)</f>
        <v>Positive</v>
      </c>
    </row>
    <row r="2181" spans="1:12">
      <c r="A2181" t="s">
        <v>259</v>
      </c>
      <c r="B2181" t="s">
        <v>2026</v>
      </c>
      <c r="C2181" t="str" cm="1">
        <f t="array" ref="C2181" xml:space="preserve"> CleanText(B2181)</f>
        <v>apa momo</v>
      </c>
      <c r="D2181">
        <v>0</v>
      </c>
      <c r="E2181">
        <v>0</v>
      </c>
      <c r="F2181" t="s">
        <v>0</v>
      </c>
      <c r="G2181" t="str" cm="1">
        <f t="array" ref="G2181" xml:space="preserve"> FindCountryName(F2181)</f>
        <v>None</v>
      </c>
      <c r="H2181" s="1">
        <v>45276.842662037037</v>
      </c>
      <c r="I2181" s="1">
        <v>45276.842662037037</v>
      </c>
      <c r="J2181" s="1">
        <v>43869.693738425929</v>
      </c>
      <c r="K2181" cm="1">
        <f t="array" ref="K2181" xml:space="preserve"> sentimentCalc(C2181)</f>
        <v>0</v>
      </c>
      <c r="L2181" t="str" cm="1">
        <f t="array" ref="L2181" xml:space="preserve"> sentimentCategory(K2181)</f>
        <v>Neutral</v>
      </c>
    </row>
    <row r="2182" spans="1:12">
      <c r="A2182" t="s">
        <v>969</v>
      </c>
      <c r="B2182" t="s">
        <v>2025</v>
      </c>
      <c r="C2182" t="str" cm="1">
        <f t="array" ref="C2182" xml:space="preserve"> CleanText(B2182)</f>
        <v>my name is  o o n g</v>
      </c>
      <c r="D2182">
        <v>0</v>
      </c>
      <c r="E2182">
        <v>0</v>
      </c>
      <c r="F2182" t="s">
        <v>0</v>
      </c>
      <c r="G2182" t="str" cm="1">
        <f t="array" ref="G2182" xml:space="preserve"> FindCountryName(F2182)</f>
        <v>None</v>
      </c>
      <c r="H2182" s="1">
        <v>45276.835219907407</v>
      </c>
      <c r="I2182" s="1">
        <v>45276.835219907407</v>
      </c>
      <c r="J2182" s="1">
        <v>42230.856932870367</v>
      </c>
      <c r="K2182" cm="1">
        <f t="array" ref="K2182" xml:space="preserve"> sentimentCalc(C2182)</f>
        <v>0</v>
      </c>
      <c r="L2182" t="str" cm="1">
        <f t="array" ref="L2182" xml:space="preserve"> sentimentCategory(K2182)</f>
        <v>Neutral</v>
      </c>
    </row>
    <row r="2183" spans="1:12">
      <c r="A2183" t="s">
        <v>1000</v>
      </c>
      <c r="B2183" t="s">
        <v>2024</v>
      </c>
      <c r="C2183" t="str" cm="1">
        <f t="array" ref="C2183" xml:space="preserve"> CleanText(B2183)</f>
        <v>one of the very few problems i have is that they revealed fire lord ozais face already wouldve loved if it was a ystery like in the original</v>
      </c>
      <c r="D2183">
        <v>0</v>
      </c>
      <c r="E2183">
        <v>1</v>
      </c>
      <c r="F2183" t="s">
        <v>0</v>
      </c>
      <c r="G2183" t="str" cm="1">
        <f t="array" ref="G2183" xml:space="preserve"> FindCountryName(F2183)</f>
        <v>None</v>
      </c>
      <c r="H2183" s="1">
        <v>45276.808206018519</v>
      </c>
      <c r="I2183" s="1">
        <v>45276.808206018519</v>
      </c>
      <c r="J2183" s="1">
        <v>44604.616805555554</v>
      </c>
      <c r="K2183" cm="1">
        <f t="array" ref="K2183" xml:space="preserve"> sentimentCalc(C2183)</f>
        <v>1</v>
      </c>
      <c r="L2183" t="str" cm="1">
        <f t="array" ref="L2183" xml:space="preserve"> sentimentCategory(K2183)</f>
        <v>Positive</v>
      </c>
    </row>
    <row r="2184" spans="1:12">
      <c r="A2184" t="s">
        <v>591</v>
      </c>
      <c r="B2184" t="s">
        <v>2023</v>
      </c>
      <c r="C2184" t="str" cm="1">
        <f t="array" ref="C2184" xml:space="preserve"> CleanText(B2184)</f>
        <v>i am really really not feeling kataras actress but everyone else is chefs kiss</v>
      </c>
      <c r="D2184">
        <v>0</v>
      </c>
      <c r="E2184">
        <v>0</v>
      </c>
      <c r="F2184" t="s">
        <v>0</v>
      </c>
      <c r="G2184" t="str" cm="1">
        <f t="array" ref="G2184" xml:space="preserve"> FindCountryName(F2184)</f>
        <v>None</v>
      </c>
      <c r="H2184" s="1">
        <v>45276.717499999999</v>
      </c>
      <c r="I2184" s="1">
        <v>45276.717499999999</v>
      </c>
      <c r="J2184" s="1">
        <v>43966.602847222224</v>
      </c>
      <c r="K2184" cm="1">
        <f t="array" ref="K2184" xml:space="preserve"> sentimentCalc(C2184)</f>
        <v>3</v>
      </c>
      <c r="L2184" t="str" cm="1">
        <f t="array" ref="L2184" xml:space="preserve"> sentimentCategory(K2184)</f>
        <v>Positive</v>
      </c>
    </row>
    <row r="2185" spans="1:12">
      <c r="A2185" t="s">
        <v>593</v>
      </c>
      <c r="B2185" t="s">
        <v>2022</v>
      </c>
      <c r="C2185" t="str" cm="1">
        <f t="array" ref="C2185" xml:space="preserve"> CleanText(B2185)</f>
        <v>why do katara and sokka still look like they got white actors to play them</v>
      </c>
      <c r="D2185">
        <v>0</v>
      </c>
      <c r="E2185">
        <v>1</v>
      </c>
      <c r="F2185" t="s">
        <v>0</v>
      </c>
      <c r="G2185" t="str" cm="1">
        <f t="array" ref="G2185" xml:space="preserve"> FindCountryName(F2185)</f>
        <v>None</v>
      </c>
      <c r="H2185" s="1">
        <v>45276.703344907408</v>
      </c>
      <c r="I2185" s="1">
        <v>45276.703344907408</v>
      </c>
      <c r="J2185" s="1">
        <v>40827.900046296294</v>
      </c>
      <c r="K2185" cm="1">
        <f t="array" ref="K2185" xml:space="preserve"> sentimentCalc(C2185)</f>
        <v>2</v>
      </c>
      <c r="L2185" t="str" cm="1">
        <f t="array" ref="L2185" xml:space="preserve"> sentimentCategory(K2185)</f>
        <v>Positive</v>
      </c>
    </row>
    <row r="2186" spans="1:12">
      <c r="A2186" t="s">
        <v>2021</v>
      </c>
      <c r="B2186" t="s">
        <v>2020</v>
      </c>
      <c r="C2186" t="str" cm="1">
        <f t="array" ref="C2186" xml:space="preserve"> CleanText(B2186)</f>
        <v>oh this looks bad</v>
      </c>
      <c r="D2186">
        <v>0</v>
      </c>
      <c r="E2186">
        <v>0</v>
      </c>
      <c r="F2186" t="s">
        <v>0</v>
      </c>
      <c r="G2186" t="str" cm="1">
        <f t="array" ref="G2186" xml:space="preserve"> FindCountryName(F2186)</f>
        <v>None</v>
      </c>
      <c r="H2186" s="1">
        <v>45276.691689814812</v>
      </c>
      <c r="I2186" s="1">
        <v>45276.691689814812</v>
      </c>
      <c r="J2186" s="1">
        <v>41577.112407407411</v>
      </c>
      <c r="K2186" cm="1">
        <f t="array" ref="K2186" xml:space="preserve"> sentimentCalc(C2186)</f>
        <v>-3</v>
      </c>
      <c r="L2186" t="str" cm="1">
        <f t="array" ref="L2186" xml:space="preserve"> sentimentCategory(K2186)</f>
        <v>Negative</v>
      </c>
    </row>
    <row r="2187" spans="1:12">
      <c r="A2187" t="s">
        <v>165</v>
      </c>
      <c r="B2187" t="s">
        <v>2019</v>
      </c>
      <c r="C2187" t="str" cm="1">
        <f t="array" ref="C2187" xml:space="preserve"> CleanText(B2187)</f>
        <v>please be good at acting  please be good at acting  please be good at acting</v>
      </c>
      <c r="D2187">
        <v>1</v>
      </c>
      <c r="E2187">
        <v>0</v>
      </c>
      <c r="F2187" t="s">
        <v>0</v>
      </c>
      <c r="G2187" t="str" cm="1">
        <f t="array" ref="G2187" xml:space="preserve"> FindCountryName(F2187)</f>
        <v>None</v>
      </c>
      <c r="H2187" s="1">
        <v>45276.679085648146</v>
      </c>
      <c r="I2187" s="1">
        <v>45276.679085648146</v>
      </c>
      <c r="J2187" s="1">
        <v>41053.551168981481</v>
      </c>
      <c r="K2187" cm="1">
        <f t="array" ref="K2187" xml:space="preserve"> sentimentCalc(C2187)</f>
        <v>12</v>
      </c>
      <c r="L2187" t="str" cm="1">
        <f t="array" ref="L2187" xml:space="preserve"> sentimentCategory(K2187)</f>
        <v>Positive</v>
      </c>
    </row>
    <row r="2188" spans="1:12">
      <c r="A2188" t="s">
        <v>2018</v>
      </c>
      <c r="B2188" t="s">
        <v>2017</v>
      </c>
      <c r="C2188" t="str" cm="1">
        <f t="array" ref="C2188" xml:space="preserve"> CleanText(B2188)</f>
        <v>what a disgrace</v>
      </c>
      <c r="D2188">
        <v>0</v>
      </c>
      <c r="E2188">
        <v>0</v>
      </c>
      <c r="F2188" t="s">
        <v>0</v>
      </c>
      <c r="G2188" t="str" cm="1">
        <f t="array" ref="G2188" xml:space="preserve"> FindCountryName(F2188)</f>
        <v>None</v>
      </c>
      <c r="H2188" s="1">
        <v>45276.67423611111</v>
      </c>
      <c r="I2188" s="1">
        <v>45276.67423611111</v>
      </c>
      <c r="J2188" s="1">
        <v>44989.601886574077</v>
      </c>
      <c r="K2188" cm="1">
        <f t="array" ref="K2188" xml:space="preserve"> sentimentCalc(C2188)</f>
        <v>-2</v>
      </c>
      <c r="L2188" t="str" cm="1">
        <f t="array" ref="L2188" xml:space="preserve"> sentimentCategory(K2188)</f>
        <v>Negative</v>
      </c>
    </row>
    <row r="2189" spans="1:12">
      <c r="A2189" t="s">
        <v>8</v>
      </c>
      <c r="B2189" t="s">
        <v>2016</v>
      </c>
      <c r="C2189" t="str" cm="1">
        <f t="array" ref="C2189" xml:space="preserve"> CleanText(B2189)</f>
        <v>theyre gonna cook so good istg this is gonna be the best show of 0 cant wait to see gordon eyes go full blank as aang when he triggers his avatar</v>
      </c>
      <c r="D2189">
        <v>0</v>
      </c>
      <c r="E2189">
        <v>0</v>
      </c>
      <c r="F2189" t="s">
        <v>0</v>
      </c>
      <c r="G2189" t="str" cm="1">
        <f t="array" ref="G2189" xml:space="preserve"> FindCountryName(F2189)</f>
        <v>None</v>
      </c>
      <c r="H2189" s="1">
        <v>45276.67328703704</v>
      </c>
      <c r="I2189" s="1">
        <v>45276.67328703704</v>
      </c>
      <c r="J2189" s="1">
        <v>43866.41302083333</v>
      </c>
      <c r="K2189" cm="1">
        <f t="array" ref="K2189" xml:space="preserve"> sentimentCalc(C2189)</f>
        <v>6</v>
      </c>
      <c r="L2189" t="str" cm="1">
        <f t="array" ref="L2189" xml:space="preserve"> sentimentCategory(K2189)</f>
        <v>Positive</v>
      </c>
    </row>
    <row r="2190" spans="1:12">
      <c r="A2190" t="s">
        <v>2015</v>
      </c>
      <c r="B2190" t="s">
        <v>2014</v>
      </c>
      <c r="C2190" t="str" cm="1">
        <f t="array" ref="C2190" xml:space="preserve"> CleanText(B2190)</f>
        <v>was never a fan of one piece but im really excited for this one cause fans said the live action was actually great</v>
      </c>
      <c r="D2190">
        <v>1</v>
      </c>
      <c r="E2190">
        <v>0</v>
      </c>
      <c r="F2190" t="s">
        <v>0</v>
      </c>
      <c r="G2190" t="str" cm="1">
        <f t="array" ref="G2190" xml:space="preserve"> FindCountryName(F2190)</f>
        <v>None</v>
      </c>
      <c r="H2190" s="1">
        <v>45276.657430555555</v>
      </c>
      <c r="I2190" s="1">
        <v>45276.657430555555</v>
      </c>
      <c r="J2190" s="1">
        <v>44304.907187500001</v>
      </c>
      <c r="K2190" cm="1">
        <f t="array" ref="K2190" xml:space="preserve"> sentimentCalc(C2190)</f>
        <v>9</v>
      </c>
      <c r="L2190" t="str" cm="1">
        <f t="array" ref="L2190" xml:space="preserve"> sentimentCategory(K2190)</f>
        <v>Positive</v>
      </c>
    </row>
    <row r="2191" spans="1:12">
      <c r="A2191" t="s">
        <v>799</v>
      </c>
      <c r="B2191" t="s">
        <v>2013</v>
      </c>
      <c r="C2191" t="str" cm="1">
        <f t="array" ref="C2191" xml:space="preserve"> CleanText(B2191)</f>
        <v>teaser looking good they found the right kid to play aang looking forward to this movie</v>
      </c>
      <c r="D2191">
        <v>1</v>
      </c>
      <c r="E2191">
        <v>0</v>
      </c>
      <c r="F2191" t="s">
        <v>0</v>
      </c>
      <c r="G2191" t="str" cm="1">
        <f t="array" ref="G2191" xml:space="preserve"> FindCountryName(F2191)</f>
        <v>None</v>
      </c>
      <c r="H2191" s="1">
        <v>45276.633136574077</v>
      </c>
      <c r="I2191" s="1">
        <v>45276.633136574077</v>
      </c>
      <c r="J2191" s="1">
        <v>45275.140335648146</v>
      </c>
      <c r="K2191" cm="1">
        <f t="array" ref="K2191" xml:space="preserve"> sentimentCalc(C2191)</f>
        <v>3</v>
      </c>
      <c r="L2191" t="str" cm="1">
        <f t="array" ref="L2191" xml:space="preserve"> sentimentCategory(K2191)</f>
        <v>Positive</v>
      </c>
    </row>
    <row r="2192" spans="1:12">
      <c r="A2192" t="s">
        <v>1059</v>
      </c>
      <c r="B2192" t="s">
        <v>2012</v>
      </c>
      <c r="C2192" t="str" cm="1">
        <f t="array" ref="C2192" xml:space="preserve"> CleanText(B2192)</f>
        <v>the musical score alone brings back memories</v>
      </c>
      <c r="D2192">
        <v>0</v>
      </c>
      <c r="E2192">
        <v>0</v>
      </c>
      <c r="F2192" t="s">
        <v>0</v>
      </c>
      <c r="G2192" t="str" cm="1">
        <f t="array" ref="G2192" xml:space="preserve"> FindCountryName(F2192)</f>
        <v>None</v>
      </c>
      <c r="H2192" s="1">
        <v>45276.625011574077</v>
      </c>
      <c r="I2192" s="1">
        <v>45276.625011574077</v>
      </c>
      <c r="J2192" s="1">
        <v>42137.265439814815</v>
      </c>
      <c r="K2192" cm="1">
        <f t="array" ref="K2192" xml:space="preserve"> sentimentCalc(C2192)</f>
        <v>-2</v>
      </c>
      <c r="L2192" t="str" cm="1">
        <f t="array" ref="L2192" xml:space="preserve"> sentimentCategory(K2192)</f>
        <v>Negative</v>
      </c>
    </row>
    <row r="2193" spans="1:12">
      <c r="A2193" t="s">
        <v>483</v>
      </c>
      <c r="B2193" t="s">
        <v>2011</v>
      </c>
      <c r="C2193" t="str" cm="1">
        <f t="array" ref="C2193" xml:space="preserve"> CleanText(B2193)</f>
        <v>hope you guys do selection</v>
      </c>
      <c r="D2193">
        <v>1</v>
      </c>
      <c r="E2193">
        <v>0</v>
      </c>
      <c r="F2193" t="s">
        <v>0</v>
      </c>
      <c r="G2193" t="str" cm="1">
        <f t="array" ref="G2193" xml:space="preserve"> FindCountryName(F2193)</f>
        <v>None</v>
      </c>
      <c r="H2193" s="1">
        <v>45276.617129629631</v>
      </c>
      <c r="I2193" s="1">
        <v>45276.617129629631</v>
      </c>
      <c r="J2193" s="1">
        <v>42723.298252314817</v>
      </c>
      <c r="K2193" cm="1">
        <f t="array" ref="K2193" xml:space="preserve"> sentimentCalc(C2193)</f>
        <v>2</v>
      </c>
      <c r="L2193" t="str" cm="1">
        <f t="array" ref="L2193" xml:space="preserve"> sentimentCategory(K2193)</f>
        <v>Positive</v>
      </c>
    </row>
    <row r="2194" spans="1:12">
      <c r="A2194" t="s">
        <v>2010</v>
      </c>
      <c r="B2194" t="s">
        <v>2009</v>
      </c>
      <c r="C2194" t="str" cm="1">
        <f t="array" ref="C2194" xml:space="preserve"> CleanText(B2194)</f>
        <v>i dont understand why theyre pouring all of this effort into making this liveaction why not keep it d and continue the story im pretty sure they continued writing a commic too even if that wasnt the case id stick with why this show worked so well some things just work better animated</v>
      </c>
      <c r="D2194">
        <v>0</v>
      </c>
      <c r="E2194">
        <v>0</v>
      </c>
      <c r="F2194" t="s">
        <v>0</v>
      </c>
      <c r="G2194" t="str" cm="1">
        <f t="array" ref="G2194" xml:space="preserve"> FindCountryName(F2194)</f>
        <v>None</v>
      </c>
      <c r="H2194" s="1">
        <v>45276.593402777777</v>
      </c>
      <c r="I2194" s="1">
        <v>45276.593402777777</v>
      </c>
      <c r="J2194" s="1">
        <v>41441.689074074071</v>
      </c>
      <c r="K2194" cm="1">
        <f t="array" ref="K2194" xml:space="preserve"> sentimentCalc(C2194)</f>
        <v>3</v>
      </c>
      <c r="L2194" t="str" cm="1">
        <f t="array" ref="L2194" xml:space="preserve"> sentimentCategory(K2194)</f>
        <v>Positive</v>
      </c>
    </row>
    <row r="2195" spans="1:12">
      <c r="A2195" t="s">
        <v>1565</v>
      </c>
      <c r="B2195" t="s">
        <v>2008</v>
      </c>
      <c r="C2195" t="str" cm="1">
        <f t="array" ref="C2195" xml:space="preserve"> CleanText(B2195)</f>
        <v>absolutely breathtaking this is so beautiful  looks stunningly artistically accurate i can not wait to watch</v>
      </c>
      <c r="D2195">
        <v>6</v>
      </c>
      <c r="E2195">
        <v>0</v>
      </c>
      <c r="F2195" t="s">
        <v>19</v>
      </c>
      <c r="G2195" t="str" cm="1">
        <f t="array" ref="G2195" xml:space="preserve"> FindCountryName(F2195)</f>
        <v>United States of America (the)</v>
      </c>
      <c r="H2195" s="1">
        <v>45276.590208333335</v>
      </c>
      <c r="I2195" s="1">
        <v>45276.590208333335</v>
      </c>
      <c r="J2195" s="1">
        <v>42518.321435185186</v>
      </c>
      <c r="K2195" cm="1">
        <f t="array" ref="K2195" xml:space="preserve"> sentimentCalc(C2195)</f>
        <v>8</v>
      </c>
      <c r="L2195" t="str" cm="1">
        <f t="array" ref="L2195" xml:space="preserve"> sentimentCategory(K2195)</f>
        <v>Positive</v>
      </c>
    </row>
    <row r="2196" spans="1:12">
      <c r="A2196" t="s">
        <v>175</v>
      </c>
      <c r="B2196" t="s">
        <v>2007</v>
      </c>
      <c r="C2196" t="str" cm="1">
        <f t="array" ref="C2196" xml:space="preserve"> CleanText(B2196)</f>
        <v>ahh finally how many years since the movie</v>
      </c>
      <c r="D2196">
        <v>0</v>
      </c>
      <c r="E2196">
        <v>0</v>
      </c>
      <c r="F2196" t="s">
        <v>0</v>
      </c>
      <c r="G2196" t="str" cm="1">
        <f t="array" ref="G2196" xml:space="preserve"> FindCountryName(F2196)</f>
        <v>None</v>
      </c>
      <c r="H2196" s="1">
        <v>45276.532129629632</v>
      </c>
      <c r="I2196" s="1">
        <v>45276.532129629632</v>
      </c>
      <c r="J2196" s="1">
        <v>43920.56554398148</v>
      </c>
      <c r="K2196" cm="1">
        <f t="array" ref="K2196" xml:space="preserve"> sentimentCalc(C2196)</f>
        <v>0</v>
      </c>
      <c r="L2196" t="str" cm="1">
        <f t="array" ref="L2196" xml:space="preserve"> sentimentCategory(K2196)</f>
        <v>Neutral</v>
      </c>
    </row>
    <row r="2197" spans="1:12">
      <c r="A2197" t="s">
        <v>1126</v>
      </c>
      <c r="B2197" t="s">
        <v>2006</v>
      </c>
      <c r="C2197" t="str" cm="1">
        <f t="array" ref="C2197" xml:space="preserve"> CleanText(B2197)</f>
        <v>its not possible to replicate the success and quality of the anime some things are not meant to be and i think this is one of them</v>
      </c>
      <c r="D2197">
        <v>0</v>
      </c>
      <c r="E2197">
        <v>2</v>
      </c>
      <c r="F2197" t="s">
        <v>0</v>
      </c>
      <c r="G2197" t="str" cm="1">
        <f t="array" ref="G2197" xml:space="preserve"> FindCountryName(F2197)</f>
        <v>None</v>
      </c>
      <c r="H2197" s="1">
        <v>45276.494108796294</v>
      </c>
      <c r="I2197" s="1">
        <v>45276.494108796294</v>
      </c>
      <c r="J2197" s="1">
        <v>41012.44976851852</v>
      </c>
      <c r="K2197" cm="1">
        <f t="array" ref="K2197" xml:space="preserve"> sentimentCalc(C2197)</f>
        <v>2</v>
      </c>
      <c r="L2197" t="str" cm="1">
        <f t="array" ref="L2197" xml:space="preserve"> sentimentCategory(K2197)</f>
        <v>Positive</v>
      </c>
    </row>
    <row r="2198" spans="1:12">
      <c r="A2198" t="s">
        <v>1762</v>
      </c>
      <c r="B2198" t="s">
        <v>2005</v>
      </c>
      <c r="C2198" t="str" cm="1">
        <f t="array" ref="C2198" xml:space="preserve"> CleanText(B2198)</f>
        <v>at the end of the trailer there should have been a dude shouting my cabbage”</v>
      </c>
      <c r="D2198">
        <v>0</v>
      </c>
      <c r="E2198">
        <v>0</v>
      </c>
      <c r="F2198" t="s">
        <v>0</v>
      </c>
      <c r="G2198" t="str" cm="1">
        <f t="array" ref="G2198" xml:space="preserve"> FindCountryName(F2198)</f>
        <v>None</v>
      </c>
      <c r="H2198" s="1">
        <v>45276.487870370373</v>
      </c>
      <c r="I2198" s="1">
        <v>45276.487870370373</v>
      </c>
      <c r="J2198" s="1">
        <v>41206.088078703702</v>
      </c>
      <c r="K2198" cm="1">
        <f t="array" ref="K2198" xml:space="preserve"> sentimentCalc(C2198)</f>
        <v>0</v>
      </c>
      <c r="L2198" t="str" cm="1">
        <f t="array" ref="L2198" xml:space="preserve"> sentimentCategory(K2198)</f>
        <v>Neutral</v>
      </c>
    </row>
    <row r="2199" spans="1:12">
      <c r="A2199" t="s">
        <v>779</v>
      </c>
      <c r="B2199" t="s">
        <v>2004</v>
      </c>
      <c r="C2199" t="str" cm="1">
        <f t="array" ref="C2199" xml:space="preserve"> CleanText(B2199)</f>
        <v>omg the nostalgia filled soundtrack _xDD25_</v>
      </c>
      <c r="D2199">
        <v>1</v>
      </c>
      <c r="E2199">
        <v>0</v>
      </c>
      <c r="F2199" t="s">
        <v>0</v>
      </c>
      <c r="G2199" t="str" cm="1">
        <f t="array" ref="G2199" xml:space="preserve"> FindCountryName(F2199)</f>
        <v>None</v>
      </c>
      <c r="H2199" s="1">
        <v>45276.456006944441</v>
      </c>
      <c r="I2199" s="1">
        <v>45276.456006944441</v>
      </c>
      <c r="J2199" s="1">
        <v>44249.978182870371</v>
      </c>
      <c r="K2199" cm="1">
        <f t="array" ref="K2199" xml:space="preserve"> sentimentCalc(C2199)</f>
        <v>0</v>
      </c>
      <c r="L2199" t="str" cm="1">
        <f t="array" ref="L2199" xml:space="preserve"> sentimentCategory(K2199)</f>
        <v>Neutral</v>
      </c>
    </row>
    <row r="2200" spans="1:12">
      <c r="A2200" t="s">
        <v>415</v>
      </c>
      <c r="B2200" t="s">
        <v>2003</v>
      </c>
      <c r="C2200" t="str" cm="1">
        <f t="array" ref="C2200" xml:space="preserve"> CleanText(B2200)</f>
        <v>this actaully looks good dont fuked this up lol</v>
      </c>
      <c r="D2200">
        <v>2</v>
      </c>
      <c r="E2200">
        <v>0</v>
      </c>
      <c r="F2200" t="s">
        <v>0</v>
      </c>
      <c r="G2200" t="str" cm="1">
        <f t="array" ref="G2200" xml:space="preserve"> FindCountryName(F2200)</f>
        <v>None</v>
      </c>
      <c r="H2200" s="1">
        <v>45276.437581018516</v>
      </c>
      <c r="I2200" s="1">
        <v>45276.437581018516</v>
      </c>
      <c r="J2200" s="1">
        <v>41395.194143518522</v>
      </c>
      <c r="K2200" cm="1">
        <f t="array" ref="K2200" xml:space="preserve"> sentimentCalc(C2200)</f>
        <v>3</v>
      </c>
      <c r="L2200" t="str" cm="1">
        <f t="array" ref="L2200" xml:space="preserve"> sentimentCategory(K2200)</f>
        <v>Positive</v>
      </c>
    </row>
    <row r="2201" spans="1:12">
      <c r="A2201" t="s">
        <v>198</v>
      </c>
      <c r="B2201" t="s">
        <v>2002</v>
      </c>
      <c r="C2201" t="str" cm="1">
        <f t="array" ref="C2201" xml:space="preserve"> CleanText(B2201)</f>
        <v>i got so emotional watching this best show ever</v>
      </c>
      <c r="D2201">
        <v>2</v>
      </c>
      <c r="E2201">
        <v>0</v>
      </c>
      <c r="F2201" t="s">
        <v>0</v>
      </c>
      <c r="G2201" t="str" cm="1">
        <f t="array" ref="G2201" xml:space="preserve"> FindCountryName(F2201)</f>
        <v>None</v>
      </c>
      <c r="H2201" s="1">
        <v>45276.388101851851</v>
      </c>
      <c r="I2201" s="1">
        <v>45276.388101851851</v>
      </c>
      <c r="J2201" s="1">
        <v>41223.259351851855</v>
      </c>
      <c r="K2201" cm="1">
        <f t="array" ref="K2201" xml:space="preserve"> sentimentCalc(C2201)</f>
        <v>3</v>
      </c>
      <c r="L2201" t="str" cm="1">
        <f t="array" ref="L2201" xml:space="preserve"> sentimentCategory(K2201)</f>
        <v>Positive</v>
      </c>
    </row>
    <row r="2202" spans="1:12">
      <c r="A2202" t="s">
        <v>2001</v>
      </c>
      <c r="B2202" t="s">
        <v>2000</v>
      </c>
      <c r="C2202" t="str" cm="1">
        <f t="array" ref="C2202" xml:space="preserve"> CleanText(B2202)</f>
        <v>no body asked for this</v>
      </c>
      <c r="D2202">
        <v>0</v>
      </c>
      <c r="E2202">
        <v>0</v>
      </c>
      <c r="F2202" t="s">
        <v>0</v>
      </c>
      <c r="G2202" t="str" cm="1">
        <f t="array" ref="G2202" xml:space="preserve"> FindCountryName(F2202)</f>
        <v>None</v>
      </c>
      <c r="H2202" s="1">
        <v>45276.357430555552</v>
      </c>
      <c r="I2202" s="1">
        <v>45276.357430555552</v>
      </c>
      <c r="J2202" s="1">
        <v>44887.419942129629</v>
      </c>
      <c r="K2202" cm="1">
        <f t="array" ref="K2202" xml:space="preserve"> sentimentCalc(C2202)</f>
        <v>-1</v>
      </c>
      <c r="L2202" t="str" cm="1">
        <f t="array" ref="L2202" xml:space="preserve"> sentimentCategory(K2202)</f>
        <v>Negative</v>
      </c>
    </row>
    <row r="2203" spans="1:12">
      <c r="A2203" t="s">
        <v>225</v>
      </c>
      <c r="B2203" t="s">
        <v>1999</v>
      </c>
      <c r="C2203" t="str" cm="1">
        <f t="array" ref="C2203" xml:space="preserve"> CleanText(B2203)</f>
        <v>i dont see toph</v>
      </c>
      <c r="D2203">
        <v>0</v>
      </c>
      <c r="E2203">
        <v>1</v>
      </c>
      <c r="F2203" t="s">
        <v>0</v>
      </c>
      <c r="G2203" t="str" cm="1">
        <f t="array" ref="G2203" xml:space="preserve"> FindCountryName(F2203)</f>
        <v>None</v>
      </c>
      <c r="H2203" s="1">
        <v>45276.275682870371</v>
      </c>
      <c r="I2203" s="1">
        <v>45276.275682870371</v>
      </c>
      <c r="J2203" s="1">
        <v>42389.33357638889</v>
      </c>
      <c r="K2203" cm="1">
        <f t="array" ref="K2203" xml:space="preserve"> sentimentCalc(C2203)</f>
        <v>0</v>
      </c>
      <c r="L2203" t="str" cm="1">
        <f t="array" ref="L2203" xml:space="preserve"> sentimentCategory(K2203)</f>
        <v>Neutral</v>
      </c>
    </row>
    <row r="2204" spans="1:12">
      <c r="A2204" t="s">
        <v>1998</v>
      </c>
      <c r="B2204" t="s">
        <v>1997</v>
      </c>
      <c r="C2204" t="str" cm="1">
        <f t="array" ref="C2204" xml:space="preserve"> CleanText(B2204)</f>
        <v>everyone except aang looks good</v>
      </c>
      <c r="D2204">
        <v>0</v>
      </c>
      <c r="E2204">
        <v>0</v>
      </c>
      <c r="F2204" t="s">
        <v>610</v>
      </c>
      <c r="G2204" t="str" cm="1">
        <f t="array" ref="G2204" xml:space="preserve"> FindCountryName(F2204)</f>
        <v>Sri Lanka</v>
      </c>
      <c r="H2204" s="1">
        <v>45276.270104166666</v>
      </c>
      <c r="I2204" s="1">
        <v>45276.270104166666</v>
      </c>
      <c r="J2204" s="1">
        <v>44184.022465277776</v>
      </c>
      <c r="K2204" cm="1">
        <f t="array" ref="K2204" xml:space="preserve"> sentimentCalc(C2204)</f>
        <v>3</v>
      </c>
      <c r="L2204" t="str" cm="1">
        <f t="array" ref="L2204" xml:space="preserve"> sentimentCategory(K2204)</f>
        <v>Positive</v>
      </c>
    </row>
    <row r="2205" spans="1:12">
      <c r="A2205" t="s">
        <v>369</v>
      </c>
      <c r="B2205" t="s">
        <v>1996</v>
      </c>
      <c r="C2205" t="str" cm="1">
        <f t="array" ref="C2205" xml:space="preserve"> CleanText(B2205)</f>
        <v>kinda worry about the too serious aang here</v>
      </c>
      <c r="D2205">
        <v>2</v>
      </c>
      <c r="E2205">
        <v>1</v>
      </c>
      <c r="F2205" t="s">
        <v>0</v>
      </c>
      <c r="G2205" t="str" cm="1">
        <f t="array" ref="G2205" xml:space="preserve"> FindCountryName(F2205)</f>
        <v>None</v>
      </c>
      <c r="H2205" s="1">
        <v>45276.264722222222</v>
      </c>
      <c r="I2205" s="1">
        <v>45276.264722222222</v>
      </c>
      <c r="J2205" s="1">
        <v>42722.555034722223</v>
      </c>
      <c r="K2205" cm="1">
        <f t="array" ref="K2205" xml:space="preserve"> sentimentCalc(C2205)</f>
        <v>-3</v>
      </c>
      <c r="L2205" t="str" cm="1">
        <f t="array" ref="L2205" xml:space="preserve"> sentimentCategory(K2205)</f>
        <v>Negative</v>
      </c>
    </row>
    <row r="2206" spans="1:12">
      <c r="A2206" t="s">
        <v>1145</v>
      </c>
      <c r="B2206" t="s">
        <v>1995</v>
      </c>
      <c r="C2206" t="str" cm="1">
        <f t="array" ref="C2206" xml:space="preserve"> CleanText(B2206)</f>
        <v>please dont make it serious anime ann was all funny</v>
      </c>
      <c r="D2206">
        <v>1</v>
      </c>
      <c r="E2206">
        <v>1</v>
      </c>
      <c r="F2206" t="s">
        <v>0</v>
      </c>
      <c r="G2206" t="str" cm="1">
        <f t="array" ref="G2206" xml:space="preserve"> FindCountryName(F2206)</f>
        <v>None</v>
      </c>
      <c r="H2206" s="1">
        <v>45276.263043981482</v>
      </c>
      <c r="I2206" s="1">
        <v>45276.263043981482</v>
      </c>
      <c r="J2206" s="1">
        <v>41561.256550925929</v>
      </c>
      <c r="K2206" cm="1">
        <f t="array" ref="K2206" xml:space="preserve"> sentimentCalc(C2206)</f>
        <v>5</v>
      </c>
      <c r="L2206" t="str" cm="1">
        <f t="array" ref="L2206" xml:space="preserve"> sentimentCategory(K2206)</f>
        <v>Positive</v>
      </c>
    </row>
    <row r="2207" spans="1:12">
      <c r="A2207" t="s">
        <v>781</v>
      </c>
      <c r="B2207" t="s">
        <v>1994</v>
      </c>
      <c r="C2207" t="str" cm="1">
        <f t="array" ref="C2207" xml:space="preserve"> CleanText(B2207)</f>
        <v>еук_xD83D_ n</v>
      </c>
      <c r="D2207">
        <v>0</v>
      </c>
      <c r="E2207">
        <v>1</v>
      </c>
      <c r="F2207" t="s">
        <v>0</v>
      </c>
      <c r="G2207" t="str" cm="1">
        <f t="array" ref="G2207" xml:space="preserve"> FindCountryName(F2207)</f>
        <v>None</v>
      </c>
      <c r="H2207" s="1">
        <v>45276.251099537039</v>
      </c>
      <c r="I2207" s="1">
        <v>45276.251099537039</v>
      </c>
      <c r="J2207" s="1">
        <v>45276.250081018516</v>
      </c>
      <c r="K2207" cm="1">
        <f t="array" ref="K2207" xml:space="preserve"> sentimentCalc(C2207)</f>
        <v>0</v>
      </c>
      <c r="L2207" t="str" cm="1">
        <f t="array" ref="L2207" xml:space="preserve"> sentimentCategory(K2207)</f>
        <v>Neutral</v>
      </c>
    </row>
    <row r="2208" spans="1:12">
      <c r="A2208" t="s">
        <v>1874</v>
      </c>
      <c r="B2208" t="s">
        <v>1993</v>
      </c>
      <c r="C2208" t="str" cm="1">
        <f t="array" ref="C2208" xml:space="preserve"> CleanText(B2208)</f>
        <v>better than 00</v>
      </c>
      <c r="D2208">
        <v>0</v>
      </c>
      <c r="E2208">
        <v>0</v>
      </c>
      <c r="F2208" t="s">
        <v>0</v>
      </c>
      <c r="G2208" t="str" cm="1">
        <f t="array" ref="G2208" xml:space="preserve"> FindCountryName(F2208)</f>
        <v>None</v>
      </c>
      <c r="H2208" s="1">
        <v>45276.240937499999</v>
      </c>
      <c r="I2208" s="1">
        <v>45276.240937499999</v>
      </c>
      <c r="J2208" s="1">
        <v>42184.165439814817</v>
      </c>
      <c r="K2208" cm="1">
        <f t="array" ref="K2208" xml:space="preserve"> sentimentCalc(C2208)</f>
        <v>2</v>
      </c>
      <c r="L2208" t="str" cm="1">
        <f t="array" ref="L2208" xml:space="preserve"> sentimentCategory(K2208)</f>
        <v>Positive</v>
      </c>
    </row>
    <row r="2209" spans="1:12">
      <c r="A2209" t="s">
        <v>774</v>
      </c>
      <c r="B2209" t="s">
        <v>1992</v>
      </c>
      <c r="C2209" t="str" cm="1">
        <f t="array" ref="C2209" xml:space="preserve"> CleanText(B2209)</f>
        <v>i want to see everyones faces and all hyped up sht when katara blood bends if we get to that point</v>
      </c>
      <c r="D2209">
        <v>1</v>
      </c>
      <c r="E2209">
        <v>0</v>
      </c>
      <c r="F2209" t="s">
        <v>0</v>
      </c>
      <c r="G2209" t="str" cm="1">
        <f t="array" ref="G2209" xml:space="preserve"> FindCountryName(F2209)</f>
        <v>None</v>
      </c>
      <c r="H2209" s="1">
        <v>45276.229351851849</v>
      </c>
      <c r="I2209" s="1">
        <v>45276.229351851849</v>
      </c>
      <c r="J2209" s="1">
        <v>41733.339953703704</v>
      </c>
      <c r="K2209" cm="1">
        <f t="array" ref="K2209" xml:space="preserve"> sentimentCalc(C2209)</f>
        <v>1</v>
      </c>
      <c r="L2209" t="str" cm="1">
        <f t="array" ref="L2209" xml:space="preserve"> sentimentCategory(K2209)</f>
        <v>Positive</v>
      </c>
    </row>
    <row r="2210" spans="1:12">
      <c r="A2210" t="s">
        <v>1991</v>
      </c>
      <c r="B2210" t="s">
        <v>1990</v>
      </c>
      <c r="C2210" t="str" cm="1">
        <f t="array" ref="C2210" xml:space="preserve"> CleanText(B2210)</f>
        <v>i hope the cabbages man will feature</v>
      </c>
      <c r="D2210">
        <v>2</v>
      </c>
      <c r="E2210">
        <v>2</v>
      </c>
      <c r="F2210" t="s">
        <v>0</v>
      </c>
      <c r="G2210" t="str" cm="1">
        <f t="array" ref="G2210" xml:space="preserve"> FindCountryName(F2210)</f>
        <v>None</v>
      </c>
      <c r="H2210" s="1">
        <v>45276.205520833333</v>
      </c>
      <c r="I2210" s="1">
        <v>45276.205520833333</v>
      </c>
      <c r="J2210" s="1">
        <v>40724.248333333337</v>
      </c>
      <c r="K2210" cm="1">
        <f t="array" ref="K2210" xml:space="preserve"> sentimentCalc(C2210)</f>
        <v>2</v>
      </c>
      <c r="L2210" t="str" cm="1">
        <f t="array" ref="L2210" xml:space="preserve"> sentimentCategory(K2210)</f>
        <v>Positive</v>
      </c>
    </row>
    <row r="2211" spans="1:12">
      <c r="A2211" t="s">
        <v>257</v>
      </c>
      <c r="B2211" t="s">
        <v>1989</v>
      </c>
      <c r="C2211" t="str" cm="1">
        <f t="array" ref="C2211" xml:space="preserve"> CleanText(B2211)</f>
        <v>oh finally no more indian zuko no more indian uncle iroh</v>
      </c>
      <c r="D2211">
        <v>1</v>
      </c>
      <c r="E2211">
        <v>0</v>
      </c>
      <c r="F2211" t="s">
        <v>0</v>
      </c>
      <c r="G2211" t="str" cm="1">
        <f t="array" ref="G2211" xml:space="preserve"> FindCountryName(F2211)</f>
        <v>None</v>
      </c>
      <c r="H2211" s="1">
        <v>45276.114699074074</v>
      </c>
      <c r="I2211" s="1">
        <v>45276.114699074074</v>
      </c>
      <c r="J2211" s="1">
        <v>44554.04787037037</v>
      </c>
      <c r="K2211" cm="1">
        <f t="array" ref="K2211" xml:space="preserve"> sentimentCalc(C2211)</f>
        <v>-2</v>
      </c>
      <c r="L2211" t="str" cm="1">
        <f t="array" ref="L2211" xml:space="preserve"> sentimentCategory(K2211)</f>
        <v>Negative</v>
      </c>
    </row>
    <row r="2212" spans="1:12">
      <c r="A2212" t="s">
        <v>301</v>
      </c>
      <c r="B2212" t="s">
        <v>1988</v>
      </c>
      <c r="C2212" t="str" cm="1">
        <f t="array" ref="C2212" xml:space="preserve"> CleanText(B2212)</f>
        <v>si queran hacer a zuko asitico tena que ser coreano guapo blanco alto no chinoy katara es morena no blanca esto explica por qu despus de un mes no haba visto noticias de este trailer el de one piece lo vi a escasas hr de haber salido y sin conocer la historia me emocion todanup nup nup</v>
      </c>
      <c r="D2212">
        <v>0</v>
      </c>
      <c r="E2212">
        <v>1</v>
      </c>
      <c r="F2212" t="s">
        <v>0</v>
      </c>
      <c r="G2212" t="str" cm="1">
        <f t="array" ref="G2212" xml:space="preserve"> FindCountryName(F2212)</f>
        <v>None</v>
      </c>
      <c r="H2212" s="1">
        <v>45276.091817129629</v>
      </c>
      <c r="I2212" s="1">
        <v>45276.091817129629</v>
      </c>
      <c r="J2212" s="1">
        <v>42236.673715277779</v>
      </c>
      <c r="K2212" cm="1">
        <f t="array" ref="K2212" xml:space="preserve"> sentimentCalc(C2212)</f>
        <v>-3</v>
      </c>
      <c r="L2212" t="str" cm="1">
        <f t="array" ref="L2212" xml:space="preserve"> sentimentCategory(K2212)</f>
        <v>Negative</v>
      </c>
    </row>
    <row r="2213" spans="1:12">
      <c r="A2213" t="s">
        <v>1987</v>
      </c>
      <c r="B2213" t="s">
        <v>1986</v>
      </c>
      <c r="C2213" t="str" cm="1">
        <f t="array" ref="C2213" xml:space="preserve"> CleanText(B2213)</f>
        <v>i wanna see toph in live action ahhhhhhhhhh</v>
      </c>
      <c r="D2213">
        <v>2</v>
      </c>
      <c r="E2213">
        <v>0</v>
      </c>
      <c r="F2213" t="s">
        <v>0</v>
      </c>
      <c r="G2213" t="str" cm="1">
        <f t="array" ref="G2213" xml:space="preserve"> FindCountryName(F2213)</f>
        <v>None</v>
      </c>
      <c r="H2213" s="1">
        <v>45276.066192129627</v>
      </c>
      <c r="I2213" s="1">
        <v>45276.066192129627</v>
      </c>
      <c r="J2213" s="1">
        <v>44121.464745370373</v>
      </c>
      <c r="K2213" cm="1">
        <f t="array" ref="K2213" xml:space="preserve"> sentimentCalc(C2213)</f>
        <v>0</v>
      </c>
      <c r="L2213" t="str" cm="1">
        <f t="array" ref="L2213" xml:space="preserve"> sentimentCategory(K2213)</f>
        <v>Neutral</v>
      </c>
    </row>
    <row r="2214" spans="1:12">
      <c r="A2214" t="s">
        <v>388</v>
      </c>
      <c r="B2214" t="s">
        <v>1985</v>
      </c>
      <c r="C2214" t="str" cm="1">
        <f t="array" ref="C2214" xml:space="preserve"> CleanText(B2214)</f>
        <v>this actually looks good avatar is a rare one where i hope they are not afraid to explore more about the world the original was so good i dont see a point in an exact copy because it will fail i hope they stay respectful but maybe give me more about the side characters or new arcs the original didnt have time for</v>
      </c>
      <c r="D2214">
        <v>1</v>
      </c>
      <c r="E2214">
        <v>0</v>
      </c>
      <c r="F2214" t="s">
        <v>0</v>
      </c>
      <c r="G2214" t="str" cm="1">
        <f t="array" ref="G2214" xml:space="preserve"> FindCountryName(F2214)</f>
        <v>None</v>
      </c>
      <c r="H2214" s="1">
        <v>45276.054224537038</v>
      </c>
      <c r="I2214" s="1">
        <v>45276.054224537038</v>
      </c>
      <c r="J2214" s="1">
        <v>40954.932152777779</v>
      </c>
      <c r="K2214" cm="1">
        <f t="array" ref="K2214" xml:space="preserve"> sentimentCalc(C2214)</f>
        <v>6</v>
      </c>
      <c r="L2214" t="str" cm="1">
        <f t="array" ref="L2214" xml:space="preserve"> sentimentCategory(K2214)</f>
        <v>Positive</v>
      </c>
    </row>
    <row r="2215" spans="1:12">
      <c r="A2215" t="s">
        <v>434</v>
      </c>
      <c r="B2215" t="s">
        <v>1984</v>
      </c>
      <c r="C2215" t="str" cm="1">
        <f t="array" ref="C2215" xml:space="preserve"> CleanText(B2215)</f>
        <v>finally and hopefully a worthy and better version of avatar the last airbender trailer looks interesting   cant wait to watch it</v>
      </c>
      <c r="D2215">
        <v>2</v>
      </c>
      <c r="E2215">
        <v>0</v>
      </c>
      <c r="F2215" t="s">
        <v>19</v>
      </c>
      <c r="G2215" t="str" cm="1">
        <f t="array" ref="G2215" xml:space="preserve"> FindCountryName(F2215)</f>
        <v>United States of America (the)</v>
      </c>
      <c r="H2215" s="1">
        <v>45276.052187499998</v>
      </c>
      <c r="I2215" s="1">
        <v>45276.052187499998</v>
      </c>
      <c r="J2215" s="1">
        <v>40823.483356481483</v>
      </c>
      <c r="K2215" cm="1">
        <f t="array" ref="K2215" xml:space="preserve"> sentimentCalc(C2215)</f>
        <v>8</v>
      </c>
      <c r="L2215" t="str" cm="1">
        <f t="array" ref="L2215" xml:space="preserve"> sentimentCategory(K2215)</f>
        <v>Positive</v>
      </c>
    </row>
    <row r="2216" spans="1:12">
      <c r="A2216" t="s">
        <v>1983</v>
      </c>
      <c r="B2216" t="s">
        <v>1982</v>
      </c>
      <c r="C2216" t="str" cm="1">
        <f t="array" ref="C2216" xml:space="preserve"> CleanText(B2216)</f>
        <v>gak sabar pengen nonton duhhhhhh</v>
      </c>
      <c r="D2216">
        <v>0</v>
      </c>
      <c r="E2216">
        <v>0</v>
      </c>
      <c r="F2216" t="s">
        <v>0</v>
      </c>
      <c r="G2216" t="str" cm="1">
        <f t="array" ref="G2216" xml:space="preserve"> FindCountryName(F2216)</f>
        <v>None</v>
      </c>
      <c r="H2216" s="1">
        <v>45276.014814814815</v>
      </c>
      <c r="I2216" s="1">
        <v>45276.014814814815</v>
      </c>
      <c r="J2216" s="1">
        <v>45014.184421296297</v>
      </c>
      <c r="K2216" cm="1">
        <f t="array" ref="K2216" xml:space="preserve"> sentimentCalc(C2216)</f>
        <v>0</v>
      </c>
      <c r="L2216" t="str" cm="1">
        <f t="array" ref="L2216" xml:space="preserve"> sentimentCategory(K2216)</f>
        <v>Neutral</v>
      </c>
    </row>
    <row r="2217" spans="1:12">
      <c r="A2217" t="s">
        <v>1981</v>
      </c>
      <c r="B2217" t="s">
        <v>1980</v>
      </c>
      <c r="C2217" t="str" cm="1">
        <f t="array" ref="C2217" xml:space="preserve"> CleanText(B2217)</f>
        <v>this looks just like m nights yikes</v>
      </c>
      <c r="D2217">
        <v>0</v>
      </c>
      <c r="E2217">
        <v>0</v>
      </c>
      <c r="F2217" t="s">
        <v>0</v>
      </c>
      <c r="G2217" t="str" cm="1">
        <f t="array" ref="G2217" xml:space="preserve"> FindCountryName(F2217)</f>
        <v>None</v>
      </c>
      <c r="H2217" s="1">
        <v>45276.011319444442</v>
      </c>
      <c r="I2217" s="1">
        <v>45276.011319444442</v>
      </c>
      <c r="J2217" s="1">
        <v>40529.762962962966</v>
      </c>
      <c r="K2217" cm="1">
        <f t="array" ref="K2217" xml:space="preserve"> sentimentCalc(C2217)</f>
        <v>2</v>
      </c>
      <c r="L2217" t="str" cm="1">
        <f t="array" ref="L2217" xml:space="preserve"> sentimentCategory(K2217)</f>
        <v>Positive</v>
      </c>
    </row>
    <row r="2218" spans="1:12">
      <c r="A2218" t="s">
        <v>1979</v>
      </c>
      <c r="B2218" t="s">
        <v>1978</v>
      </c>
      <c r="C2218" t="str" cm="1">
        <f t="array" ref="C2218" xml:space="preserve"> CleanText(B2218)</f>
        <v>hopefully dave filoni helps make it</v>
      </c>
      <c r="D2218">
        <v>0</v>
      </c>
      <c r="E2218">
        <v>0</v>
      </c>
      <c r="F2218" t="s">
        <v>0</v>
      </c>
      <c r="G2218" t="str" cm="1">
        <f t="array" ref="G2218" xml:space="preserve"> FindCountryName(F2218)</f>
        <v>None</v>
      </c>
      <c r="H2218" s="1">
        <v>45275.97378472222</v>
      </c>
      <c r="I2218" s="1">
        <v>45275.97378472222</v>
      </c>
      <c r="J2218" s="1">
        <v>44349.925844907404</v>
      </c>
      <c r="K2218" cm="1">
        <f t="array" ref="K2218" xml:space="preserve"> sentimentCalc(C2218)</f>
        <v>4</v>
      </c>
      <c r="L2218" t="str" cm="1">
        <f t="array" ref="L2218" xml:space="preserve"> sentimentCategory(K2218)</f>
        <v>Positive</v>
      </c>
    </row>
    <row r="2219" spans="1:12">
      <c r="A2219" t="s">
        <v>1977</v>
      </c>
      <c r="B2219" t="s">
        <v>1976</v>
      </c>
      <c r="C2219" t="str" cm="1">
        <f t="array" ref="C2219" xml:space="preserve"> CleanText(B2219)</f>
        <v>is it white washed</v>
      </c>
      <c r="D2219">
        <v>0</v>
      </c>
      <c r="E2219">
        <v>0</v>
      </c>
      <c r="F2219" t="s">
        <v>0</v>
      </c>
      <c r="G2219" t="str" cm="1">
        <f t="array" ref="G2219" xml:space="preserve"> FindCountryName(F2219)</f>
        <v>None</v>
      </c>
      <c r="H2219" s="1">
        <v>45275.921967592592</v>
      </c>
      <c r="I2219" s="1">
        <v>45275.921967592592</v>
      </c>
      <c r="J2219" s="1">
        <v>44217.972303240742</v>
      </c>
      <c r="K2219" cm="1">
        <f t="array" ref="K2219" xml:space="preserve"> sentimentCalc(C2219)</f>
        <v>0</v>
      </c>
      <c r="L2219" t="str" cm="1">
        <f t="array" ref="L2219" xml:space="preserve"> sentimentCategory(K2219)</f>
        <v>Neutral</v>
      </c>
    </row>
    <row r="2220" spans="1:12">
      <c r="A2220" t="s">
        <v>1975</v>
      </c>
      <c r="B2220" t="s">
        <v>1974</v>
      </c>
      <c r="C2220" t="str" cm="1">
        <f t="array" ref="C2220" xml:space="preserve"> CleanText(B2220)</f>
        <v>i mean idki give it a chance i guess one piece was a banger and they nailed it maybe this will be good as well</v>
      </c>
      <c r="D2220">
        <v>1</v>
      </c>
      <c r="E2220">
        <v>0</v>
      </c>
      <c r="F2220" t="s">
        <v>0</v>
      </c>
      <c r="G2220" t="str" cm="1">
        <f t="array" ref="G2220" xml:space="preserve"> FindCountryName(F2220)</f>
        <v>None</v>
      </c>
      <c r="H2220" s="1">
        <v>45275.90834490741</v>
      </c>
      <c r="I2220" s="1">
        <v>45275.90834490741</v>
      </c>
      <c r="J2220" s="1">
        <v>40658.619016203702</v>
      </c>
      <c r="K2220" cm="1">
        <f t="array" ref="K2220" xml:space="preserve"> sentimentCalc(C2220)</f>
        <v>5</v>
      </c>
      <c r="L2220" t="str" cm="1">
        <f t="array" ref="L2220" xml:space="preserve"> sentimentCategory(K2220)</f>
        <v>Positive</v>
      </c>
    </row>
    <row r="2221" spans="1:12">
      <c r="A2221" t="s">
        <v>340</v>
      </c>
      <c r="B2221" t="s">
        <v>1973</v>
      </c>
      <c r="C2221" t="str" cm="1">
        <f t="array" ref="C2221" xml:space="preserve"> CleanText(B2221)</f>
        <v>hey look accuracy</v>
      </c>
      <c r="D2221">
        <v>1</v>
      </c>
      <c r="E2221">
        <v>0</v>
      </c>
      <c r="F2221" t="s">
        <v>0</v>
      </c>
      <c r="G2221" t="str" cm="1">
        <f t="array" ref="G2221" xml:space="preserve"> FindCountryName(F2221)</f>
        <v>None</v>
      </c>
      <c r="H2221" s="1">
        <v>45275.886284722219</v>
      </c>
      <c r="I2221" s="1">
        <v>45275.886284722219</v>
      </c>
      <c r="J2221" s="1">
        <v>39517.895486111112</v>
      </c>
      <c r="K2221" cm="1">
        <f t="array" ref="K2221" xml:space="preserve"> sentimentCalc(C2221)</f>
        <v>0</v>
      </c>
      <c r="L2221" t="str" cm="1">
        <f t="array" ref="L2221" xml:space="preserve"> sentimentCategory(K2221)</f>
        <v>Neutral</v>
      </c>
    </row>
    <row r="2222" spans="1:12">
      <c r="A2222" t="s">
        <v>320</v>
      </c>
      <c r="B2222" t="s">
        <v>1972</v>
      </c>
      <c r="C2222" t="str" cm="1">
        <f t="array" ref="C2222" xml:space="preserve"> CleanText(B2222)</f>
        <v>i hope its not trash like the last one_xD83D_</v>
      </c>
      <c r="D2222">
        <v>0</v>
      </c>
      <c r="E2222">
        <v>0</v>
      </c>
      <c r="F2222" t="s">
        <v>0</v>
      </c>
      <c r="G2222" t="str" cm="1">
        <f t="array" ref="G2222" xml:space="preserve"> FindCountryName(F2222)</f>
        <v>None</v>
      </c>
      <c r="H2222" s="1">
        <v>45275.881064814814</v>
      </c>
      <c r="I2222" s="1">
        <v>45275.881064814814</v>
      </c>
      <c r="J2222" s="1">
        <v>44935.121574074074</v>
      </c>
      <c r="K2222" cm="1">
        <f t="array" ref="K2222" xml:space="preserve"> sentimentCalc(C2222)</f>
        <v>4</v>
      </c>
      <c r="L2222" t="str" cm="1">
        <f t="array" ref="L2222" xml:space="preserve"> sentimentCategory(K2222)</f>
        <v>Positive</v>
      </c>
    </row>
    <row r="2223" spans="1:12">
      <c r="A2223" t="s">
        <v>351</v>
      </c>
      <c r="B2223" t="s">
        <v>1971</v>
      </c>
      <c r="C2223" t="str" cm="1">
        <f t="array" ref="C2223" xml:space="preserve"> CleanText(B2223)</f>
        <v>you already screwed up stop trying to make the last airbender serious the first movie failed doing the exact same thing this movie will fail making the same mistakes atla was good because of action and humor if you remove the humor you will lose this will bomb i promise you</v>
      </c>
      <c r="D2223">
        <v>2</v>
      </c>
      <c r="E2223">
        <v>1</v>
      </c>
      <c r="F2223" t="s">
        <v>0</v>
      </c>
      <c r="G2223" t="str" cm="1">
        <f t="array" ref="G2223" xml:space="preserve"> FindCountryName(F2223)</f>
        <v>None</v>
      </c>
      <c r="H2223" s="1">
        <v>45275.849826388891</v>
      </c>
      <c r="I2223" s="1">
        <v>45275.849826388891</v>
      </c>
      <c r="J2223" s="1">
        <v>39267.170659722222</v>
      </c>
      <c r="K2223" cm="1">
        <f t="array" ref="K2223" xml:space="preserve"> sentimentCalc(C2223)</f>
        <v>-2</v>
      </c>
      <c r="L2223" t="str" cm="1">
        <f t="array" ref="L2223" xml:space="preserve"> sentimentCategory(K2223)</f>
        <v>Negative</v>
      </c>
    </row>
    <row r="2224" spans="1:12">
      <c r="A2224" t="s">
        <v>58</v>
      </c>
      <c r="B2224" t="s">
        <v>1970</v>
      </c>
      <c r="C2224" t="str" cm="1">
        <f t="array" ref="C2224" xml:space="preserve"> CleanText(B2224)</f>
        <v>im ready for it but if any of them says ong im turning it the fk off_xDE02_</v>
      </c>
      <c r="D2224">
        <v>1</v>
      </c>
      <c r="E2224">
        <v>0</v>
      </c>
      <c r="F2224" t="s">
        <v>0</v>
      </c>
      <c r="G2224" t="str" cm="1">
        <f t="array" ref="G2224" xml:space="preserve"> FindCountryName(F2224)</f>
        <v>None</v>
      </c>
      <c r="H2224" s="1">
        <v>45275.836574074077</v>
      </c>
      <c r="I2224" s="1">
        <v>45275.836574074077</v>
      </c>
      <c r="J2224" s="1">
        <v>44383.015081018515</v>
      </c>
      <c r="K2224" cm="1">
        <f t="array" ref="K2224" xml:space="preserve"> sentimentCalc(C2224)</f>
        <v>0</v>
      </c>
      <c r="L2224" t="str" cm="1">
        <f t="array" ref="L2224" xml:space="preserve"> sentimentCategory(K2224)</f>
        <v>Neutral</v>
      </c>
    </row>
    <row r="2225" spans="1:12">
      <c r="A2225" t="s">
        <v>1213</v>
      </c>
      <c r="B2225" t="s">
        <v>1969</v>
      </c>
      <c r="C2225" t="str" cm="1">
        <f t="array" ref="C2225" xml:space="preserve"> CleanText(B2225)</f>
        <v>fye fye</v>
      </c>
      <c r="D2225">
        <v>0</v>
      </c>
      <c r="E2225">
        <v>0</v>
      </c>
      <c r="F2225" t="s">
        <v>0</v>
      </c>
      <c r="G2225" t="str" cm="1">
        <f t="array" ref="G2225" xml:space="preserve"> FindCountryName(F2225)</f>
        <v>None</v>
      </c>
      <c r="H2225" s="1">
        <v>45275.831400462965</v>
      </c>
      <c r="I2225" s="1">
        <v>45275.831400462965</v>
      </c>
      <c r="J2225" s="1">
        <v>42780.851990740739</v>
      </c>
      <c r="K2225" cm="1">
        <f t="array" ref="K2225" xml:space="preserve"> sentimentCalc(C2225)</f>
        <v>0</v>
      </c>
      <c r="L2225" t="str" cm="1">
        <f t="array" ref="L2225" xml:space="preserve"> sentimentCategory(K2225)</f>
        <v>Neutral</v>
      </c>
    </row>
    <row r="2226" spans="1:12">
      <c r="A2226" t="s">
        <v>1968</v>
      </c>
      <c r="B2226" t="s">
        <v>1967</v>
      </c>
      <c r="C2226" t="str" cm="1">
        <f t="array" ref="C2226" xml:space="preserve"> CleanText(B2226)</f>
        <v>oh hell no</v>
      </c>
      <c r="D2226">
        <v>1</v>
      </c>
      <c r="E2226">
        <v>0</v>
      </c>
      <c r="F2226" t="s">
        <v>0</v>
      </c>
      <c r="G2226" t="str" cm="1">
        <f t="array" ref="G2226" xml:space="preserve"> FindCountryName(F2226)</f>
        <v>None</v>
      </c>
      <c r="H2226" s="1">
        <v>45275.813564814816</v>
      </c>
      <c r="I2226" s="1">
        <v>45275.813564814816</v>
      </c>
      <c r="J2226" s="1">
        <v>45008.053333333337</v>
      </c>
      <c r="K2226" cm="1">
        <f t="array" ref="K2226" xml:space="preserve"> sentimentCalc(C2226)</f>
        <v>-5</v>
      </c>
      <c r="L2226" t="str" cm="1">
        <f t="array" ref="L2226" xml:space="preserve"> sentimentCategory(K2226)</f>
        <v>Negative</v>
      </c>
    </row>
    <row r="2227" spans="1:12">
      <c r="A2227" t="s">
        <v>950</v>
      </c>
      <c r="B2227" t="s">
        <v>1966</v>
      </c>
      <c r="C2227" t="str" cm="1">
        <f t="array" ref="C2227" xml:space="preserve"> CleanText(B2227)</f>
        <v>being in my 0s yet _xDE05_excited</v>
      </c>
      <c r="D2227">
        <v>2</v>
      </c>
      <c r="E2227">
        <v>0</v>
      </c>
      <c r="F2227" t="s">
        <v>0</v>
      </c>
      <c r="G2227" t="str" cm="1">
        <f t="array" ref="G2227" xml:space="preserve"> FindCountryName(F2227)</f>
        <v>None</v>
      </c>
      <c r="H2227" s="1">
        <v>45275.808576388888</v>
      </c>
      <c r="I2227" s="1">
        <v>45275.808576388888</v>
      </c>
      <c r="J2227" s="1">
        <v>41656.852569444447</v>
      </c>
      <c r="K2227" cm="1">
        <f t="array" ref="K2227" xml:space="preserve"> sentimentCalc(C2227)</f>
        <v>0</v>
      </c>
      <c r="L2227" t="str" cm="1">
        <f t="array" ref="L2227" xml:space="preserve"> sentimentCategory(K2227)</f>
        <v>Neutral</v>
      </c>
    </row>
    <row r="2228" spans="1:12">
      <c r="A2228" t="s">
        <v>1965</v>
      </c>
      <c r="B2228" t="s">
        <v>1964</v>
      </c>
      <c r="C2228" t="str" cm="1">
        <f t="array" ref="C2228" xml:space="preserve"> CleanText(B2228)</f>
        <v>the theme still hits hard smh</v>
      </c>
      <c r="D2228">
        <v>2</v>
      </c>
      <c r="E2228">
        <v>0</v>
      </c>
      <c r="F2228" t="s">
        <v>0</v>
      </c>
      <c r="G2228" t="str" cm="1">
        <f t="array" ref="G2228" xml:space="preserve"> FindCountryName(F2228)</f>
        <v>None</v>
      </c>
      <c r="H2228" s="1">
        <v>45275.804027777776</v>
      </c>
      <c r="I2228" s="1">
        <v>45275.804027777776</v>
      </c>
      <c r="J2228" s="1">
        <v>44165.756724537037</v>
      </c>
      <c r="K2228" cm="1">
        <f t="array" ref="K2228" xml:space="preserve"> sentimentCalc(C2228)</f>
        <v>-1</v>
      </c>
      <c r="L2228" t="str" cm="1">
        <f t="array" ref="L2228" xml:space="preserve"> sentimentCategory(K2228)</f>
        <v>Negative</v>
      </c>
    </row>
    <row r="2229" spans="1:12">
      <c r="A2229" t="s">
        <v>1963</v>
      </c>
      <c r="B2229" t="s">
        <v>1962</v>
      </c>
      <c r="C2229" t="str" cm="1">
        <f t="array" ref="C2229" xml:space="preserve"> CleanText(B2229)</f>
        <v>fingers crossed</v>
      </c>
      <c r="D2229">
        <v>0</v>
      </c>
      <c r="E2229">
        <v>0</v>
      </c>
      <c r="F2229" t="s">
        <v>1961</v>
      </c>
      <c r="G2229" t="str" cm="1">
        <f t="array" ref="G2229" xml:space="preserve"> FindCountryName(F2229)</f>
        <v>Australia</v>
      </c>
      <c r="H2229" s="1">
        <v>45275.77144675926</v>
      </c>
      <c r="I2229" s="1">
        <v>45275.77144675926</v>
      </c>
      <c r="J2229" s="1">
        <v>44052.25104166667</v>
      </c>
      <c r="K2229" cm="1">
        <f t="array" ref="K2229" xml:space="preserve"> sentimentCalc(C2229)</f>
        <v>0</v>
      </c>
      <c r="L2229" t="str" cm="1">
        <f t="array" ref="L2229" xml:space="preserve"> sentimentCategory(K2229)</f>
        <v>Neutral</v>
      </c>
    </row>
    <row r="2230" spans="1:12">
      <c r="A2230" t="s">
        <v>306</v>
      </c>
      <c r="B2230" t="s">
        <v>1960</v>
      </c>
      <c r="C2230" t="str" cm="1">
        <f t="array" ref="C2230" xml:space="preserve"> CleanText(B2230)</f>
        <v>cant wait</v>
      </c>
      <c r="D2230">
        <v>0</v>
      </c>
      <c r="E2230">
        <v>0</v>
      </c>
      <c r="F2230" t="s">
        <v>0</v>
      </c>
      <c r="G2230" t="str" cm="1">
        <f t="array" ref="G2230" xml:space="preserve"> FindCountryName(F2230)</f>
        <v>None</v>
      </c>
      <c r="H2230" s="1">
        <v>45275.767268518517</v>
      </c>
      <c r="I2230" s="1">
        <v>45275.767268518517</v>
      </c>
      <c r="J2230" s="1">
        <v>45083.468645833331</v>
      </c>
      <c r="K2230" cm="1">
        <f t="array" ref="K2230" xml:space="preserve"> sentimentCalc(C2230)</f>
        <v>0</v>
      </c>
      <c r="L2230" t="str" cm="1">
        <f t="array" ref="L2230" xml:space="preserve"> sentimentCategory(K2230)</f>
        <v>Neutral</v>
      </c>
    </row>
    <row r="2231" spans="1:12">
      <c r="A2231" t="s">
        <v>108</v>
      </c>
      <c r="B2231" t="s">
        <v>1959</v>
      </c>
      <c r="C2231" t="str" cm="1">
        <f t="array" ref="C2231" xml:space="preserve"> CleanText(B2231)</f>
        <v>bu dzy tam  yildir beklyorum srekl ptal oldu ve sonunda gelebld ok heyecanliyim ve sana gvenyorum netflx harkasin</v>
      </c>
      <c r="D2231">
        <v>0</v>
      </c>
      <c r="E2231">
        <v>0</v>
      </c>
      <c r="F2231" t="s">
        <v>0</v>
      </c>
      <c r="G2231" t="str" cm="1">
        <f t="array" ref="G2231" xml:space="preserve"> FindCountryName(F2231)</f>
        <v>None</v>
      </c>
      <c r="H2231" s="1">
        <v>45275.76525462963</v>
      </c>
      <c r="I2231" s="1">
        <v>45275.76525462963</v>
      </c>
      <c r="J2231" s="1">
        <v>44368.528078703705</v>
      </c>
      <c r="K2231" cm="1">
        <f t="array" ref="K2231" xml:space="preserve"> sentimentCalc(C2231)</f>
        <v>0</v>
      </c>
      <c r="L2231" t="str" cm="1">
        <f t="array" ref="L2231" xml:space="preserve"> sentimentCategory(K2231)</f>
        <v>Neutral</v>
      </c>
    </row>
    <row r="2232" spans="1:12">
      <c r="A2232" t="s">
        <v>824</v>
      </c>
      <c r="B2232" t="s">
        <v>1958</v>
      </c>
      <c r="C2232" t="str" cm="1">
        <f t="array" ref="C2232" xml:space="preserve"> CleanText(B2232)</f>
        <v>if this bad like the first one ima be tight</v>
      </c>
      <c r="D2232">
        <v>0</v>
      </c>
      <c r="E2232">
        <v>0</v>
      </c>
      <c r="F2232" t="s">
        <v>0</v>
      </c>
      <c r="G2232" t="str" cm="1">
        <f t="array" ref="G2232" xml:space="preserve"> FindCountryName(F2232)</f>
        <v>None</v>
      </c>
      <c r="H2232" s="1">
        <v>45275.751354166663</v>
      </c>
      <c r="I2232" s="1">
        <v>45275.751354166663</v>
      </c>
      <c r="J2232" s="1">
        <v>43845.328530092593</v>
      </c>
      <c r="K2232" cm="1">
        <f t="array" ref="K2232" xml:space="preserve"> sentimentCalc(C2232)</f>
        <v>-1</v>
      </c>
      <c r="L2232" t="str" cm="1">
        <f t="array" ref="L2232" xml:space="preserve"> sentimentCategory(K2232)</f>
        <v>Negative</v>
      </c>
    </row>
    <row r="2233" spans="1:12">
      <c r="A2233" t="s">
        <v>1957</v>
      </c>
      <c r="B2233" t="s">
        <v>1956</v>
      </c>
      <c r="C2233" t="str" cm="1">
        <f t="array" ref="C2233" xml:space="preserve"> CleanText(B2233)</f>
        <v>this will all depend on how much justice they did my boy sokka</v>
      </c>
      <c r="D2233">
        <v>1660</v>
      </c>
      <c r="E2233">
        <v>22</v>
      </c>
      <c r="F2233" t="s">
        <v>0</v>
      </c>
      <c r="G2233" t="str" cm="1">
        <f t="array" ref="G2233" xml:space="preserve"> FindCountryName(F2233)</f>
        <v>None</v>
      </c>
      <c r="H2233" s="1">
        <v>45275.747824074075</v>
      </c>
      <c r="I2233" s="1">
        <v>45275.747824074075</v>
      </c>
      <c r="J2233" s="1">
        <v>40591.313726851855</v>
      </c>
      <c r="K2233" cm="1">
        <f t="array" ref="K2233" xml:space="preserve"> sentimentCalc(C2233)</f>
        <v>2</v>
      </c>
      <c r="L2233" t="str" cm="1">
        <f t="array" ref="L2233" xml:space="preserve"> sentimentCategory(K2233)</f>
        <v>Positive</v>
      </c>
    </row>
    <row r="2234" spans="1:12">
      <c r="A2234" t="s">
        <v>1042</v>
      </c>
      <c r="B2234" t="s">
        <v>1955</v>
      </c>
      <c r="C2234" t="str" cm="1">
        <f t="array" ref="C2234" xml:space="preserve"> CleanText(B2234)</f>
        <v>you know the best we can hope for is a shallow retread of the original the animated show was already perfect the way it was and this is coming from someone who wasnt big on it what can this really add to it</v>
      </c>
      <c r="D2234">
        <v>0</v>
      </c>
      <c r="E2234">
        <v>0</v>
      </c>
      <c r="F2234" t="s">
        <v>0</v>
      </c>
      <c r="G2234" t="str" cm="1">
        <f t="array" ref="G2234" xml:space="preserve"> FindCountryName(F2234)</f>
        <v>None</v>
      </c>
      <c r="H2234" s="1">
        <v>45275.726458333331</v>
      </c>
      <c r="I2234" s="1">
        <v>45275.726458333331</v>
      </c>
      <c r="J2234" s="1">
        <v>39597.597534722219</v>
      </c>
      <c r="K2234" cm="1">
        <f t="array" ref="K2234" xml:space="preserve"> sentimentCalc(C2234)</f>
        <v>9</v>
      </c>
      <c r="L2234" t="str" cm="1">
        <f t="array" ref="L2234" xml:space="preserve"> sentimentCategory(K2234)</f>
        <v>Positive</v>
      </c>
    </row>
    <row r="2235" spans="1:12">
      <c r="A2235" t="s">
        <v>483</v>
      </c>
      <c r="B2235" t="s">
        <v>1954</v>
      </c>
      <c r="C2235" t="str" cm="1">
        <f t="array" ref="C2235" xml:space="preserve"> CleanText(B2235)</f>
        <v>cgi looks horrible bad vibe from this trailer</v>
      </c>
      <c r="D2235">
        <v>0</v>
      </c>
      <c r="E2235">
        <v>0</v>
      </c>
      <c r="F2235" t="s">
        <v>0</v>
      </c>
      <c r="G2235" t="str" cm="1">
        <f t="array" ref="G2235" xml:space="preserve"> FindCountryName(F2235)</f>
        <v>None</v>
      </c>
      <c r="H2235" s="1">
        <v>45275.644560185188</v>
      </c>
      <c r="I2235" s="1">
        <v>45275.644560185188</v>
      </c>
      <c r="J2235" s="1">
        <v>42592.615891203706</v>
      </c>
      <c r="K2235" cm="1">
        <f t="array" ref="K2235" xml:space="preserve"> sentimentCalc(C2235)</f>
        <v>-6</v>
      </c>
      <c r="L2235" t="str" cm="1">
        <f t="array" ref="L2235" xml:space="preserve"> sentimentCategory(K2235)</f>
        <v>Negative</v>
      </c>
    </row>
    <row r="2236" spans="1:12">
      <c r="A2236" t="s">
        <v>30</v>
      </c>
      <c r="B2236" t="s">
        <v>1953</v>
      </c>
      <c r="C2236" t="str" cm="1">
        <f t="array" ref="C2236" xml:space="preserve"> CleanText(B2236)</f>
        <v>come back to ur golden era netflix we need ya</v>
      </c>
      <c r="D2236">
        <v>0</v>
      </c>
      <c r="E2236">
        <v>0</v>
      </c>
      <c r="F2236" t="s">
        <v>0</v>
      </c>
      <c r="G2236" t="str" cm="1">
        <f t="array" ref="G2236" xml:space="preserve"> FindCountryName(F2236)</f>
        <v>None</v>
      </c>
      <c r="H2236" s="1">
        <v>45275.638391203705</v>
      </c>
      <c r="I2236" s="1">
        <v>45275.638391203705</v>
      </c>
      <c r="J2236" s="1">
        <v>44765.713090277779</v>
      </c>
      <c r="K2236" cm="1">
        <f t="array" ref="K2236" xml:space="preserve"> sentimentCalc(C2236)</f>
        <v>0</v>
      </c>
      <c r="L2236" t="str" cm="1">
        <f t="array" ref="L2236" xml:space="preserve"> sentimentCategory(K2236)</f>
        <v>Neutral</v>
      </c>
    </row>
    <row r="2237" spans="1:12">
      <c r="A2237" t="s">
        <v>779</v>
      </c>
      <c r="B2237" t="s">
        <v>1952</v>
      </c>
      <c r="C2237" t="str" cm="1">
        <f t="array" ref="C2237" xml:space="preserve"> CleanText(B2237)</f>
        <v>i hope they can make lenged of korra live action series too that would be awesome</v>
      </c>
      <c r="D2237">
        <v>1</v>
      </c>
      <c r="E2237">
        <v>0</v>
      </c>
      <c r="F2237" t="s">
        <v>0</v>
      </c>
      <c r="G2237" t="str" cm="1">
        <f t="array" ref="G2237" xml:space="preserve"> FindCountryName(F2237)</f>
        <v>None</v>
      </c>
      <c r="H2237" s="1">
        <v>45275.634976851848</v>
      </c>
      <c r="I2237" s="1">
        <v>45275.634976851848</v>
      </c>
      <c r="J2237" s="1">
        <v>41351.548773148148</v>
      </c>
      <c r="K2237" cm="1">
        <f t="array" ref="K2237" xml:space="preserve"> sentimentCalc(C2237)</f>
        <v>6</v>
      </c>
      <c r="L2237" t="str" cm="1">
        <f t="array" ref="L2237" xml:space="preserve"> sentimentCategory(K2237)</f>
        <v>Positive</v>
      </c>
    </row>
    <row r="2238" spans="1:12">
      <c r="A2238" t="s">
        <v>41</v>
      </c>
      <c r="B2238" t="s">
        <v>1951</v>
      </c>
      <c r="C2238" t="str" cm="1">
        <f t="array" ref="C2238" xml:space="preserve"> CleanText(B2238)</f>
        <v>i love all the casting choices but why is zukos scar like that everything ells is fine just not thatthe costumes are so pretty i wish i could sew so i could make my own right this second</v>
      </c>
      <c r="D2238">
        <v>2</v>
      </c>
      <c r="E2238">
        <v>0</v>
      </c>
      <c r="F2238" t="s">
        <v>0</v>
      </c>
      <c r="G2238" t="str" cm="1">
        <f t="array" ref="G2238" xml:space="preserve"> FindCountryName(F2238)</f>
        <v>None</v>
      </c>
      <c r="H2238" s="1">
        <v>45275.623668981483</v>
      </c>
      <c r="I2238" s="1">
        <v>45275.624594907407</v>
      </c>
      <c r="J2238" s="1">
        <v>43916.897037037037</v>
      </c>
      <c r="K2238" cm="1">
        <f t="array" ref="K2238" xml:space="preserve"> sentimentCalc(C2238)</f>
        <v>9</v>
      </c>
      <c r="L2238" t="str" cm="1">
        <f t="array" ref="L2238" xml:space="preserve"> sentimentCategory(K2238)</f>
        <v>Positive</v>
      </c>
    </row>
    <row r="2239" spans="1:12">
      <c r="A2239" t="s">
        <v>343</v>
      </c>
      <c r="B2239" t="s">
        <v>1950</v>
      </c>
      <c r="C2239" t="str" cm="1">
        <f t="array" ref="C2239" xml:space="preserve"> CleanText(B2239)</f>
        <v>cant wait please release its releasing date</v>
      </c>
      <c r="D2239">
        <v>0</v>
      </c>
      <c r="E2239">
        <v>0</v>
      </c>
      <c r="F2239" t="s">
        <v>0</v>
      </c>
      <c r="G2239" t="str" cm="1">
        <f t="array" ref="G2239" xml:space="preserve"> FindCountryName(F2239)</f>
        <v>None</v>
      </c>
      <c r="H2239" s="1">
        <v>45275.604884259257</v>
      </c>
      <c r="I2239" s="1">
        <v>45275.604884259257</v>
      </c>
      <c r="J2239" s="1">
        <v>45145.205891203703</v>
      </c>
      <c r="K2239" cm="1">
        <f t="array" ref="K2239" xml:space="preserve"> sentimentCalc(C2239)</f>
        <v>1</v>
      </c>
      <c r="L2239" t="str" cm="1">
        <f t="array" ref="L2239" xml:space="preserve"> sentimentCategory(K2239)</f>
        <v>Positive</v>
      </c>
    </row>
    <row r="2240" spans="1:12">
      <c r="A2240" t="s">
        <v>1949</v>
      </c>
      <c r="B2240" t="s">
        <v>1948</v>
      </c>
      <c r="C2240" t="str" cm="1">
        <f t="array" ref="C2240" xml:space="preserve"> CleanText(B2240)</f>
        <v>this is looks way better than the movie cross your fingers that netflix does the series justice</v>
      </c>
      <c r="D2240">
        <v>3</v>
      </c>
      <c r="E2240">
        <v>0</v>
      </c>
      <c r="F2240" t="s">
        <v>0</v>
      </c>
      <c r="G2240" t="str" cm="1">
        <f t="array" ref="G2240" xml:space="preserve"> FindCountryName(F2240)</f>
        <v>None</v>
      </c>
      <c r="H2240" s="1">
        <v>45275.573055555556</v>
      </c>
      <c r="I2240" s="1">
        <v>45275.573055555556</v>
      </c>
      <c r="J2240" s="1">
        <v>45012.915289351855</v>
      </c>
      <c r="K2240" cm="1">
        <f t="array" ref="K2240" xml:space="preserve"> sentimentCalc(C2240)</f>
        <v>4</v>
      </c>
      <c r="L2240" t="str" cm="1">
        <f t="array" ref="L2240" xml:space="preserve"> sentimentCategory(K2240)</f>
        <v>Positive</v>
      </c>
    </row>
    <row r="2241" spans="1:12">
      <c r="A2241" t="s">
        <v>1947</v>
      </c>
      <c r="B2241" t="s">
        <v>1946</v>
      </c>
      <c r="C2241" t="str" cm="1">
        <f t="array" ref="C2241" xml:space="preserve"> CleanText(B2241)</f>
        <v>you know what you have to do better than you got this follow the script</v>
      </c>
      <c r="D2241">
        <v>0</v>
      </c>
      <c r="E2241">
        <v>1</v>
      </c>
      <c r="F2241" t="s">
        <v>0</v>
      </c>
      <c r="G2241" t="str" cm="1">
        <f t="array" ref="G2241" xml:space="preserve"> FindCountryName(F2241)</f>
        <v>None</v>
      </c>
      <c r="H2241" s="1">
        <v>45275.544618055559</v>
      </c>
      <c r="I2241" s="1">
        <v>45275.544618055559</v>
      </c>
      <c r="J2241" s="1">
        <v>40839.925219907411</v>
      </c>
      <c r="K2241" cm="1">
        <f t="array" ref="K2241" xml:space="preserve"> sentimentCalc(C2241)</f>
        <v>2</v>
      </c>
      <c r="L2241" t="str" cm="1">
        <f t="array" ref="L2241" xml:space="preserve"> sentimentCategory(K2241)</f>
        <v>Positive</v>
      </c>
    </row>
    <row r="2242" spans="1:12">
      <c r="A2242" t="s">
        <v>1945</v>
      </c>
      <c r="B2242" t="s">
        <v>1944</v>
      </c>
      <c r="C2242" t="str" cm="1">
        <f t="array" ref="C2242" xml:space="preserve"> CleanText(B2242)</f>
        <v>my god</v>
      </c>
      <c r="D2242">
        <v>0</v>
      </c>
      <c r="E2242">
        <v>0</v>
      </c>
      <c r="F2242" t="s">
        <v>0</v>
      </c>
      <c r="G2242" t="str" cm="1">
        <f t="array" ref="G2242" xml:space="preserve"> FindCountryName(F2242)</f>
        <v>None</v>
      </c>
      <c r="H2242" s="1">
        <v>45275.542881944442</v>
      </c>
      <c r="I2242" s="1">
        <v>45275.542881944442</v>
      </c>
      <c r="J2242" s="1">
        <v>44315.140914351854</v>
      </c>
      <c r="K2242" cm="1">
        <f t="array" ref="K2242" xml:space="preserve"> sentimentCalc(C2242)</f>
        <v>1</v>
      </c>
      <c r="L2242" t="str" cm="1">
        <f t="array" ref="L2242" xml:space="preserve"> sentimentCategory(K2242)</f>
        <v>Positive</v>
      </c>
    </row>
    <row r="2243" spans="1:12">
      <c r="A2243" t="s">
        <v>434</v>
      </c>
      <c r="B2243" t="s">
        <v>1943</v>
      </c>
      <c r="C2243" t="str" cm="1">
        <f t="array" ref="C2243" xml:space="preserve"> CleanText(B2243)</f>
        <v>i cant wait</v>
      </c>
      <c r="D2243">
        <v>1</v>
      </c>
      <c r="E2243">
        <v>0</v>
      </c>
      <c r="F2243" t="s">
        <v>0</v>
      </c>
      <c r="G2243" t="str" cm="1">
        <f t="array" ref="G2243" xml:space="preserve"> FindCountryName(F2243)</f>
        <v>None</v>
      </c>
      <c r="H2243" s="1">
        <v>45275.476886574077</v>
      </c>
      <c r="I2243" s="1">
        <v>45275.476886574077</v>
      </c>
      <c r="J2243" s="1">
        <v>39321.790173611109</v>
      </c>
      <c r="K2243" cm="1">
        <f t="array" ref="K2243" xml:space="preserve"> sentimentCalc(C2243)</f>
        <v>0</v>
      </c>
      <c r="L2243" t="str" cm="1">
        <f t="array" ref="L2243" xml:space="preserve"> sentimentCategory(K2243)</f>
        <v>Neutral</v>
      </c>
    </row>
    <row r="2244" spans="1:12">
      <c r="A2244" t="s">
        <v>1942</v>
      </c>
      <c r="B2244" t="s">
        <v>1941</v>
      </c>
      <c r="C2244" t="str" cm="1">
        <f t="array" ref="C2244" xml:space="preserve"> CleanText(B2244)</f>
        <v>looks like trash just watch the cartoon</v>
      </c>
      <c r="D2244">
        <v>0</v>
      </c>
      <c r="E2244">
        <v>0</v>
      </c>
      <c r="F2244" t="s">
        <v>0</v>
      </c>
      <c r="G2244" t="str" cm="1">
        <f t="array" ref="G2244" xml:space="preserve"> FindCountryName(F2244)</f>
        <v>None</v>
      </c>
      <c r="H2244" s="1">
        <v>45275.474895833337</v>
      </c>
      <c r="I2244" s="1">
        <v>45275.474895833337</v>
      </c>
      <c r="J2244" s="1">
        <v>40367.936944444446</v>
      </c>
      <c r="K2244" cm="1">
        <f t="array" ref="K2244" xml:space="preserve"> sentimentCalc(C2244)</f>
        <v>2</v>
      </c>
      <c r="L2244" t="str" cm="1">
        <f t="array" ref="L2244" xml:space="preserve"> sentimentCategory(K2244)</f>
        <v>Positive</v>
      </c>
    </row>
    <row r="2245" spans="1:12">
      <c r="A2245" t="s">
        <v>960</v>
      </c>
      <c r="B2245" t="s">
        <v>1940</v>
      </c>
      <c r="C2245" t="str" cm="1">
        <f t="array" ref="C2245" xml:space="preserve"> CleanText(B2245)</f>
        <v>the cgi is too clean and so i would say it looks bad in comparison to shows like hbo produces such as house of the dragon and last of us it looks bad that being said i hope they delve deeper into aangs life rather than just stop at the fire lords defeat to those saying it looks great you need to watch something else other than netflix</v>
      </c>
      <c r="D2245">
        <v>0</v>
      </c>
      <c r="E2245">
        <v>0</v>
      </c>
      <c r="F2245" t="s">
        <v>0</v>
      </c>
      <c r="G2245" t="str" cm="1">
        <f t="array" ref="G2245" xml:space="preserve"> FindCountryName(F2245)</f>
        <v>None</v>
      </c>
      <c r="H2245" s="1">
        <v>45275.469884259262</v>
      </c>
      <c r="I2245" s="1">
        <v>45275.470532407409</v>
      </c>
      <c r="J2245" s="1">
        <v>41542.637476851851</v>
      </c>
      <c r="K2245" cm="1">
        <f t="array" ref="K2245" xml:space="preserve"> sentimentCalc(C2245)</f>
        <v>0</v>
      </c>
      <c r="L2245" t="str" cm="1">
        <f t="array" ref="L2245" xml:space="preserve"> sentimentCategory(K2245)</f>
        <v>Neutral</v>
      </c>
    </row>
    <row r="2246" spans="1:12">
      <c r="A2246" t="s">
        <v>640</v>
      </c>
      <c r="B2246" t="s">
        <v>1939</v>
      </c>
      <c r="C2246" t="str" cm="1">
        <f t="array" ref="C2246" xml:space="preserve"> CleanText(B2246)</f>
        <v>beautiful movie</v>
      </c>
      <c r="D2246">
        <v>0</v>
      </c>
      <c r="E2246">
        <v>0</v>
      </c>
      <c r="F2246" t="s">
        <v>0</v>
      </c>
      <c r="G2246" t="str" cm="1">
        <f t="array" ref="G2246" xml:space="preserve"> FindCountryName(F2246)</f>
        <v>None</v>
      </c>
      <c r="H2246" s="1">
        <v>45275.462291666663</v>
      </c>
      <c r="I2246" s="1">
        <v>45275.462291666663</v>
      </c>
      <c r="J2246" s="1">
        <v>43780.35229166667</v>
      </c>
      <c r="K2246" cm="1">
        <f t="array" ref="K2246" xml:space="preserve"> sentimentCalc(C2246)</f>
        <v>3</v>
      </c>
      <c r="L2246" t="str" cm="1">
        <f t="array" ref="L2246" xml:space="preserve"> sentimentCategory(K2246)</f>
        <v>Positive</v>
      </c>
    </row>
    <row r="2247" spans="1:12">
      <c r="A2247" t="s">
        <v>1938</v>
      </c>
      <c r="B2247" t="s">
        <v>1937</v>
      </c>
      <c r="C2247" t="str" cm="1">
        <f t="array" ref="C2247" xml:space="preserve"> CleanText(B2247)</f>
        <v>interaction with the animals might be a bit odd but the bending looks great</v>
      </c>
      <c r="D2247">
        <v>0</v>
      </c>
      <c r="E2247">
        <v>0</v>
      </c>
      <c r="F2247" t="s">
        <v>0</v>
      </c>
      <c r="G2247" t="str" cm="1">
        <f t="array" ref="G2247" xml:space="preserve"> FindCountryName(F2247)</f>
        <v>None</v>
      </c>
      <c r="H2247" s="1">
        <v>45275.456388888888</v>
      </c>
      <c r="I2247" s="1">
        <v>45275.456388888888</v>
      </c>
      <c r="J2247" s="1">
        <v>41648.775243055556</v>
      </c>
      <c r="K2247" cm="1">
        <f t="array" ref="K2247" xml:space="preserve"> sentimentCalc(C2247)</f>
        <v>1</v>
      </c>
      <c r="L2247" t="str" cm="1">
        <f t="array" ref="L2247" xml:space="preserve"> sentimentCategory(K2247)</f>
        <v>Positive</v>
      </c>
    </row>
    <row r="2248" spans="1:12">
      <c r="A2248" t="s">
        <v>38</v>
      </c>
      <c r="B2248" t="s">
        <v>1936</v>
      </c>
      <c r="C2248" t="str" cm="1">
        <f t="array" ref="C2248" xml:space="preserve"> CleanText(B2248)</f>
        <v>lord of the rings vibes yo</v>
      </c>
      <c r="D2248">
        <v>0</v>
      </c>
      <c r="E2248">
        <v>0</v>
      </c>
      <c r="F2248" t="s">
        <v>0</v>
      </c>
      <c r="G2248" t="str" cm="1">
        <f t="array" ref="G2248" xml:space="preserve"> FindCountryName(F2248)</f>
        <v>None</v>
      </c>
      <c r="H2248" s="1">
        <v>45275.436516203707</v>
      </c>
      <c r="I2248" s="1">
        <v>45275.436516203707</v>
      </c>
      <c r="J2248" s="1">
        <v>44070.501400462963</v>
      </c>
      <c r="K2248" cm="1">
        <f t="array" ref="K2248" xml:space="preserve"> sentimentCalc(C2248)</f>
        <v>0</v>
      </c>
      <c r="L2248" t="str" cm="1">
        <f t="array" ref="L2248" xml:space="preserve"> sentimentCategory(K2248)</f>
        <v>Neutral</v>
      </c>
    </row>
    <row r="2249" spans="1:12">
      <c r="A2249" t="s">
        <v>1446</v>
      </c>
      <c r="B2249" t="s">
        <v>1935</v>
      </c>
      <c r="C2249" t="str" cm="1">
        <f t="array" ref="C2249" xml:space="preserve"> CleanText(B2249)</f>
        <v>what is this trash</v>
      </c>
      <c r="D2249">
        <v>1</v>
      </c>
      <c r="E2249">
        <v>0</v>
      </c>
      <c r="F2249" t="s">
        <v>0</v>
      </c>
      <c r="G2249" t="str" cm="1">
        <f t="array" ref="G2249" xml:space="preserve"> FindCountryName(F2249)</f>
        <v>None</v>
      </c>
      <c r="H2249" s="1">
        <v>45275.436122685183</v>
      </c>
      <c r="I2249" s="1">
        <v>45275.436122685183</v>
      </c>
      <c r="J2249" s="1">
        <v>43659.187141203707</v>
      </c>
      <c r="K2249" cm="1">
        <f t="array" ref="K2249" xml:space="preserve"> sentimentCalc(C2249)</f>
        <v>0</v>
      </c>
      <c r="L2249" t="str" cm="1">
        <f t="array" ref="L2249" xml:space="preserve"> sentimentCategory(K2249)</f>
        <v>Neutral</v>
      </c>
    </row>
    <row r="2250" spans="1:12">
      <c r="A2250" t="s">
        <v>1934</v>
      </c>
      <c r="B2250" t="s">
        <v>1933</v>
      </c>
      <c r="C2250" t="str" cm="1">
        <f t="array" ref="C2250" xml:space="preserve"> CleanText(B2250)</f>
        <v>ohhhhh _xD83E_</v>
      </c>
      <c r="D2250">
        <v>0</v>
      </c>
      <c r="E2250">
        <v>0</v>
      </c>
      <c r="F2250" t="s">
        <v>0</v>
      </c>
      <c r="G2250" t="str" cm="1">
        <f t="array" ref="G2250" xml:space="preserve"> FindCountryName(F2250)</f>
        <v>None</v>
      </c>
      <c r="H2250" s="1">
        <v>45275.372662037036</v>
      </c>
      <c r="I2250" s="1">
        <v>45275.372662037036</v>
      </c>
      <c r="J2250" s="1">
        <v>40811.803391203706</v>
      </c>
      <c r="K2250" cm="1">
        <f t="array" ref="K2250" xml:space="preserve"> sentimentCalc(C2250)</f>
        <v>0</v>
      </c>
      <c r="L2250" t="str" cm="1">
        <f t="array" ref="L2250" xml:space="preserve"> sentimentCategory(K2250)</f>
        <v>Neutral</v>
      </c>
    </row>
    <row r="2251" spans="1:12">
      <c r="A2251" t="s">
        <v>1744</v>
      </c>
      <c r="B2251" t="s">
        <v>1932</v>
      </c>
      <c r="C2251" t="str" cm="1">
        <f t="array" ref="C2251" xml:space="preserve"> CleanText(B2251)</f>
        <v>yip yip</v>
      </c>
      <c r="D2251">
        <v>0</v>
      </c>
      <c r="E2251">
        <v>0</v>
      </c>
      <c r="F2251" t="s">
        <v>0</v>
      </c>
      <c r="G2251" t="str" cm="1">
        <f t="array" ref="G2251" xml:space="preserve"> FindCountryName(F2251)</f>
        <v>None</v>
      </c>
      <c r="H2251" s="1">
        <v>45275.364560185182</v>
      </c>
      <c r="I2251" s="1">
        <v>45275.364560185182</v>
      </c>
      <c r="J2251" s="1">
        <v>40479.675763888888</v>
      </c>
      <c r="K2251" cm="1">
        <f t="array" ref="K2251" xml:space="preserve"> sentimentCalc(C2251)</f>
        <v>0</v>
      </c>
      <c r="L2251" t="str" cm="1">
        <f t="array" ref="L2251" xml:space="preserve"> sentimentCategory(K2251)</f>
        <v>Neutral</v>
      </c>
    </row>
    <row r="2252" spans="1:12">
      <c r="A2252" t="s">
        <v>562</v>
      </c>
      <c r="B2252" t="s">
        <v>1931</v>
      </c>
      <c r="C2252" t="str" cm="1">
        <f t="array" ref="C2252" xml:space="preserve"> CleanText(B2252)</f>
        <v>surprised a lot of people actually feeling hopeful about this i am expecting people would doubt this movie and say things such as they never learn do they</v>
      </c>
      <c r="D2252">
        <v>1</v>
      </c>
      <c r="E2252">
        <v>1</v>
      </c>
      <c r="F2252" t="s">
        <v>0</v>
      </c>
      <c r="G2252" t="str" cm="1">
        <f t="array" ref="G2252" xml:space="preserve"> FindCountryName(F2252)</f>
        <v>None</v>
      </c>
      <c r="H2252" s="1">
        <v>45275.364120370374</v>
      </c>
      <c r="I2252" s="1">
        <v>45275.364120370374</v>
      </c>
      <c r="J2252" s="1">
        <v>41087.200624999998</v>
      </c>
      <c r="K2252" cm="1">
        <f t="array" ref="K2252" xml:space="preserve"> sentimentCalc(C2252)</f>
        <v>2</v>
      </c>
      <c r="L2252" t="str" cm="1">
        <f t="array" ref="L2252" xml:space="preserve"> sentimentCategory(K2252)</f>
        <v>Positive</v>
      </c>
    </row>
    <row r="2253" spans="1:12">
      <c r="A2253" t="s">
        <v>1930</v>
      </c>
      <c r="B2253" t="s">
        <v>1929</v>
      </c>
      <c r="C2253" t="str" cm="1">
        <f t="array" ref="C2253" xml:space="preserve"> CleanText(B2253)</f>
        <v>just by the trailer i can tell the anime still gonna rein 1</v>
      </c>
      <c r="D2253">
        <v>2</v>
      </c>
      <c r="E2253">
        <v>1</v>
      </c>
      <c r="F2253" t="s">
        <v>0</v>
      </c>
      <c r="G2253" t="str" cm="1">
        <f t="array" ref="G2253" xml:space="preserve"> FindCountryName(F2253)</f>
        <v>None</v>
      </c>
      <c r="H2253" s="1">
        <v>45275.348240740743</v>
      </c>
      <c r="I2253" s="1">
        <v>45275.348240740743</v>
      </c>
      <c r="J2253" s="1">
        <v>40958.626261574071</v>
      </c>
      <c r="K2253" cm="1">
        <f t="array" ref="K2253" xml:space="preserve"> sentimentCalc(C2253)</f>
        <v>0</v>
      </c>
      <c r="L2253" t="str" cm="1">
        <f t="array" ref="L2253" xml:space="preserve"> sentimentCategory(K2253)</f>
        <v>Neutral</v>
      </c>
    </row>
    <row r="2254" spans="1:12">
      <c r="A2254" t="s">
        <v>329</v>
      </c>
      <c r="B2254" t="s">
        <v>1928</v>
      </c>
      <c r="C2254" t="str" cm="1">
        <f t="array" ref="C2254" xml:space="preserve"> CleanText(B2254)</f>
        <v>ok the cast is so much better</v>
      </c>
      <c r="D2254">
        <v>0</v>
      </c>
      <c r="E2254">
        <v>0</v>
      </c>
      <c r="F2254" t="s">
        <v>0</v>
      </c>
      <c r="G2254" t="str" cm="1">
        <f t="array" ref="G2254" xml:space="preserve"> FindCountryName(F2254)</f>
        <v>None</v>
      </c>
      <c r="H2254" s="1">
        <v>45275.324803240743</v>
      </c>
      <c r="I2254" s="1">
        <v>45275.324803240743</v>
      </c>
      <c r="J2254" s="1">
        <v>42972.146307870367</v>
      </c>
      <c r="K2254" cm="1">
        <f t="array" ref="K2254" xml:space="preserve"> sentimentCalc(C2254)</f>
        <v>2</v>
      </c>
      <c r="L2254" t="str" cm="1">
        <f t="array" ref="L2254" xml:space="preserve"> sentimentCategory(K2254)</f>
        <v>Positive</v>
      </c>
    </row>
    <row r="2255" spans="1:12">
      <c r="A2255" t="s">
        <v>420</v>
      </c>
      <c r="B2255" t="s">
        <v>1927</v>
      </c>
      <c r="C2255" t="str" cm="1">
        <f t="array" ref="C2255" xml:space="preserve"> CleanText(B2255)</f>
        <v>looks a lot better than last time but what we really want is the animated series with the original people working on it</v>
      </c>
      <c r="D2255">
        <v>41</v>
      </c>
      <c r="E2255">
        <v>0</v>
      </c>
      <c r="F2255" t="s">
        <v>0</v>
      </c>
      <c r="G2255" t="str" cm="1">
        <f t="array" ref="G2255" xml:space="preserve"> FindCountryName(F2255)</f>
        <v>None</v>
      </c>
      <c r="H2255" s="1">
        <v>45275.253472222219</v>
      </c>
      <c r="I2255" s="1">
        <v>45275.253472222219</v>
      </c>
      <c r="J2255" s="1">
        <v>40805.072592592594</v>
      </c>
      <c r="K2255" cm="1">
        <f t="array" ref="K2255" xml:space="preserve"> sentimentCalc(C2255)</f>
        <v>3</v>
      </c>
      <c r="L2255" t="str" cm="1">
        <f t="array" ref="L2255" xml:space="preserve"> sentimentCategory(K2255)</f>
        <v>Positive</v>
      </c>
    </row>
    <row r="2256" spans="1:12">
      <c r="A2256" t="s">
        <v>405</v>
      </c>
      <c r="B2256" t="s">
        <v>1926</v>
      </c>
      <c r="C2256" t="str" cm="1">
        <f t="array" ref="C2256" xml:space="preserve"> CleanText(B2256)</f>
        <v>ngl this looks horrible just watch the show</v>
      </c>
      <c r="D2256">
        <v>1</v>
      </c>
      <c r="E2256">
        <v>0</v>
      </c>
      <c r="F2256" t="s">
        <v>39</v>
      </c>
      <c r="G2256" t="str" cm="1">
        <f t="array" ref="G2256" xml:space="preserve"> FindCountryName(F2256)</f>
        <v>United Kingdom of Great Britain and Northern Ireland (the)</v>
      </c>
      <c r="H2256" s="1">
        <v>45275.233784722222</v>
      </c>
      <c r="I2256" s="1">
        <v>45275.233784722222</v>
      </c>
      <c r="J2256" s="1">
        <v>41947.569745370369</v>
      </c>
      <c r="K2256" cm="1">
        <f t="array" ref="K2256" xml:space="preserve"> sentimentCalc(C2256)</f>
        <v>-3</v>
      </c>
      <c r="L2256" t="str" cm="1">
        <f t="array" ref="L2256" xml:space="preserve"> sentimentCategory(K2256)</f>
        <v>Negative</v>
      </c>
    </row>
    <row r="2257" spans="1:12">
      <c r="A2257" t="s">
        <v>367</v>
      </c>
      <c r="B2257" t="s">
        <v>1925</v>
      </c>
      <c r="C2257" t="str" cm="1">
        <f t="array" ref="C2257" xml:space="preserve"> CleanText(B2257)</f>
        <v>excited to see my favorite series remake _xDF89_ they nailed the outfits and bending</v>
      </c>
      <c r="D2257">
        <v>5</v>
      </c>
      <c r="E2257">
        <v>0</v>
      </c>
      <c r="F2257" t="s">
        <v>1523</v>
      </c>
      <c r="G2257" t="str" cm="1">
        <f t="array" ref="G2257" xml:space="preserve"> FindCountryName(F2257)</f>
        <v>Turkey</v>
      </c>
      <c r="H2257" s="1">
        <v>45275.207777777781</v>
      </c>
      <c r="I2257" s="1">
        <v>45275.208321759259</v>
      </c>
      <c r="J2257" s="1">
        <v>42297.369560185187</v>
      </c>
      <c r="K2257" cm="1">
        <f t="array" ref="K2257" xml:space="preserve"> sentimentCalc(C2257)</f>
        <v>5</v>
      </c>
      <c r="L2257" t="str" cm="1">
        <f t="array" ref="L2257" xml:space="preserve"> sentimentCategory(K2257)</f>
        <v>Positive</v>
      </c>
    </row>
    <row r="2258" spans="1:12">
      <c r="A2258" t="s">
        <v>1114</v>
      </c>
      <c r="B2258" t="s">
        <v>1924</v>
      </c>
      <c r="C2258" t="str" cm="1">
        <f t="array" ref="C2258" xml:space="preserve"> CleanText(B2258)</f>
        <v>please let this be actually good yours truly the fans</v>
      </c>
      <c r="D2258">
        <v>2</v>
      </c>
      <c r="E2258">
        <v>0</v>
      </c>
      <c r="F2258" t="s">
        <v>1923</v>
      </c>
      <c r="G2258" t="str" cm="1">
        <f t="array" ref="G2258" xml:space="preserve"> FindCountryName(F2258)</f>
        <v>Belgium</v>
      </c>
      <c r="H2258" s="1">
        <v>45275.202256944445</v>
      </c>
      <c r="I2258" s="1">
        <v>45275.202256944445</v>
      </c>
      <c r="J2258" s="1">
        <v>39227.61383101852</v>
      </c>
      <c r="K2258" cm="1">
        <f t="array" ref="K2258" xml:space="preserve"> sentimentCalc(C2258)</f>
        <v>4</v>
      </c>
      <c r="L2258" t="str" cm="1">
        <f t="array" ref="L2258" xml:space="preserve"> sentimentCategory(K2258)</f>
        <v>Positive</v>
      </c>
    </row>
    <row r="2259" spans="1:12">
      <c r="A2259" t="s">
        <v>1922</v>
      </c>
      <c r="B2259" t="s">
        <v>1921</v>
      </c>
      <c r="C2259" t="str" cm="1">
        <f t="array" ref="C2259" xml:space="preserve"> CleanText(B2259)</f>
        <v>oh no its happening again</v>
      </c>
      <c r="D2259">
        <v>1</v>
      </c>
      <c r="E2259">
        <v>0</v>
      </c>
      <c r="F2259" t="s">
        <v>0</v>
      </c>
      <c r="G2259" t="str" cm="1">
        <f t="array" ref="G2259" xml:space="preserve"> FindCountryName(F2259)</f>
        <v>None</v>
      </c>
      <c r="H2259" s="1">
        <v>45275.191192129627</v>
      </c>
      <c r="I2259" s="1">
        <v>45275.191192129627</v>
      </c>
      <c r="J2259" s="1">
        <v>45089.782511574071</v>
      </c>
      <c r="K2259" cm="1">
        <f t="array" ref="K2259" xml:space="preserve"> sentimentCalc(C2259)</f>
        <v>-1</v>
      </c>
      <c r="L2259" t="str" cm="1">
        <f t="array" ref="L2259" xml:space="preserve"> sentimentCategory(K2259)</f>
        <v>Negative</v>
      </c>
    </row>
    <row r="2260" spans="1:12">
      <c r="A2260" t="s">
        <v>62</v>
      </c>
      <c r="B2260" t="s">
        <v>1920</v>
      </c>
      <c r="C2260" t="str" cm="1">
        <f t="array" ref="C2260" xml:space="preserve"> CleanText(B2260)</f>
        <v>finally _xDD13_</v>
      </c>
      <c r="D2260">
        <v>0</v>
      </c>
      <c r="E2260">
        <v>3</v>
      </c>
      <c r="F2260" t="s">
        <v>0</v>
      </c>
      <c r="G2260" t="str" cm="1">
        <f t="array" ref="G2260" xml:space="preserve"> FindCountryName(F2260)</f>
        <v>None</v>
      </c>
      <c r="H2260" s="1">
        <v>45275.156539351854</v>
      </c>
      <c r="I2260" s="1">
        <v>45275.156539351854</v>
      </c>
      <c r="J2260" s="1">
        <v>45137.312650462962</v>
      </c>
      <c r="K2260" cm="1">
        <f t="array" ref="K2260" xml:space="preserve"> sentimentCalc(C2260)</f>
        <v>0</v>
      </c>
      <c r="L2260" t="str" cm="1">
        <f t="array" ref="L2260" xml:space="preserve"> sentimentCategory(K2260)</f>
        <v>Neutral</v>
      </c>
    </row>
    <row r="2261" spans="1:12">
      <c r="A2261" t="s">
        <v>969</v>
      </c>
      <c r="B2261" t="s">
        <v>1919</v>
      </c>
      <c r="C2261" t="str" cm="1">
        <f t="array" ref="C2261" xml:space="preserve"> CleanText(B2261)</f>
        <v>everybody scream and run in terror</v>
      </c>
      <c r="D2261">
        <v>1</v>
      </c>
      <c r="E2261">
        <v>0</v>
      </c>
      <c r="F2261" t="s">
        <v>0</v>
      </c>
      <c r="G2261" t="str" cm="1">
        <f t="array" ref="G2261" xml:space="preserve"> FindCountryName(F2261)</f>
        <v>None</v>
      </c>
      <c r="H2261" s="1">
        <v>45275.113912037035</v>
      </c>
      <c r="I2261" s="1">
        <v>45275.113912037035</v>
      </c>
      <c r="J2261" s="1">
        <v>43257.469988425924</v>
      </c>
      <c r="K2261" cm="1">
        <f t="array" ref="K2261" xml:space="preserve"> sentimentCalc(C2261)</f>
        <v>-5</v>
      </c>
      <c r="L2261" t="str" cm="1">
        <f t="array" ref="L2261" xml:space="preserve"> sentimentCategory(K2261)</f>
        <v>Negative</v>
      </c>
    </row>
    <row r="2262" spans="1:12">
      <c r="A2262" t="s">
        <v>458</v>
      </c>
      <c r="B2262" t="s">
        <v>1918</v>
      </c>
      <c r="C2262" t="str" cm="1">
        <f t="array" ref="C2262" xml:space="preserve"> CleanText(B2262)</f>
        <v>a pile of hot steaming garbage</v>
      </c>
      <c r="D2262">
        <v>1</v>
      </c>
      <c r="E2262">
        <v>0</v>
      </c>
      <c r="F2262" t="s">
        <v>0</v>
      </c>
      <c r="G2262" t="str" cm="1">
        <f t="array" ref="G2262" xml:space="preserve"> FindCountryName(F2262)</f>
        <v>None</v>
      </c>
      <c r="H2262" s="1">
        <v>45275.101493055554</v>
      </c>
      <c r="I2262" s="1">
        <v>45275.101493055554</v>
      </c>
      <c r="J2262" s="1">
        <v>40793.861701388887</v>
      </c>
      <c r="K2262" cm="1">
        <f t="array" ref="K2262" xml:space="preserve"> sentimentCalc(C2262)</f>
        <v>0</v>
      </c>
      <c r="L2262" t="str" cm="1">
        <f t="array" ref="L2262" xml:space="preserve"> sentimentCategory(K2262)</f>
        <v>Neutral</v>
      </c>
    </row>
    <row r="2263" spans="1:12">
      <c r="A2263" t="s">
        <v>320</v>
      </c>
      <c r="B2263" t="s">
        <v>1917</v>
      </c>
      <c r="C2263" t="str" cm="1">
        <f t="array" ref="C2263" xml:space="preserve"> CleanText(B2263)</f>
        <v>ah shit here we go again</v>
      </c>
      <c r="D2263">
        <v>1</v>
      </c>
      <c r="E2263">
        <v>0</v>
      </c>
      <c r="F2263" t="s">
        <v>0</v>
      </c>
      <c r="G2263" t="str" cm="1">
        <f t="array" ref="G2263" xml:space="preserve"> FindCountryName(F2263)</f>
        <v>None</v>
      </c>
      <c r="H2263" s="1">
        <v>45275.082152777781</v>
      </c>
      <c r="I2263" s="1">
        <v>45275.082245370373</v>
      </c>
      <c r="J2263" s="1">
        <v>42592.147476851853</v>
      </c>
      <c r="K2263" cm="1">
        <f t="array" ref="K2263" xml:space="preserve"> sentimentCalc(C2263)</f>
        <v>0</v>
      </c>
      <c r="L2263" t="str" cm="1">
        <f t="array" ref="L2263" xml:space="preserve"> sentimentCategory(K2263)</f>
        <v>Neutral</v>
      </c>
    </row>
    <row r="2264" spans="1:12">
      <c r="A2264" t="s">
        <v>1503</v>
      </c>
      <c r="B2264" t="s">
        <v>1916</v>
      </c>
      <c r="C2264" t="str" cm="1">
        <f t="array" ref="C2264" xml:space="preserve"> CleanText(B2264)</f>
        <v>they was right to make them true asian and not them fake ass asian indians</v>
      </c>
      <c r="D2264">
        <v>0</v>
      </c>
      <c r="E2264">
        <v>0</v>
      </c>
      <c r="F2264" t="s">
        <v>0</v>
      </c>
      <c r="G2264" t="str" cm="1">
        <f t="array" ref="G2264" xml:space="preserve"> FindCountryName(F2264)</f>
        <v>None</v>
      </c>
      <c r="H2264" s="1">
        <v>45275.080393518518</v>
      </c>
      <c r="I2264" s="1">
        <v>45275.080393518518</v>
      </c>
      <c r="J2264" s="1">
        <v>41757.947951388887</v>
      </c>
      <c r="K2264" cm="1">
        <f t="array" ref="K2264" xml:space="preserve"> sentimentCalc(C2264)</f>
        <v>-5</v>
      </c>
      <c r="L2264" t="str" cm="1">
        <f t="array" ref="L2264" xml:space="preserve"> sentimentCategory(K2264)</f>
        <v>Negative</v>
      </c>
    </row>
    <row r="2265" spans="1:12">
      <c r="A2265" t="s">
        <v>1915</v>
      </c>
      <c r="B2265" t="s">
        <v>1914</v>
      </c>
      <c r="C2265" t="str" cm="1">
        <f t="array" ref="C2265" xml:space="preserve"> CleanText(B2265)</f>
        <v>please dont screw this up please dont screw this up</v>
      </c>
      <c r="D2265">
        <v>1</v>
      </c>
      <c r="E2265">
        <v>0</v>
      </c>
      <c r="F2265" t="s">
        <v>0</v>
      </c>
      <c r="G2265" t="str" cm="1">
        <f t="array" ref="G2265" xml:space="preserve"> FindCountryName(F2265)</f>
        <v>None</v>
      </c>
      <c r="H2265" s="1">
        <v>45275.053969907407</v>
      </c>
      <c r="I2265" s="1">
        <v>45275.053969907407</v>
      </c>
      <c r="J2265" s="1">
        <v>38976.054560185185</v>
      </c>
      <c r="K2265" cm="1">
        <f t="array" ref="K2265" xml:space="preserve"> sentimentCalc(C2265)</f>
        <v>2</v>
      </c>
      <c r="L2265" t="str" cm="1">
        <f t="array" ref="L2265" xml:space="preserve"> sentimentCategory(K2265)</f>
        <v>Positive</v>
      </c>
    </row>
    <row r="2266" spans="1:12">
      <c r="A2266" t="s">
        <v>710</v>
      </c>
      <c r="B2266" t="s">
        <v>1913</v>
      </c>
      <c r="C2266" t="str" cm="1">
        <f t="array" ref="C2266" xml:space="preserve"> CleanText(B2266)</f>
        <v>thank the lords that it seems netflix knew how important avatar is and not just another shitty kids cartoon theres a reason all of us still watch it as adults cuz behind all the silly child humor is one of the best stories fictional worlds and character set of anything including more iconic worlds like star wars or harry potter avatar is like perfection with the only thing holding it back from everyone loving it is that they think its only for kids</v>
      </c>
      <c r="D2266">
        <v>1</v>
      </c>
      <c r="E2266">
        <v>0</v>
      </c>
      <c r="F2266" t="s">
        <v>19</v>
      </c>
      <c r="G2266" t="str" cm="1">
        <f t="array" ref="G2266" xml:space="preserve"> FindCountryName(F2266)</f>
        <v>United States of America (the)</v>
      </c>
      <c r="H2266" s="1">
        <v>45275.04074074074</v>
      </c>
      <c r="I2266" s="1">
        <v>45275.041666666664</v>
      </c>
      <c r="J2266" s="1">
        <v>43478.840694444443</v>
      </c>
      <c r="K2266" cm="1">
        <f t="array" ref="K2266" xml:space="preserve"> sentimentCalc(C2266)</f>
        <v>14</v>
      </c>
      <c r="L2266" t="str" cm="1">
        <f t="array" ref="L2266" xml:space="preserve"> sentimentCategory(K2266)</f>
        <v>Positive</v>
      </c>
    </row>
    <row r="2267" spans="1:12">
      <c r="A2267" t="s">
        <v>969</v>
      </c>
      <c r="B2267" t="s">
        <v>1912</v>
      </c>
      <c r="C2267" t="str" cm="1">
        <f t="array" ref="C2267" xml:space="preserve"> CleanText(B2267)</f>
        <v>omg make an original make something good your all fired</v>
      </c>
      <c r="D2267">
        <v>0</v>
      </c>
      <c r="E2267">
        <v>0</v>
      </c>
      <c r="F2267" t="s">
        <v>0</v>
      </c>
      <c r="G2267" t="str" cm="1">
        <f t="array" ref="G2267" xml:space="preserve"> FindCountryName(F2267)</f>
        <v>None</v>
      </c>
      <c r="H2267" s="1">
        <v>45274.996759259258</v>
      </c>
      <c r="I2267" s="1">
        <v>45274.996759259258</v>
      </c>
      <c r="J2267" s="1">
        <v>44588.512233796297</v>
      </c>
      <c r="K2267" cm="1">
        <f t="array" ref="K2267" xml:space="preserve"> sentimentCalc(C2267)</f>
        <v>1</v>
      </c>
      <c r="L2267" t="str" cm="1">
        <f t="array" ref="L2267" xml:space="preserve"> sentimentCategory(K2267)</f>
        <v>Positive</v>
      </c>
    </row>
    <row r="2268" spans="1:12">
      <c r="A2268" t="s">
        <v>1911</v>
      </c>
      <c r="B2268" t="s">
        <v>1910</v>
      </c>
      <c r="C2268" t="str" cm="1">
        <f t="array" ref="C2268" xml:space="preserve"> CleanText(B2268)</f>
        <v>remind me again whats the definition of insanity</v>
      </c>
      <c r="D2268">
        <v>0</v>
      </c>
      <c r="E2268">
        <v>0</v>
      </c>
      <c r="F2268" t="s">
        <v>0</v>
      </c>
      <c r="G2268" t="str" cm="1">
        <f t="array" ref="G2268" xml:space="preserve"> FindCountryName(F2268)</f>
        <v>None</v>
      </c>
      <c r="H2268" s="1">
        <v>45274.988622685189</v>
      </c>
      <c r="I2268" s="1">
        <v>45274.988622685189</v>
      </c>
      <c r="J2268" s="1">
        <v>40903.85261574074</v>
      </c>
      <c r="K2268" cm="1">
        <f t="array" ref="K2268" xml:space="preserve"> sentimentCalc(C2268)</f>
        <v>-2</v>
      </c>
      <c r="L2268" t="str" cm="1">
        <f t="array" ref="L2268" xml:space="preserve"> sentimentCategory(K2268)</f>
        <v>Negative</v>
      </c>
    </row>
    <row r="2269" spans="1:12">
      <c r="A2269" t="s">
        <v>612</v>
      </c>
      <c r="B2269" t="s">
        <v>1909</v>
      </c>
      <c r="C2269" t="str" cm="1">
        <f t="array" ref="C2269" xml:space="preserve"> CleanText(B2269)</f>
        <v>looks promising</v>
      </c>
      <c r="D2269">
        <v>0</v>
      </c>
      <c r="E2269">
        <v>0</v>
      </c>
      <c r="F2269" t="s">
        <v>771</v>
      </c>
      <c r="G2269" t="str" cm="1">
        <f t="array" ref="G2269" xml:space="preserve"> FindCountryName(F2269)</f>
        <v>Malaysia</v>
      </c>
      <c r="H2269" s="1">
        <v>45274.978564814817</v>
      </c>
      <c r="I2269" s="1">
        <v>45274.978564814817</v>
      </c>
      <c r="J2269" s="1">
        <v>41814.430601851855</v>
      </c>
      <c r="K2269" cm="1">
        <f t="array" ref="K2269" xml:space="preserve"> sentimentCalc(C2269)</f>
        <v>0</v>
      </c>
      <c r="L2269" t="str" cm="1">
        <f t="array" ref="L2269" xml:space="preserve"> sentimentCategory(K2269)</f>
        <v>Neutral</v>
      </c>
    </row>
    <row r="2270" spans="1:12">
      <c r="A2270" t="s">
        <v>1908</v>
      </c>
      <c r="B2270" t="s">
        <v>1907</v>
      </c>
      <c r="C2270" t="str" cm="1">
        <f t="array" ref="C2270" xml:space="preserve"> CleanText(B2270)</f>
        <v>lets hope its not like the other movie i want deleted from earth haha i love the cartoon big big fan here haha</v>
      </c>
      <c r="D2270">
        <v>0</v>
      </c>
      <c r="E2270">
        <v>0</v>
      </c>
      <c r="F2270" t="s">
        <v>0</v>
      </c>
      <c r="G2270" t="str" cm="1">
        <f t="array" ref="G2270" xml:space="preserve"> FindCountryName(F2270)</f>
        <v>None</v>
      </c>
      <c r="H2270" s="1">
        <v>45274.944560185184</v>
      </c>
      <c r="I2270" s="1">
        <v>45274.944560185184</v>
      </c>
      <c r="J2270" s="1">
        <v>42565.320949074077</v>
      </c>
      <c r="K2270" cm="1">
        <f t="array" ref="K2270" xml:space="preserve"> sentimentCalc(C2270)</f>
        <v>13</v>
      </c>
      <c r="L2270" t="str" cm="1">
        <f t="array" ref="L2270" xml:space="preserve"> sentimentCategory(K2270)</f>
        <v>Positive</v>
      </c>
    </row>
    <row r="2271" spans="1:12">
      <c r="A2271" t="s">
        <v>1446</v>
      </c>
      <c r="B2271" t="s">
        <v>1906</v>
      </c>
      <c r="C2271" t="str" cm="1">
        <f t="array" ref="C2271" xml:space="preserve"> CleanText(B2271)</f>
        <v>bait and switch</v>
      </c>
      <c r="D2271">
        <v>0</v>
      </c>
      <c r="E2271">
        <v>0</v>
      </c>
      <c r="F2271" t="s">
        <v>0</v>
      </c>
      <c r="G2271" t="str" cm="1">
        <f t="array" ref="G2271" xml:space="preserve"> FindCountryName(F2271)</f>
        <v>None</v>
      </c>
      <c r="H2271" s="1">
        <v>45274.929872685185</v>
      </c>
      <c r="I2271" s="1">
        <v>45274.929872685185</v>
      </c>
      <c r="J2271" s="1">
        <v>43529.022499999999</v>
      </c>
      <c r="K2271" cm="1">
        <f t="array" ref="K2271" xml:space="preserve"> sentimentCalc(C2271)</f>
        <v>0</v>
      </c>
      <c r="L2271" t="str" cm="1">
        <f t="array" ref="L2271" xml:space="preserve"> sentimentCategory(K2271)</f>
        <v>Neutral</v>
      </c>
    </row>
    <row r="2272" spans="1:12">
      <c r="A2272" t="s">
        <v>1905</v>
      </c>
      <c r="B2272" t="s">
        <v>1904</v>
      </c>
      <c r="C2272" t="str" cm="1">
        <f t="array" ref="C2272" xml:space="preserve"> CleanText(B2272)</f>
        <v>no one should ever have a big arrow on their forehead  its uncouth</v>
      </c>
      <c r="D2272">
        <v>0</v>
      </c>
      <c r="E2272">
        <v>0</v>
      </c>
      <c r="F2272" t="s">
        <v>0</v>
      </c>
      <c r="G2272" t="str" cm="1">
        <f t="array" ref="G2272" xml:space="preserve"> FindCountryName(F2272)</f>
        <v>None</v>
      </c>
      <c r="H2272" s="1">
        <v>45274.92765046296</v>
      </c>
      <c r="I2272" s="1">
        <v>45274.92765046296</v>
      </c>
      <c r="J2272" s="1">
        <v>44303.79991898148</v>
      </c>
      <c r="K2272" cm="1">
        <f t="array" ref="K2272" xml:space="preserve"> sentimentCalc(C2272)</f>
        <v>0</v>
      </c>
      <c r="L2272" t="str" cm="1">
        <f t="array" ref="L2272" xml:space="preserve"> sentimentCategory(K2272)</f>
        <v>Neutral</v>
      </c>
    </row>
    <row r="2273" spans="1:12">
      <c r="A2273" t="s">
        <v>796</v>
      </c>
      <c r="B2273" t="s">
        <v>1903</v>
      </c>
      <c r="C2273" t="str" cm="1">
        <f t="array" ref="C2273" xml:space="preserve"> CleanText(B2273)</f>
        <v>one piece and now avatar ok _xDC4D_</v>
      </c>
      <c r="D2273">
        <v>0</v>
      </c>
      <c r="E2273">
        <v>0</v>
      </c>
      <c r="F2273" t="s">
        <v>0</v>
      </c>
      <c r="G2273" t="str" cm="1">
        <f t="array" ref="G2273" xml:space="preserve"> FindCountryName(F2273)</f>
        <v>None</v>
      </c>
      <c r="H2273" s="1">
        <v>45274.919930555552</v>
      </c>
      <c r="I2273" s="1">
        <v>45274.919930555552</v>
      </c>
      <c r="J2273" s="1">
        <v>44434.91951388889</v>
      </c>
      <c r="K2273" cm="1">
        <f t="array" ref="K2273" xml:space="preserve"> sentimentCalc(C2273)</f>
        <v>0</v>
      </c>
      <c r="L2273" t="str" cm="1">
        <f t="array" ref="L2273" xml:space="preserve"> sentimentCategory(K2273)</f>
        <v>Neutral</v>
      </c>
    </row>
    <row r="2274" spans="1:12">
      <c r="A2274" t="s">
        <v>47</v>
      </c>
      <c r="B2274" t="s">
        <v>1902</v>
      </c>
      <c r="C2274" t="str" cm="1">
        <f t="array" ref="C2274" xml:space="preserve"> CleanText(B2274)</f>
        <v>always remember who you aredonchu think this dialogue has been overly used in cinema</v>
      </c>
      <c r="D2274">
        <v>1</v>
      </c>
      <c r="E2274">
        <v>0</v>
      </c>
      <c r="F2274" t="s">
        <v>0</v>
      </c>
      <c r="G2274" t="str" cm="1">
        <f t="array" ref="G2274" xml:space="preserve"> FindCountryName(F2274)</f>
        <v>None</v>
      </c>
      <c r="H2274" s="1">
        <v>45274.910810185182</v>
      </c>
      <c r="I2274" s="1">
        <v>45274.910810185182</v>
      </c>
      <c r="J2274" s="1">
        <v>41128.553935185184</v>
      </c>
      <c r="K2274" cm="1">
        <f t="array" ref="K2274" xml:space="preserve"> sentimentCalc(C2274)</f>
        <v>0</v>
      </c>
      <c r="L2274" t="str" cm="1">
        <f t="array" ref="L2274" xml:space="preserve"> sentimentCategory(K2274)</f>
        <v>Neutral</v>
      </c>
    </row>
    <row r="2275" spans="1:12">
      <c r="A2275" t="s">
        <v>353</v>
      </c>
      <c r="B2275" t="s">
        <v>1901</v>
      </c>
      <c r="C2275" t="str" cm="1">
        <f t="array" ref="C2275" xml:space="preserve"> CleanText(B2275)</f>
        <v>in netflix we trust</v>
      </c>
      <c r="D2275">
        <v>0</v>
      </c>
      <c r="E2275">
        <v>0</v>
      </c>
      <c r="F2275" t="s">
        <v>0</v>
      </c>
      <c r="G2275" t="str" cm="1">
        <f t="array" ref="G2275" xml:space="preserve"> FindCountryName(F2275)</f>
        <v>None</v>
      </c>
      <c r="H2275" s="1">
        <v>45274.90761574074</v>
      </c>
      <c r="I2275" s="1">
        <v>45274.90761574074</v>
      </c>
      <c r="J2275" s="1">
        <v>44948.282800925925</v>
      </c>
      <c r="K2275" cm="1">
        <f t="array" ref="K2275" xml:space="preserve"> sentimentCalc(C2275)</f>
        <v>1</v>
      </c>
      <c r="L2275" t="str" cm="1">
        <f t="array" ref="L2275" xml:space="preserve"> sentimentCategory(K2275)</f>
        <v>Positive</v>
      </c>
    </row>
    <row r="2276" spans="1:12">
      <c r="A2276" t="s">
        <v>745</v>
      </c>
      <c r="B2276" t="s">
        <v>1900</v>
      </c>
      <c r="C2276" t="str" cm="1">
        <f t="array" ref="C2276" xml:space="preserve"> CleanText(B2276)</f>
        <v>bushy brows is that you</v>
      </c>
      <c r="D2276">
        <v>0</v>
      </c>
      <c r="E2276">
        <v>0</v>
      </c>
      <c r="F2276" t="s">
        <v>0</v>
      </c>
      <c r="G2276" t="str" cm="1">
        <f t="array" ref="G2276" xml:space="preserve"> FindCountryName(F2276)</f>
        <v>None</v>
      </c>
      <c r="H2276" s="1">
        <v>45274.83253472222</v>
      </c>
      <c r="I2276" s="1">
        <v>45274.83253472222</v>
      </c>
      <c r="J2276" s="1">
        <v>44873.869398148148</v>
      </c>
      <c r="K2276" cm="1">
        <f t="array" ref="K2276" xml:space="preserve"> sentimentCalc(C2276)</f>
        <v>0</v>
      </c>
      <c r="L2276" t="str" cm="1">
        <f t="array" ref="L2276" xml:space="preserve"> sentimentCategory(K2276)</f>
        <v>Neutral</v>
      </c>
    </row>
    <row r="2277" spans="1:12">
      <c r="A2277" t="s">
        <v>508</v>
      </c>
      <c r="B2277" t="s">
        <v>1899</v>
      </c>
      <c r="C2277" t="str" cm="1">
        <f t="array" ref="C2277" xml:space="preserve"> CleanText(B2277)</f>
        <v>ang is just too young but still looking forward to this somehow</v>
      </c>
      <c r="D2277">
        <v>0</v>
      </c>
      <c r="E2277">
        <v>1</v>
      </c>
      <c r="F2277" t="s">
        <v>0</v>
      </c>
      <c r="G2277" t="str" cm="1">
        <f t="array" ref="G2277" xml:space="preserve"> FindCountryName(F2277)</f>
        <v>None</v>
      </c>
      <c r="H2277" s="1">
        <v>45274.794374999998</v>
      </c>
      <c r="I2277" s="1">
        <v>45274.794374999998</v>
      </c>
      <c r="J2277" s="1">
        <v>40857.690034722225</v>
      </c>
      <c r="K2277" cm="1">
        <f t="array" ref="K2277" xml:space="preserve"> sentimentCalc(C2277)</f>
        <v>0</v>
      </c>
      <c r="L2277" t="str" cm="1">
        <f t="array" ref="L2277" xml:space="preserve"> sentimentCategory(K2277)</f>
        <v>Neutral</v>
      </c>
    </row>
    <row r="2278" spans="1:12">
      <c r="A2278" t="s">
        <v>317</v>
      </c>
      <c r="B2278" t="s">
        <v>1898</v>
      </c>
      <c r="C2278" t="str" cm="1">
        <f t="array" ref="C2278" xml:space="preserve"> CleanText(B2278)</f>
        <v>why do they keeping putting these white characters in an asian show</v>
      </c>
      <c r="D2278">
        <v>0</v>
      </c>
      <c r="E2278">
        <v>1</v>
      </c>
      <c r="F2278" t="s">
        <v>0</v>
      </c>
      <c r="G2278" t="str" cm="1">
        <f t="array" ref="G2278" xml:space="preserve"> FindCountryName(F2278)</f>
        <v>None</v>
      </c>
      <c r="H2278" s="1">
        <v>45274.789664351854</v>
      </c>
      <c r="I2278" s="1">
        <v>45274.789664351854</v>
      </c>
      <c r="J2278" s="1">
        <v>44854.732199074075</v>
      </c>
      <c r="K2278" cm="1">
        <f t="array" ref="K2278" xml:space="preserve"> sentimentCalc(C2278)</f>
        <v>0</v>
      </c>
      <c r="L2278" t="str" cm="1">
        <f t="array" ref="L2278" xml:space="preserve"> sentimentCategory(K2278)</f>
        <v>Neutral</v>
      </c>
    </row>
    <row r="2279" spans="1:12">
      <c r="A2279" t="s">
        <v>60</v>
      </c>
      <c r="B2279" t="s">
        <v>1897</v>
      </c>
      <c r="C2279" t="str" cm="1">
        <f t="array" ref="C2279" xml:space="preserve"> CleanText(B2279)</f>
        <v>wtf noooooooo</v>
      </c>
      <c r="D2279">
        <v>0</v>
      </c>
      <c r="E2279">
        <v>0</v>
      </c>
      <c r="F2279" t="s">
        <v>19</v>
      </c>
      <c r="G2279" t="str" cm="1">
        <f t="array" ref="G2279" xml:space="preserve"> FindCountryName(F2279)</f>
        <v>United States of America (the)</v>
      </c>
      <c r="H2279" s="1">
        <v>45274.777789351851</v>
      </c>
      <c r="I2279" s="1">
        <v>45274.777789351851</v>
      </c>
      <c r="J2279" s="1">
        <v>43037.594247685185</v>
      </c>
      <c r="K2279" cm="1">
        <f t="array" ref="K2279" xml:space="preserve"> sentimentCalc(C2279)</f>
        <v>0</v>
      </c>
      <c r="L2279" t="str" cm="1">
        <f t="array" ref="L2279" xml:space="preserve"> sentimentCategory(K2279)</f>
        <v>Neutral</v>
      </c>
    </row>
    <row r="2280" spans="1:12">
      <c r="A2280" t="s">
        <v>1446</v>
      </c>
      <c r="B2280" t="s">
        <v>1896</v>
      </c>
      <c r="C2280" t="str" cm="1">
        <f t="array" ref="C2280" xml:space="preserve"> CleanText(B2280)</f>
        <v>im having a bit of a hard time understanding that you want to try again an avatar movie or series after the fiasco that the last airbender wasjust because the cast looks better doesnt mean the show or movie will be just as good you should be waryi dont think im ready to take another fiasco of the level of the last film</v>
      </c>
      <c r="D2280">
        <v>0</v>
      </c>
      <c r="E2280">
        <v>0</v>
      </c>
      <c r="F2280" t="s">
        <v>0</v>
      </c>
      <c r="G2280" t="str" cm="1">
        <f t="array" ref="G2280" xml:space="preserve"> FindCountryName(F2280)</f>
        <v>None</v>
      </c>
      <c r="H2280" s="1">
        <v>45274.759444444448</v>
      </c>
      <c r="I2280" s="1">
        <v>45274.760520833333</v>
      </c>
      <c r="J2280" s="1">
        <v>43242.186180555553</v>
      </c>
      <c r="K2280" cm="1">
        <f t="array" ref="K2280" xml:space="preserve"> sentimentCalc(C2280)</f>
        <v>-1</v>
      </c>
      <c r="L2280" t="str" cm="1">
        <f t="array" ref="L2280" xml:space="preserve"> sentimentCategory(K2280)</f>
        <v>Negative</v>
      </c>
    </row>
    <row r="2281" spans="1:12">
      <c r="A2281" t="s">
        <v>1895</v>
      </c>
      <c r="B2281" t="s">
        <v>1894</v>
      </c>
      <c r="C2281" t="str" cm="1">
        <f t="array" ref="C2281" xml:space="preserve"> CleanText(B2281)</f>
        <v>just dont be like kennedy and put a chick in it and make her gy</v>
      </c>
      <c r="D2281">
        <v>0</v>
      </c>
      <c r="E2281">
        <v>0</v>
      </c>
      <c r="F2281" t="s">
        <v>0</v>
      </c>
      <c r="G2281" t="str" cm="1">
        <f t="array" ref="G2281" xml:space="preserve"> FindCountryName(F2281)</f>
        <v>None</v>
      </c>
      <c r="H2281" s="1">
        <v>45274.747870370367</v>
      </c>
      <c r="I2281" s="1">
        <v>45274.747870370367</v>
      </c>
      <c r="J2281" s="1">
        <v>40818.916689814818</v>
      </c>
      <c r="K2281" cm="1">
        <f t="array" ref="K2281" xml:space="preserve"> sentimentCalc(C2281)</f>
        <v>2</v>
      </c>
      <c r="L2281" t="str" cm="1">
        <f t="array" ref="L2281" xml:space="preserve"> sentimentCategory(K2281)</f>
        <v>Positive</v>
      </c>
    </row>
    <row r="2282" spans="1:12">
      <c r="A2282" t="s">
        <v>566</v>
      </c>
      <c r="B2282" t="s">
        <v>1893</v>
      </c>
      <c r="C2282" t="str" cm="1">
        <f t="array" ref="C2282" xml:space="preserve"> CleanText(B2282)</f>
        <v>i cant wait  it so realistic  the elements _xDF0A__xDD25__xDEA8_️ and the animals apa and momo</v>
      </c>
      <c r="D2282">
        <v>0</v>
      </c>
      <c r="E2282">
        <v>0</v>
      </c>
      <c r="F2282" t="s">
        <v>0</v>
      </c>
      <c r="G2282" t="str" cm="1">
        <f t="array" ref="G2282" xml:space="preserve"> FindCountryName(F2282)</f>
        <v>None</v>
      </c>
      <c r="H2282" s="1">
        <v>45274.686261574076</v>
      </c>
      <c r="I2282" s="1">
        <v>45274.686261574076</v>
      </c>
      <c r="J2282" s="1">
        <v>44813.00509259259</v>
      </c>
      <c r="K2282" cm="1">
        <f t="array" ref="K2282" xml:space="preserve"> sentimentCalc(C2282)</f>
        <v>0</v>
      </c>
      <c r="L2282" t="str" cm="1">
        <f t="array" ref="L2282" xml:space="preserve"> sentimentCategory(K2282)</f>
        <v>Neutral</v>
      </c>
    </row>
    <row r="2283" spans="1:12">
      <c r="A2283" t="s">
        <v>1356</v>
      </c>
      <c r="B2283" t="s">
        <v>1892</v>
      </c>
      <c r="C2283" t="str" cm="1">
        <f t="array" ref="C2283" xml:space="preserve"> CleanText(B2283)</f>
        <v>brooooo i hope this lives up to the expectations the animated series set</v>
      </c>
      <c r="D2283">
        <v>0</v>
      </c>
      <c r="E2283">
        <v>0</v>
      </c>
      <c r="F2283" t="s">
        <v>0</v>
      </c>
      <c r="G2283" t="str" cm="1">
        <f t="array" ref="G2283" xml:space="preserve"> FindCountryName(F2283)</f>
        <v>None</v>
      </c>
      <c r="H2283" s="1">
        <v>45274.668993055559</v>
      </c>
      <c r="I2283" s="1">
        <v>45274.668993055559</v>
      </c>
      <c r="J2283" s="1">
        <v>42640.854375000003</v>
      </c>
      <c r="K2283" cm="1">
        <f t="array" ref="K2283" xml:space="preserve"> sentimentCalc(C2283)</f>
        <v>2</v>
      </c>
      <c r="L2283" t="str" cm="1">
        <f t="array" ref="L2283" xml:space="preserve"> sentimentCategory(K2283)</f>
        <v>Positive</v>
      </c>
    </row>
    <row r="2284" spans="1:12">
      <c r="A2284" t="s">
        <v>1891</v>
      </c>
      <c r="B2284" t="s">
        <v>1890</v>
      </c>
      <c r="C2284" t="str" cm="1">
        <f t="array" ref="C2284" xml:space="preserve"> CleanText(B2284)</f>
        <v>they out here wasting millions on things that dont need to be put to live action when berserk still hasnt gotten a good anime adaptation _xDE44_</v>
      </c>
      <c r="D2284">
        <v>0</v>
      </c>
      <c r="E2284">
        <v>0</v>
      </c>
      <c r="F2284" t="s">
        <v>0</v>
      </c>
      <c r="G2284" t="str" cm="1">
        <f t="array" ref="G2284" xml:space="preserve"> FindCountryName(F2284)</f>
        <v>None</v>
      </c>
      <c r="H2284" s="1">
        <v>45274.662534722222</v>
      </c>
      <c r="I2284" s="1">
        <v>45274.662534722222</v>
      </c>
      <c r="J2284" s="1">
        <v>41905.726168981484</v>
      </c>
      <c r="K2284" cm="1">
        <f t="array" ref="K2284" xml:space="preserve"> sentimentCalc(C2284)</f>
        <v>1</v>
      </c>
      <c r="L2284" t="str" cm="1">
        <f t="array" ref="L2284" xml:space="preserve"> sentimentCategory(K2284)</f>
        <v>Positive</v>
      </c>
    </row>
    <row r="2285" spans="1:12">
      <c r="A2285" t="s">
        <v>1046</v>
      </c>
      <c r="B2285" t="s">
        <v>1889</v>
      </c>
      <c r="C2285" t="str" cm="1">
        <f t="array" ref="C2285" xml:space="preserve"> CleanText(B2285)</f>
        <v>there is only one avatar and it has no aliens in it</v>
      </c>
      <c r="D2285">
        <v>0</v>
      </c>
      <c r="E2285">
        <v>0</v>
      </c>
      <c r="F2285" t="s">
        <v>0</v>
      </c>
      <c r="G2285" t="str" cm="1">
        <f t="array" ref="G2285" xml:space="preserve"> FindCountryName(F2285)</f>
        <v>None</v>
      </c>
      <c r="H2285" s="1">
        <v>45274.642777777779</v>
      </c>
      <c r="I2285" s="1">
        <v>45274.642777777779</v>
      </c>
      <c r="J2285" s="1">
        <v>41530.310277777775</v>
      </c>
      <c r="K2285" cm="1">
        <f t="array" ref="K2285" xml:space="preserve"> sentimentCalc(C2285)</f>
        <v>-1</v>
      </c>
      <c r="L2285" t="str" cm="1">
        <f t="array" ref="L2285" xml:space="preserve"> sentimentCategory(K2285)</f>
        <v>Negative</v>
      </c>
    </row>
    <row r="2286" spans="1:12">
      <c r="A2286" t="s">
        <v>1888</v>
      </c>
      <c r="B2286" t="s">
        <v>1887</v>
      </c>
      <c r="C2286" t="str" cm="1">
        <f t="array" ref="C2286" xml:space="preserve"> CleanText(B2286)</f>
        <v>why do so many people rag on the m night version it was the greatest comedy of all time</v>
      </c>
      <c r="D2286">
        <v>0</v>
      </c>
      <c r="E2286">
        <v>0</v>
      </c>
      <c r="F2286" t="s">
        <v>0</v>
      </c>
      <c r="G2286" t="str" cm="1">
        <f t="array" ref="G2286" xml:space="preserve"> FindCountryName(F2286)</f>
        <v>None</v>
      </c>
      <c r="H2286" s="1">
        <v>45274.629155092596</v>
      </c>
      <c r="I2286" s="1">
        <v>45274.629155092596</v>
      </c>
      <c r="J2286" s="1">
        <v>42504.800937499997</v>
      </c>
      <c r="K2286" cm="1">
        <f t="array" ref="K2286" xml:space="preserve"> sentimentCalc(C2286)</f>
        <v>4</v>
      </c>
      <c r="L2286" t="str" cm="1">
        <f t="array" ref="L2286" xml:space="preserve"> sentimentCategory(K2286)</f>
        <v>Positive</v>
      </c>
    </row>
    <row r="2287" spans="1:12">
      <c r="A2287" t="s">
        <v>680</v>
      </c>
      <c r="B2287" t="s">
        <v>1886</v>
      </c>
      <c r="C2287" t="str" cm="1">
        <f t="array" ref="C2287" xml:space="preserve"> CleanText(B2287)</f>
        <v>8mil viewsss. this shows how big this community is</v>
      </c>
      <c r="D2287">
        <v>2</v>
      </c>
      <c r="E2287">
        <v>0</v>
      </c>
      <c r="F2287" t="s">
        <v>0</v>
      </c>
      <c r="G2287" t="str" cm="1">
        <f t="array" ref="G2287" xml:space="preserve"> FindCountryName(F2287)</f>
        <v>None</v>
      </c>
      <c r="H2287" s="1">
        <v>45274.604027777779</v>
      </c>
      <c r="I2287" s="1">
        <v>45274.604027777779</v>
      </c>
      <c r="J2287" s="1">
        <v>45058.624756944446</v>
      </c>
      <c r="K2287" cm="1">
        <f t="array" ref="K2287" xml:space="preserve"> sentimentCalc(C2287)</f>
        <v>1</v>
      </c>
      <c r="L2287" t="str" cm="1">
        <f t="array" ref="L2287" xml:space="preserve"> sentimentCategory(K2287)</f>
        <v>Positive</v>
      </c>
    </row>
    <row r="2288" spans="1:12">
      <c r="A2288" t="s">
        <v>1885</v>
      </c>
      <c r="B2288" t="s">
        <v>1884</v>
      </c>
      <c r="C2288" t="str" cm="1">
        <f t="array" ref="C2288" xml:space="preserve"> CleanText(B2288)</f>
        <v>i waited my whole life for this _xDD79_</v>
      </c>
      <c r="D2288">
        <v>0</v>
      </c>
      <c r="E2288">
        <v>0</v>
      </c>
      <c r="F2288" t="s">
        <v>0</v>
      </c>
      <c r="G2288" t="str" cm="1">
        <f t="array" ref="G2288" xml:space="preserve"> FindCountryName(F2288)</f>
        <v>None</v>
      </c>
      <c r="H2288" s="1">
        <v>45274.6</v>
      </c>
      <c r="I2288" s="1">
        <v>45274.6</v>
      </c>
      <c r="J2288" s="1">
        <v>44276.623495370368</v>
      </c>
      <c r="K2288" cm="1">
        <f t="array" ref="K2288" xml:space="preserve"> sentimentCalc(C2288)</f>
        <v>0</v>
      </c>
      <c r="L2288" t="str" cm="1">
        <f t="array" ref="L2288" xml:space="preserve"> sentimentCategory(K2288)</f>
        <v>Neutral</v>
      </c>
    </row>
    <row r="2289" spans="1:12">
      <c r="A2289" t="s">
        <v>1883</v>
      </c>
      <c r="B2289" t="s">
        <v>1882</v>
      </c>
      <c r="C2289" t="str" cm="1">
        <f t="array" ref="C2289" xml:space="preserve"> CleanText(B2289)</f>
        <v>thats a pretty solid teaser trailer if i do say so myself i think momos flying animation couldve been tweaked a little bit better but if thats the only complaint ill have for the show damn its a  out of</v>
      </c>
      <c r="D2289">
        <v>5</v>
      </c>
      <c r="E2289">
        <v>0</v>
      </c>
      <c r="F2289" t="s">
        <v>19</v>
      </c>
      <c r="G2289" t="str" cm="1">
        <f t="array" ref="G2289" xml:space="preserve"> FindCountryName(F2289)</f>
        <v>United States of America (the)</v>
      </c>
      <c r="H2289" s="1">
        <v>45274.57403935185</v>
      </c>
      <c r="I2289" s="1">
        <v>45274.57403935185</v>
      </c>
      <c r="J2289" s="1">
        <v>40860.456145833334</v>
      </c>
      <c r="K2289" cm="1">
        <f t="array" ref="K2289" xml:space="preserve"> sentimentCalc(C2289)</f>
        <v>-1</v>
      </c>
      <c r="L2289" t="str" cm="1">
        <f t="array" ref="L2289" xml:space="preserve"> sentimentCategory(K2289)</f>
        <v>Negative</v>
      </c>
    </row>
    <row r="2290" spans="1:12">
      <c r="A2290" t="s">
        <v>926</v>
      </c>
      <c r="B2290" t="s">
        <v>1881</v>
      </c>
      <c r="C2290" t="str" cm="1">
        <f t="array" ref="C2290" xml:space="preserve"> CleanText(B2290)</f>
        <v>if they actually pull this offbut that would be impossible rightcartoon to live action adaptationi dont know anything that pulled it off</v>
      </c>
      <c r="D2290">
        <v>0</v>
      </c>
      <c r="E2290">
        <v>0</v>
      </c>
      <c r="F2290" t="s">
        <v>0</v>
      </c>
      <c r="G2290" t="str" cm="1">
        <f t="array" ref="G2290" xml:space="preserve"> FindCountryName(F2290)</f>
        <v>None</v>
      </c>
      <c r="H2290" s="1">
        <v>45274.569282407407</v>
      </c>
      <c r="I2290" s="1">
        <v>45274.569282407407</v>
      </c>
      <c r="J2290" s="1">
        <v>44680.415879629632</v>
      </c>
      <c r="K2290" cm="1">
        <f t="array" ref="K2290" xml:space="preserve"> sentimentCalc(C2290)</f>
        <v>0</v>
      </c>
      <c r="L2290" t="str" cm="1">
        <f t="array" ref="L2290" xml:space="preserve"> sentimentCategory(K2290)</f>
        <v>Neutral</v>
      </c>
    </row>
    <row r="2291" spans="1:12">
      <c r="A2291" t="s">
        <v>1864</v>
      </c>
      <c r="B2291" t="s">
        <v>1880</v>
      </c>
      <c r="C2291" t="str" cm="1">
        <f t="array" ref="C2291" xml:space="preserve"> CleanText(B2291)</f>
        <v>hello world</v>
      </c>
      <c r="D2291">
        <v>1</v>
      </c>
      <c r="E2291">
        <v>0</v>
      </c>
      <c r="F2291" t="s">
        <v>0</v>
      </c>
      <c r="G2291" t="str" cm="1">
        <f t="array" ref="G2291" xml:space="preserve"> FindCountryName(F2291)</f>
        <v>None</v>
      </c>
      <c r="H2291" s="1">
        <v>45274.553368055553</v>
      </c>
      <c r="I2291" s="1">
        <v>45274.553368055553</v>
      </c>
      <c r="J2291" s="1">
        <v>41619.506111111114</v>
      </c>
      <c r="K2291" cm="1">
        <f t="array" ref="K2291" xml:space="preserve"> sentimentCalc(C2291)</f>
        <v>0</v>
      </c>
      <c r="L2291" t="str" cm="1">
        <f t="array" ref="L2291" xml:space="preserve"> sentimentCategory(K2291)</f>
        <v>Neutral</v>
      </c>
    </row>
    <row r="2292" spans="1:12">
      <c r="A2292" t="s">
        <v>420</v>
      </c>
      <c r="B2292" t="s">
        <v>1879</v>
      </c>
      <c r="C2292" t="str" cm="1">
        <f t="array" ref="C2292" xml:space="preserve"> CleanText(B2292)</f>
        <v>i cant wait anymore the teaser looks so promising the cgi the effects the actors the scenery  enerything looks amazing at first i thought hm maybe aangs actor is a bit too young though he has the same age i think but now im sure this role suits him really good and the cast is perfect overall _xDE0D_ im really excited for this series and have high hopes so please dont disappoint us im still traumatized by the movie from 00.one of the best shows ever is coming back to the screens after so many years as a live action series i cant believe it</v>
      </c>
      <c r="D2292">
        <v>67</v>
      </c>
      <c r="E2292">
        <v>2</v>
      </c>
      <c r="F2292" t="s">
        <v>0</v>
      </c>
      <c r="G2292" t="str" cm="1">
        <f t="array" ref="G2292" xml:space="preserve"> FindCountryName(F2292)</f>
        <v>None</v>
      </c>
      <c r="H2292" s="1">
        <v>45274.551620370374</v>
      </c>
      <c r="I2292" s="1">
        <v>45274.551620370374</v>
      </c>
      <c r="J2292" s="1">
        <v>45111.463634259257</v>
      </c>
      <c r="K2292" cm="1">
        <f t="array" ref="K2292" xml:space="preserve"> sentimentCalc(C2292)</f>
        <v>17</v>
      </c>
      <c r="L2292" t="str" cm="1">
        <f t="array" ref="L2292" xml:space="preserve"> sentimentCategory(K2292)</f>
        <v>Positive</v>
      </c>
    </row>
    <row r="2293" spans="1:12">
      <c r="A2293" t="s">
        <v>434</v>
      </c>
      <c r="B2293" t="s">
        <v>1878</v>
      </c>
      <c r="C2293" t="str" cm="1">
        <f t="array" ref="C2293" xml:space="preserve"> CleanText(B2293)</f>
        <v>i think they shouldve just adapted the sequel comics in the style of the original show but if theres one thing im glad about is the existence of this adaption demonstrates that atla hasnt been forgottenwhich means animating the sequel comics could happen eventually</v>
      </c>
      <c r="D2293">
        <v>0</v>
      </c>
      <c r="E2293">
        <v>0</v>
      </c>
      <c r="F2293" t="s">
        <v>0</v>
      </c>
      <c r="G2293" t="str" cm="1">
        <f t="array" ref="G2293" xml:space="preserve"> FindCountryName(F2293)</f>
        <v>None</v>
      </c>
      <c r="H2293" s="1">
        <v>45274.535960648151</v>
      </c>
      <c r="I2293" s="1">
        <v>45274.535960648151</v>
      </c>
      <c r="J2293" s="1">
        <v>45274.194074074076</v>
      </c>
      <c r="K2293" cm="1">
        <f t="array" ref="K2293" xml:space="preserve"> sentimentCalc(C2293)</f>
        <v>3</v>
      </c>
      <c r="L2293" t="str" cm="1">
        <f t="array" ref="L2293" xml:space="preserve"> sentimentCategory(K2293)</f>
        <v>Positive</v>
      </c>
    </row>
    <row r="2294" spans="1:12">
      <c r="A2294" t="s">
        <v>8</v>
      </c>
      <c r="B2294" t="s">
        <v>1877</v>
      </c>
      <c r="C2294" t="str" cm="1">
        <f t="array" ref="C2294" xml:space="preserve"> CleanText(B2294)</f>
        <v>cant waitt</v>
      </c>
      <c r="D2294">
        <v>0</v>
      </c>
      <c r="E2294">
        <v>0</v>
      </c>
      <c r="F2294" t="s">
        <v>0</v>
      </c>
      <c r="G2294" t="str" cm="1">
        <f t="array" ref="G2294" xml:space="preserve"> FindCountryName(F2294)</f>
        <v>None</v>
      </c>
      <c r="H2294" s="1">
        <v>45274.483240740738</v>
      </c>
      <c r="I2294" s="1">
        <v>45274.483240740738</v>
      </c>
      <c r="J2294" s="1">
        <v>41264.090358796297</v>
      </c>
      <c r="K2294" cm="1">
        <f t="array" ref="K2294" xml:space="preserve"> sentimentCalc(C2294)</f>
        <v>0</v>
      </c>
      <c r="L2294" t="str" cm="1">
        <f t="array" ref="L2294" xml:space="preserve"> sentimentCategory(K2294)</f>
        <v>Neutral</v>
      </c>
    </row>
    <row r="2295" spans="1:12">
      <c r="A2295" t="s">
        <v>1876</v>
      </c>
      <c r="B2295" t="s">
        <v>1875</v>
      </c>
      <c r="C2295" t="str" cm="1">
        <f t="array" ref="C2295" xml:space="preserve"> CleanText(B2295)</f>
        <v>is it movie or series</v>
      </c>
      <c r="D2295">
        <v>0</v>
      </c>
      <c r="E2295">
        <v>1</v>
      </c>
      <c r="F2295" t="s">
        <v>0</v>
      </c>
      <c r="G2295" t="str" cm="1">
        <f t="array" ref="G2295" xml:space="preserve"> FindCountryName(F2295)</f>
        <v>None</v>
      </c>
      <c r="H2295" s="1">
        <v>45274.460312499999</v>
      </c>
      <c r="I2295" s="1">
        <v>45274.460312499999</v>
      </c>
      <c r="J2295" s="1">
        <v>39253.195509259262</v>
      </c>
      <c r="K2295" cm="1">
        <f t="array" ref="K2295" xml:space="preserve"> sentimentCalc(C2295)</f>
        <v>0</v>
      </c>
      <c r="L2295" t="str" cm="1">
        <f t="array" ref="L2295" xml:space="preserve"> sentimentCategory(K2295)</f>
        <v>Neutral</v>
      </c>
    </row>
    <row r="2296" spans="1:12">
      <c r="A2296" t="s">
        <v>1874</v>
      </c>
      <c r="B2296" t="s">
        <v>1873</v>
      </c>
      <c r="C2296" t="str" cm="1">
        <f t="array" ref="C2296" xml:space="preserve"> CleanText(B2296)</f>
        <v>espectacular</v>
      </c>
      <c r="D2296">
        <v>0</v>
      </c>
      <c r="E2296">
        <v>0</v>
      </c>
      <c r="F2296" t="s">
        <v>0</v>
      </c>
      <c r="G2296" t="str" cm="1">
        <f t="array" ref="G2296" xml:space="preserve"> FindCountryName(F2296)</f>
        <v>None</v>
      </c>
      <c r="H2296" s="1">
        <v>45274.394363425927</v>
      </c>
      <c r="I2296" s="1">
        <v>45274.394363425927</v>
      </c>
      <c r="J2296" s="1">
        <v>41327.946226851855</v>
      </c>
      <c r="K2296" cm="1">
        <f t="array" ref="K2296" xml:space="preserve"> sentimentCalc(C2296)</f>
        <v>0</v>
      </c>
      <c r="L2296" t="str" cm="1">
        <f t="array" ref="L2296" xml:space="preserve"> sentimentCategory(K2296)</f>
        <v>Neutral</v>
      </c>
    </row>
    <row r="2297" spans="1:12">
      <c r="A2297" t="s">
        <v>251</v>
      </c>
      <c r="B2297" t="s">
        <v>1872</v>
      </c>
      <c r="C2297" t="str" cm="1">
        <f t="array" ref="C2297" xml:space="preserve"> CleanText(B2297)</f>
        <v>totally carbon copy of origional avatar  the last airbender we are waiting for part  of avatar not for this kind of shit</v>
      </c>
      <c r="D2297">
        <v>0</v>
      </c>
      <c r="E2297">
        <v>0</v>
      </c>
      <c r="F2297" t="s">
        <v>0</v>
      </c>
      <c r="G2297" t="str" cm="1">
        <f t="array" ref="G2297" xml:space="preserve"> FindCountryName(F2297)</f>
        <v>None</v>
      </c>
      <c r="H2297" s="1">
        <v>45274.393958333334</v>
      </c>
      <c r="I2297" s="1">
        <v>45274.393958333334</v>
      </c>
      <c r="J2297" s="1">
        <v>41048.307708333334</v>
      </c>
      <c r="K2297" cm="1">
        <f t="array" ref="K2297" xml:space="preserve"> sentimentCalc(C2297)</f>
        <v>2</v>
      </c>
      <c r="L2297" t="str" cm="1">
        <f t="array" ref="L2297" xml:space="preserve"> sentimentCategory(K2297)</f>
        <v>Positive</v>
      </c>
    </row>
    <row r="2298" spans="1:12">
      <c r="A2298" t="s">
        <v>1871</v>
      </c>
      <c r="B2298" t="s">
        <v>1870</v>
      </c>
      <c r="C2298" t="str" cm="1">
        <f t="array" ref="C2298" xml:space="preserve"> CleanText(B2298)</f>
        <v>hopefully</v>
      </c>
      <c r="D2298">
        <v>0</v>
      </c>
      <c r="E2298">
        <v>0</v>
      </c>
      <c r="F2298" t="s">
        <v>0</v>
      </c>
      <c r="G2298" t="str" cm="1">
        <f t="array" ref="G2298" xml:space="preserve"> FindCountryName(F2298)</f>
        <v>None</v>
      </c>
      <c r="H2298" s="1">
        <v>45274.272673611114</v>
      </c>
      <c r="I2298" s="1">
        <v>45274.272673611114</v>
      </c>
      <c r="J2298" s="1">
        <v>42311.503263888888</v>
      </c>
      <c r="K2298" cm="1">
        <f t="array" ref="K2298" xml:space="preserve"> sentimentCalc(C2298)</f>
        <v>2</v>
      </c>
      <c r="L2298" t="str" cm="1">
        <f t="array" ref="L2298" xml:space="preserve"> sentimentCategory(K2298)</f>
        <v>Positive</v>
      </c>
    </row>
    <row r="2299" spans="1:12">
      <c r="A2299" t="s">
        <v>301</v>
      </c>
      <c r="B2299" t="s">
        <v>1869</v>
      </c>
      <c r="C2299" t="str" cm="1">
        <f t="array" ref="C2299" xml:space="preserve"> CleanText(B2299)</f>
        <v>why cgi is so poor</v>
      </c>
      <c r="D2299">
        <v>0</v>
      </c>
      <c r="E2299">
        <v>0</v>
      </c>
      <c r="F2299" t="s">
        <v>0</v>
      </c>
      <c r="G2299" t="str" cm="1">
        <f t="array" ref="G2299" xml:space="preserve"> FindCountryName(F2299)</f>
        <v>None</v>
      </c>
      <c r="H2299" s="1">
        <v>45274.203136574077</v>
      </c>
      <c r="I2299" s="1">
        <v>45274.203136574077</v>
      </c>
      <c r="J2299" s="1">
        <v>42394.427175925928</v>
      </c>
      <c r="K2299" cm="1">
        <f t="array" ref="K2299" xml:space="preserve"> sentimentCalc(C2299)</f>
        <v>-2</v>
      </c>
      <c r="L2299" t="str" cm="1">
        <f t="array" ref="L2299" xml:space="preserve"> sentimentCategory(K2299)</f>
        <v>Negative</v>
      </c>
    </row>
    <row r="2300" spans="1:12">
      <c r="A2300" t="s">
        <v>1525</v>
      </c>
      <c r="B2300" t="s">
        <v>1868</v>
      </c>
      <c r="C2300" t="str" cm="1">
        <f t="array" ref="C2300" xml:space="preserve"> CleanText(B2300)</f>
        <v>finally an atla movie</v>
      </c>
      <c r="D2300">
        <v>0</v>
      </c>
      <c r="E2300">
        <v>2</v>
      </c>
      <c r="F2300" t="s">
        <v>0</v>
      </c>
      <c r="G2300" t="str" cm="1">
        <f t="array" ref="G2300" xml:space="preserve"> FindCountryName(F2300)</f>
        <v>None</v>
      </c>
      <c r="H2300" s="1">
        <v>45274.199467592596</v>
      </c>
      <c r="I2300" s="1">
        <v>45274.199467592596</v>
      </c>
      <c r="J2300" s="1">
        <v>40223.050462962965</v>
      </c>
      <c r="K2300" cm="1">
        <f t="array" ref="K2300" xml:space="preserve"> sentimentCalc(C2300)</f>
        <v>0</v>
      </c>
      <c r="L2300" t="str" cm="1">
        <f t="array" ref="L2300" xml:space="preserve"> sentimentCategory(K2300)</f>
        <v>Neutral</v>
      </c>
    </row>
    <row r="2301" spans="1:12">
      <c r="A2301" t="s">
        <v>1867</v>
      </c>
      <c r="B2301" t="s">
        <v>1866</v>
      </c>
      <c r="C2301" t="str" cm="1">
        <f t="array" ref="C2301" xml:space="preserve"> CleanText(B2301)</f>
        <v>they ruined it again</v>
      </c>
      <c r="D2301">
        <v>0</v>
      </c>
      <c r="E2301">
        <v>0</v>
      </c>
      <c r="F2301" t="s">
        <v>0</v>
      </c>
      <c r="G2301" t="str" cm="1">
        <f t="array" ref="G2301" xml:space="preserve"> FindCountryName(F2301)</f>
        <v>None</v>
      </c>
      <c r="H2301" s="1">
        <v>45274.116041666668</v>
      </c>
      <c r="I2301" s="1">
        <v>45274.116041666668</v>
      </c>
      <c r="J2301" s="1">
        <v>42003.914479166669</v>
      </c>
      <c r="K2301" cm="1">
        <f t="array" ref="K2301" xml:space="preserve"> sentimentCalc(C2301)</f>
        <v>-2</v>
      </c>
      <c r="L2301" t="str" cm="1">
        <f t="array" ref="L2301" xml:space="preserve"> sentimentCategory(K2301)</f>
        <v>Negative</v>
      </c>
    </row>
    <row r="2302" spans="1:12">
      <c r="A2302" t="s">
        <v>730</v>
      </c>
      <c r="B2302" t="s">
        <v>1865</v>
      </c>
      <c r="C2302" t="str" cm="1">
        <f t="array" ref="C2302" xml:space="preserve"> CleanText(B2302)</f>
        <v>not this flopped film again</v>
      </c>
      <c r="D2302">
        <v>0</v>
      </c>
      <c r="E2302">
        <v>0</v>
      </c>
      <c r="F2302" t="s">
        <v>0</v>
      </c>
      <c r="G2302" t="str" cm="1">
        <f t="array" ref="G2302" xml:space="preserve"> FindCountryName(F2302)</f>
        <v>None</v>
      </c>
      <c r="H2302" s="1">
        <v>45274.1015625</v>
      </c>
      <c r="I2302" s="1">
        <v>45274.1015625</v>
      </c>
      <c r="J2302" s="1">
        <v>43917.730740740742</v>
      </c>
      <c r="K2302" cm="1">
        <f t="array" ref="K2302" xml:space="preserve"> sentimentCalc(C2302)</f>
        <v>0</v>
      </c>
      <c r="L2302" t="str" cm="1">
        <f t="array" ref="L2302" xml:space="preserve"> sentimentCategory(K2302)</f>
        <v>Neutral</v>
      </c>
    </row>
    <row r="2303" spans="1:12">
      <c r="A2303" t="s">
        <v>1864</v>
      </c>
      <c r="B2303" t="s">
        <v>1863</v>
      </c>
      <c r="C2303" t="str" cm="1">
        <f t="array" ref="C2303" xml:space="preserve"> CleanText(B2303)</f>
        <v>when the show stop being wokethen money comes first</v>
      </c>
      <c r="D2303">
        <v>0</v>
      </c>
      <c r="E2303">
        <v>0</v>
      </c>
      <c r="F2303" t="s">
        <v>633</v>
      </c>
      <c r="G2303" t="str" cm="1">
        <f t="array" ref="G2303" xml:space="preserve"> FindCountryName(F2303)</f>
        <v>Indonesia</v>
      </c>
      <c r="H2303" s="1">
        <v>45274.088692129626</v>
      </c>
      <c r="I2303" s="1">
        <v>45274.088692129626</v>
      </c>
      <c r="J2303" s="1">
        <v>42030.437256944446</v>
      </c>
      <c r="K2303" cm="1">
        <f t="array" ref="K2303" xml:space="preserve"> sentimentCalc(C2303)</f>
        <v>-1</v>
      </c>
      <c r="L2303" t="str" cm="1">
        <f t="array" ref="L2303" xml:space="preserve"> sentimentCategory(K2303)</f>
        <v>Negative</v>
      </c>
    </row>
    <row r="2304" spans="1:12">
      <c r="A2304" t="s">
        <v>291</v>
      </c>
      <c r="B2304" t="s">
        <v>1862</v>
      </c>
      <c r="C2304" t="str" cm="1">
        <f t="array" ref="C2304" xml:space="preserve"> CleanText(B2304)</f>
        <v>oofi cant even imagine how much theyve spent on creating the most accurate and very close to the  version of anime this looks so promising we really appreciate netflix for bringing our childhood to live action cant wait for release</v>
      </c>
      <c r="D2304">
        <v>2</v>
      </c>
      <c r="E2304">
        <v>0</v>
      </c>
      <c r="F2304" t="s">
        <v>0</v>
      </c>
      <c r="G2304" t="str" cm="1">
        <f t="array" ref="G2304" xml:space="preserve"> FindCountryName(F2304)</f>
        <v>None</v>
      </c>
      <c r="H2304" s="1">
        <v>45274.058055555557</v>
      </c>
      <c r="I2304" s="1">
        <v>45274.058055555557</v>
      </c>
      <c r="J2304" s="1">
        <v>42631.456666666665</v>
      </c>
      <c r="K2304" cm="1">
        <f t="array" ref="K2304" xml:space="preserve"> sentimentCalc(C2304)</f>
        <v>2</v>
      </c>
      <c r="L2304" t="str" cm="1">
        <f t="array" ref="L2304" xml:space="preserve"> sentimentCategory(K2304)</f>
        <v>Positive</v>
      </c>
    </row>
    <row r="2305" spans="1:12">
      <c r="A2305" t="s">
        <v>661</v>
      </c>
      <c r="B2305" t="s">
        <v>1861</v>
      </c>
      <c r="C2305" t="str" cm="1">
        <f t="array" ref="C2305" xml:space="preserve"> CleanText(B2305)</f>
        <v>okay as a fan of the original animated series who never bothered with the atrocious movie im intrigued just please dont eff this one up like so many other shows before like oooh i dunnothe witcher</v>
      </c>
      <c r="D2305">
        <v>0</v>
      </c>
      <c r="E2305">
        <v>0</v>
      </c>
      <c r="F2305" t="s">
        <v>0</v>
      </c>
      <c r="G2305" t="str" cm="1">
        <f t="array" ref="G2305" xml:space="preserve"> FindCountryName(F2305)</f>
        <v>None</v>
      </c>
      <c r="H2305" s="1">
        <v>45274.035509259258</v>
      </c>
      <c r="I2305" s="1">
        <v>45274.03597222222</v>
      </c>
      <c r="J2305" s="1">
        <v>42591.870532407411</v>
      </c>
      <c r="K2305" cm="1">
        <f t="array" ref="K2305" xml:space="preserve"> sentimentCalc(C2305)</f>
        <v>6</v>
      </c>
      <c r="L2305" t="str" cm="1">
        <f t="array" ref="L2305" xml:space="preserve"> sentimentCategory(K2305)</f>
        <v>Positive</v>
      </c>
    </row>
    <row r="2306" spans="1:12">
      <c r="A2306" t="s">
        <v>32</v>
      </c>
      <c r="B2306" t="s">
        <v>1860</v>
      </c>
      <c r="C2306" t="str" cm="1">
        <f t="array" ref="C2306" xml:space="preserve"> CleanText(B2306)</f>
        <v>couldnt cast someone darker for katara and soka</v>
      </c>
      <c r="D2306">
        <v>0</v>
      </c>
      <c r="E2306">
        <v>0</v>
      </c>
      <c r="F2306" t="s">
        <v>0</v>
      </c>
      <c r="G2306" t="str" cm="1">
        <f t="array" ref="G2306" xml:space="preserve"> FindCountryName(F2306)</f>
        <v>None</v>
      </c>
      <c r="H2306" s="1">
        <v>45273.970706018517</v>
      </c>
      <c r="I2306" s="1">
        <v>45273.970706018517</v>
      </c>
      <c r="J2306" s="1">
        <v>42608.404456018521</v>
      </c>
      <c r="K2306" cm="1">
        <f t="array" ref="K2306" xml:space="preserve"> sentimentCalc(C2306)</f>
        <v>0</v>
      </c>
      <c r="L2306" t="str" cm="1">
        <f t="array" ref="L2306" xml:space="preserve"> sentimentCategory(K2306)</f>
        <v>Neutral</v>
      </c>
    </row>
    <row r="2307" spans="1:12">
      <c r="A2307" t="s">
        <v>743</v>
      </c>
      <c r="B2307" t="s">
        <v>1859</v>
      </c>
      <c r="C2307" t="str" cm="1">
        <f t="array" ref="C2307" xml:space="preserve"> CleanText(B2307)</f>
        <v>plz dont screw it up</v>
      </c>
      <c r="D2307">
        <v>1</v>
      </c>
      <c r="E2307">
        <v>0</v>
      </c>
      <c r="F2307" t="s">
        <v>19</v>
      </c>
      <c r="G2307" t="str" cm="1">
        <f t="array" ref="G2307" xml:space="preserve"> FindCountryName(F2307)</f>
        <v>United States of America (the)</v>
      </c>
      <c r="H2307" s="1">
        <v>45273.943287037036</v>
      </c>
      <c r="I2307" s="1">
        <v>45273.943287037036</v>
      </c>
      <c r="J2307" s="1">
        <v>44017.685243055559</v>
      </c>
      <c r="K2307" cm="1">
        <f t="array" ref="K2307" xml:space="preserve"> sentimentCalc(C2307)</f>
        <v>0</v>
      </c>
      <c r="L2307" t="str" cm="1">
        <f t="array" ref="L2307" xml:space="preserve"> sentimentCategory(K2307)</f>
        <v>Neutral</v>
      </c>
    </row>
    <row r="2308" spans="1:12">
      <c r="A2308" t="s">
        <v>304</v>
      </c>
      <c r="B2308" t="s">
        <v>1858</v>
      </c>
      <c r="C2308" t="str" cm="1">
        <f t="array" ref="C2308" xml:space="preserve"> CleanText(B2308)</f>
        <v>i think this still needs a shit ton of work</v>
      </c>
      <c r="D2308">
        <v>2</v>
      </c>
      <c r="E2308">
        <v>0</v>
      </c>
      <c r="F2308" t="s">
        <v>0</v>
      </c>
      <c r="G2308" t="str" cm="1">
        <f t="array" ref="G2308" xml:space="preserve"> FindCountryName(F2308)</f>
        <v>None</v>
      </c>
      <c r="H2308" s="1">
        <v>45273.916944444441</v>
      </c>
      <c r="I2308" s="1">
        <v>45273.916944444441</v>
      </c>
      <c r="J2308" s="1">
        <v>41421.522118055553</v>
      </c>
      <c r="K2308" cm="1">
        <f t="array" ref="K2308" xml:space="preserve"> sentimentCalc(C2308)</f>
        <v>0</v>
      </c>
      <c r="L2308" t="str" cm="1">
        <f t="array" ref="L2308" xml:space="preserve"> sentimentCategory(K2308)</f>
        <v>Neutral</v>
      </c>
    </row>
    <row r="2309" spans="1:12">
      <c r="A2309" t="s">
        <v>1857</v>
      </c>
      <c r="B2309" t="s">
        <v>1856</v>
      </c>
      <c r="C2309" t="str" cm="1">
        <f t="array" ref="C2309" xml:space="preserve"> CleanText(B2309)</f>
        <v>but why must it be a remake</v>
      </c>
      <c r="D2309">
        <v>0</v>
      </c>
      <c r="E2309">
        <v>0</v>
      </c>
      <c r="F2309" t="s">
        <v>0</v>
      </c>
      <c r="G2309" t="str" cm="1">
        <f t="array" ref="G2309" xml:space="preserve"> FindCountryName(F2309)</f>
        <v>None</v>
      </c>
      <c r="H2309" s="1">
        <v>45273.915682870371</v>
      </c>
      <c r="I2309" s="1">
        <v>45273.915682870371</v>
      </c>
      <c r="J2309" s="1">
        <v>40278.392650462964</v>
      </c>
      <c r="K2309" cm="1">
        <f t="array" ref="K2309" xml:space="preserve"> sentimentCalc(C2309)</f>
        <v>0</v>
      </c>
      <c r="L2309" t="str" cm="1">
        <f t="array" ref="L2309" xml:space="preserve"> sentimentCategory(K2309)</f>
        <v>Neutral</v>
      </c>
    </row>
    <row r="2310" spans="1:12">
      <c r="A2310" t="s">
        <v>239</v>
      </c>
      <c r="B2310" t="s">
        <v>1855</v>
      </c>
      <c r="C2310" t="str" cm="1">
        <f t="array" ref="C2310" xml:space="preserve"> CleanText(B2310)</f>
        <v>o que me encantava em avatar era as coreografias e os ensinamentos que tinham durante os dilogos mais maduros do que eu esperava mas eu duvido que vo conseguir focar nessas coisas</v>
      </c>
      <c r="D2310">
        <v>3</v>
      </c>
      <c r="E2310">
        <v>0</v>
      </c>
      <c r="F2310" t="s">
        <v>0</v>
      </c>
      <c r="G2310" t="str" cm="1">
        <f t="array" ref="G2310" xml:space="preserve"> FindCountryName(F2310)</f>
        <v>None</v>
      </c>
      <c r="H2310" s="1">
        <v>45273.873414351852</v>
      </c>
      <c r="I2310" s="1">
        <v>45273.873414351852</v>
      </c>
      <c r="J2310" s="1">
        <v>42938.274965277778</v>
      </c>
      <c r="K2310" cm="1">
        <f t="array" ref="K2310" xml:space="preserve"> sentimentCalc(C2310)</f>
        <v>0</v>
      </c>
      <c r="L2310" t="str" cm="1">
        <f t="array" ref="L2310" xml:space="preserve"> sentimentCategory(K2310)</f>
        <v>Neutral</v>
      </c>
    </row>
    <row r="2311" spans="1:12">
      <c r="A2311" t="s">
        <v>648</v>
      </c>
      <c r="B2311" t="s">
        <v>1854</v>
      </c>
      <c r="C2311" t="str" cm="1">
        <f t="array" ref="C2311" xml:space="preserve"> CleanText(B2311)</f>
        <v>hopefully its not like the last movie they made which was terrible but it does look good so far im excited for it</v>
      </c>
      <c r="D2311">
        <v>6</v>
      </c>
      <c r="E2311">
        <v>0</v>
      </c>
      <c r="F2311" t="s">
        <v>0</v>
      </c>
      <c r="G2311" t="str" cm="1">
        <f t="array" ref="G2311" xml:space="preserve"> FindCountryName(F2311)</f>
        <v>None</v>
      </c>
      <c r="H2311" s="1">
        <v>45273.871342592596</v>
      </c>
      <c r="I2311" s="1">
        <v>45273.871342592596</v>
      </c>
      <c r="J2311" s="1">
        <v>41349.754907407405</v>
      </c>
      <c r="K2311" cm="1">
        <f t="array" ref="K2311" xml:space="preserve"> sentimentCalc(C2311)</f>
        <v>7</v>
      </c>
      <c r="L2311" t="str" cm="1">
        <f t="array" ref="L2311" xml:space="preserve"> sentimentCategory(K2311)</f>
        <v>Positive</v>
      </c>
    </row>
    <row r="2312" spans="1:12">
      <c r="A2312" t="s">
        <v>56</v>
      </c>
      <c r="B2312" t="s">
        <v>1853</v>
      </c>
      <c r="C2312" t="str" cm="1">
        <f t="array" ref="C2312" xml:space="preserve"> CleanText(B2312)</f>
        <v>i was scared coming into this trailer until i saw my boi zuko im hyped this looks good</v>
      </c>
      <c r="D2312">
        <v>1</v>
      </c>
      <c r="E2312">
        <v>0</v>
      </c>
      <c r="F2312" t="s">
        <v>0</v>
      </c>
      <c r="G2312" t="str" cm="1">
        <f t="array" ref="G2312" xml:space="preserve"> FindCountryName(F2312)</f>
        <v>None</v>
      </c>
      <c r="H2312" s="1">
        <v>45273.863668981481</v>
      </c>
      <c r="I2312" s="1">
        <v>45273.863668981481</v>
      </c>
      <c r="J2312" s="1">
        <v>41287.032465277778</v>
      </c>
      <c r="K2312" cm="1">
        <f t="array" ref="K2312" xml:space="preserve"> sentimentCalc(C2312)</f>
        <v>1</v>
      </c>
      <c r="L2312" t="str" cm="1">
        <f t="array" ref="L2312" xml:space="preserve"> sentimentCategory(K2312)</f>
        <v>Positive</v>
      </c>
    </row>
    <row r="2313" spans="1:12">
      <c r="A2313" t="s">
        <v>674</v>
      </c>
      <c r="B2313" t="s">
        <v>1852</v>
      </c>
      <c r="C2313" t="str" cm="1">
        <f t="array" ref="C2313" xml:space="preserve"> CleanText(B2313)</f>
        <v>my only worry is that were not getting much dialogue from aang in the trailer</v>
      </c>
      <c r="D2313">
        <v>2</v>
      </c>
      <c r="E2313">
        <v>0</v>
      </c>
      <c r="F2313" t="s">
        <v>0</v>
      </c>
      <c r="G2313" t="str" cm="1">
        <f t="array" ref="G2313" xml:space="preserve"> FindCountryName(F2313)</f>
        <v>None</v>
      </c>
      <c r="H2313" s="1">
        <v>45273.853993055556</v>
      </c>
      <c r="I2313" s="1">
        <v>45273.853993055556</v>
      </c>
      <c r="J2313" s="1">
        <v>40684.822962962964</v>
      </c>
      <c r="K2313" cm="1">
        <f t="array" ref="K2313" xml:space="preserve"> sentimentCalc(C2313)</f>
        <v>-3</v>
      </c>
      <c r="L2313" t="str" cm="1">
        <f t="array" ref="L2313" xml:space="preserve"> sentimentCategory(K2313)</f>
        <v>Negative</v>
      </c>
    </row>
    <row r="2314" spans="1:12">
      <c r="A2314" t="s">
        <v>82</v>
      </c>
      <c r="B2314" t="s">
        <v>1851</v>
      </c>
      <c r="C2314" t="str" cm="1">
        <f t="array" ref="C2314" xml:space="preserve"> CleanText(B2314)</f>
        <v>all i could think when i saw iroh was 11 japan attack korea_xD83D_</v>
      </c>
      <c r="D2314">
        <v>1</v>
      </c>
      <c r="E2314">
        <v>1</v>
      </c>
      <c r="F2314" t="s">
        <v>0</v>
      </c>
      <c r="G2314" t="str" cm="1">
        <f t="array" ref="G2314" xml:space="preserve"> FindCountryName(F2314)</f>
        <v>None</v>
      </c>
      <c r="H2314" s="1">
        <v>45273.797893518517</v>
      </c>
      <c r="I2314" s="1">
        <v>45273.797893518517</v>
      </c>
      <c r="J2314" s="1">
        <v>43066.379201388889</v>
      </c>
      <c r="K2314" cm="1">
        <f t="array" ref="K2314" xml:space="preserve"> sentimentCalc(C2314)</f>
        <v>-1</v>
      </c>
      <c r="L2314" t="str" cm="1">
        <f t="array" ref="L2314" xml:space="preserve"> sentimentCategory(K2314)</f>
        <v>Negative</v>
      </c>
    </row>
    <row r="2315" spans="1:12">
      <c r="A2315" t="s">
        <v>1850</v>
      </c>
      <c r="B2315" t="s">
        <v>1849</v>
      </c>
      <c r="C2315" t="str" cm="1">
        <f t="array" ref="C2315" xml:space="preserve"> CleanText(B2315)</f>
        <v>how can i tell if a netflix trailer is a series or a film they never mention it</v>
      </c>
      <c r="D2315">
        <v>1</v>
      </c>
      <c r="E2315">
        <v>4</v>
      </c>
      <c r="F2315" t="s">
        <v>19</v>
      </c>
      <c r="G2315" t="str" cm="1">
        <f t="array" ref="G2315" xml:space="preserve"> FindCountryName(F2315)</f>
        <v>United States of America (the)</v>
      </c>
      <c r="H2315" s="1">
        <v>45273.78769675926</v>
      </c>
      <c r="I2315" s="1">
        <v>45273.78769675926</v>
      </c>
      <c r="J2315" s="1">
        <v>41910.188101851854</v>
      </c>
      <c r="K2315" cm="1">
        <f t="array" ref="K2315" xml:space="preserve"> sentimentCalc(C2315)</f>
        <v>0</v>
      </c>
      <c r="L2315" t="str" cm="1">
        <f t="array" ref="L2315" xml:space="preserve"> sentimentCategory(K2315)</f>
        <v>Neutral</v>
      </c>
    </row>
    <row r="2316" spans="1:12">
      <c r="A2316" t="s">
        <v>687</v>
      </c>
      <c r="B2316" t="s">
        <v>1848</v>
      </c>
      <c r="C2316" t="str" cm="1">
        <f t="array" ref="C2316" xml:space="preserve"> CleanText(B2316)</f>
        <v>where is tof</v>
      </c>
      <c r="D2316">
        <v>1</v>
      </c>
      <c r="E2316">
        <v>1</v>
      </c>
      <c r="F2316" t="s">
        <v>0</v>
      </c>
      <c r="G2316" t="str" cm="1">
        <f t="array" ref="G2316" xml:space="preserve"> FindCountryName(F2316)</f>
        <v>None</v>
      </c>
      <c r="H2316" s="1">
        <v>45273.746087962965</v>
      </c>
      <c r="I2316" s="1">
        <v>45273.746087962965</v>
      </c>
      <c r="J2316" s="1">
        <v>45273.718206018515</v>
      </c>
      <c r="K2316" cm="1">
        <f t="array" ref="K2316" xml:space="preserve"> sentimentCalc(C2316)</f>
        <v>0</v>
      </c>
      <c r="L2316" t="str" cm="1">
        <f t="array" ref="L2316" xml:space="preserve"> sentimentCategory(K2316)</f>
        <v>Neutral</v>
      </c>
    </row>
    <row r="2317" spans="1:12">
      <c r="A2317" t="s">
        <v>1847</v>
      </c>
      <c r="B2317" t="s">
        <v>1846</v>
      </c>
      <c r="C2317" t="str" cm="1">
        <f t="array" ref="C2317" xml:space="preserve"> CleanText(B2317)</f>
        <v>oh be sonunda geliyor</v>
      </c>
      <c r="D2317">
        <v>1</v>
      </c>
      <c r="E2317">
        <v>0</v>
      </c>
      <c r="F2317" t="s">
        <v>0</v>
      </c>
      <c r="G2317" t="str" cm="1">
        <f t="array" ref="G2317" xml:space="preserve"> FindCountryName(F2317)</f>
        <v>None</v>
      </c>
      <c r="H2317" s="1">
        <v>45273.719467592593</v>
      </c>
      <c r="I2317" s="1">
        <v>45273.719467592593</v>
      </c>
      <c r="J2317" s="1">
        <v>41407.655162037037</v>
      </c>
      <c r="K2317" cm="1">
        <f t="array" ref="K2317" xml:space="preserve"> sentimentCalc(C2317)</f>
        <v>0</v>
      </c>
      <c r="L2317" t="str" cm="1">
        <f t="array" ref="L2317" xml:space="preserve"> sentimentCategory(K2317)</f>
        <v>Neutral</v>
      </c>
    </row>
    <row r="2318" spans="1:12">
      <c r="A2318" t="s">
        <v>1845</v>
      </c>
      <c r="B2318" t="s">
        <v>1844</v>
      </c>
      <c r="C2318" t="str" cm="1">
        <f t="array" ref="C2318" xml:space="preserve"> CleanText(B2318)</f>
        <v>i forgive you netflix</v>
      </c>
      <c r="D2318">
        <v>1</v>
      </c>
      <c r="E2318">
        <v>0</v>
      </c>
      <c r="F2318" t="s">
        <v>1093</v>
      </c>
      <c r="G2318" t="str" cm="1">
        <f t="array" ref="G2318" xml:space="preserve"> FindCountryName(F2318)</f>
        <v>Mexico</v>
      </c>
      <c r="H2318" s="1">
        <v>45273.702708333331</v>
      </c>
      <c r="I2318" s="1">
        <v>45273.702708333331</v>
      </c>
      <c r="J2318" s="1">
        <v>43986.002974537034</v>
      </c>
      <c r="K2318" cm="1">
        <f t="array" ref="K2318" xml:space="preserve"> sentimentCalc(C2318)</f>
        <v>1</v>
      </c>
      <c r="L2318" t="str" cm="1">
        <f t="array" ref="L2318" xml:space="preserve"> sentimentCategory(K2318)</f>
        <v>Positive</v>
      </c>
    </row>
    <row r="2319" spans="1:12">
      <c r="A2319" t="s">
        <v>439</v>
      </c>
      <c r="B2319" t="s">
        <v>1843</v>
      </c>
      <c r="C2319" t="str" cm="1">
        <f t="array" ref="C2319" xml:space="preserve"> CleanText(B2319)</f>
        <v>its giving high quality fan made and i am here for it</v>
      </c>
      <c r="D2319">
        <v>2</v>
      </c>
      <c r="E2319">
        <v>0</v>
      </c>
      <c r="F2319" t="s">
        <v>0</v>
      </c>
      <c r="G2319" t="str" cm="1">
        <f t="array" ref="G2319" xml:space="preserve"> FindCountryName(F2319)</f>
        <v>None</v>
      </c>
      <c r="H2319" s="1">
        <v>45273.700115740743</v>
      </c>
      <c r="I2319" s="1">
        <v>45273.700115740743</v>
      </c>
      <c r="J2319" s="1">
        <v>43142.538726851853</v>
      </c>
      <c r="K2319" cm="1">
        <f t="array" ref="K2319" xml:space="preserve"> sentimentCalc(C2319)</f>
        <v>3</v>
      </c>
      <c r="L2319" t="str" cm="1">
        <f t="array" ref="L2319" xml:space="preserve"> sentimentCategory(K2319)</f>
        <v>Positive</v>
      </c>
    </row>
    <row r="2320" spans="1:12">
      <c r="A2320" t="s">
        <v>1842</v>
      </c>
      <c r="B2320" t="s">
        <v>1841</v>
      </c>
      <c r="C2320" t="str" cm="1">
        <f t="array" ref="C2320" xml:space="preserve"> CleanText(B2320)</f>
        <v>meu deus eu preciso ver</v>
      </c>
      <c r="D2320">
        <v>1</v>
      </c>
      <c r="E2320">
        <v>0</v>
      </c>
      <c r="F2320" t="s">
        <v>0</v>
      </c>
      <c r="G2320" t="str" cm="1">
        <f t="array" ref="G2320" xml:space="preserve"> FindCountryName(F2320)</f>
        <v>None</v>
      </c>
      <c r="H2320" s="1">
        <v>45273.57503472222</v>
      </c>
      <c r="I2320" s="1">
        <v>45273.57503472222</v>
      </c>
      <c r="J2320" s="1">
        <v>42473.911909722221</v>
      </c>
      <c r="K2320" cm="1">
        <f t="array" ref="K2320" xml:space="preserve"> sentimentCalc(C2320)</f>
        <v>0</v>
      </c>
      <c r="L2320" t="str" cm="1">
        <f t="array" ref="L2320" xml:space="preserve"> sentimentCategory(K2320)</f>
        <v>Neutral</v>
      </c>
    </row>
    <row r="2321" spans="1:12">
      <c r="A2321" t="s">
        <v>529</v>
      </c>
      <c r="B2321" t="s">
        <v>1840</v>
      </c>
      <c r="C2321" t="str" cm="1">
        <f t="array" ref="C2321" xml:space="preserve"> CleanText(B2321)</f>
        <v>this boutta be some doo doo butter lets be real</v>
      </c>
      <c r="D2321">
        <v>0</v>
      </c>
      <c r="E2321">
        <v>0</v>
      </c>
      <c r="F2321" t="s">
        <v>0</v>
      </c>
      <c r="G2321" t="str" cm="1">
        <f t="array" ref="G2321" xml:space="preserve"> FindCountryName(F2321)</f>
        <v>None</v>
      </c>
      <c r="H2321" s="1">
        <v>45273.552071759259</v>
      </c>
      <c r="I2321" s="1">
        <v>45273.552071759259</v>
      </c>
      <c r="J2321" s="1">
        <v>41658.481874999998</v>
      </c>
      <c r="K2321" cm="1">
        <f t="array" ref="K2321" xml:space="preserve"> sentimentCalc(C2321)</f>
        <v>0</v>
      </c>
      <c r="L2321" t="str" cm="1">
        <f t="array" ref="L2321" xml:space="preserve"> sentimentCategory(K2321)</f>
        <v>Neutral</v>
      </c>
    </row>
    <row r="2322" spans="1:12">
      <c r="A2322" t="s">
        <v>1839</v>
      </c>
      <c r="B2322" t="s">
        <v>1838</v>
      </c>
      <c r="C2322" t="str" cm="1">
        <f t="array" ref="C2322" xml:space="preserve"> CleanText(B2322)</f>
        <v>no dissapointment pls_xD83E_</v>
      </c>
      <c r="D2322">
        <v>1</v>
      </c>
      <c r="E2322">
        <v>0</v>
      </c>
      <c r="F2322" t="s">
        <v>0</v>
      </c>
      <c r="G2322" t="str" cm="1">
        <f t="array" ref="G2322" xml:space="preserve"> FindCountryName(F2322)</f>
        <v>None</v>
      </c>
      <c r="H2322" s="1">
        <v>45273.545567129629</v>
      </c>
      <c r="I2322" s="1">
        <v>45273.545567129629</v>
      </c>
      <c r="J2322" s="1">
        <v>43807.621504629627</v>
      </c>
      <c r="K2322" cm="1">
        <f t="array" ref="K2322" xml:space="preserve"> sentimentCalc(C2322)</f>
        <v>-1</v>
      </c>
      <c r="L2322" t="str" cm="1">
        <f t="array" ref="L2322" xml:space="preserve"> sentimentCategory(K2322)</f>
        <v>Negative</v>
      </c>
    </row>
    <row r="2323" spans="1:12">
      <c r="A2323" t="s">
        <v>249</v>
      </c>
      <c r="B2323" t="s">
        <v>1837</v>
      </c>
      <c r="C2323" t="str" cm="1">
        <f t="array" ref="C2323" xml:space="preserve"> CleanText(B2323)</f>
        <v>finally thery dont need fire to throw fire at ppl</v>
      </c>
      <c r="D2323">
        <v>2</v>
      </c>
      <c r="E2323">
        <v>0</v>
      </c>
      <c r="F2323" t="s">
        <v>0</v>
      </c>
      <c r="G2323" t="str" cm="1">
        <f t="array" ref="G2323" xml:space="preserve"> FindCountryName(F2323)</f>
        <v>None</v>
      </c>
      <c r="H2323" s="1">
        <v>45273.537395833337</v>
      </c>
      <c r="I2323" s="1">
        <v>45273.537395833337</v>
      </c>
      <c r="J2323" s="1">
        <v>40086.779409722221</v>
      </c>
      <c r="K2323" cm="1">
        <f t="array" ref="K2323" xml:space="preserve"> sentimentCalc(C2323)</f>
        <v>-4</v>
      </c>
      <c r="L2323" t="str" cm="1">
        <f t="array" ref="L2323" xml:space="preserve"> sentimentCategory(K2323)</f>
        <v>Negative</v>
      </c>
    </row>
    <row r="2324" spans="1:12">
      <c r="A2324" t="s">
        <v>483</v>
      </c>
      <c r="B2324" t="s">
        <v>1836</v>
      </c>
      <c r="C2324" t="str" cm="1">
        <f t="array" ref="C2324" xml:space="preserve"> CleanText(B2324)</f>
        <v>just a single complaint  they should not have revealed ozais face _xDE2D_</v>
      </c>
      <c r="D2324">
        <v>2</v>
      </c>
      <c r="E2324">
        <v>4</v>
      </c>
      <c r="F2324" t="s">
        <v>0</v>
      </c>
      <c r="G2324" t="str" cm="1">
        <f t="array" ref="G2324" xml:space="preserve"> FindCountryName(F2324)</f>
        <v>None</v>
      </c>
      <c r="H2324" s="1">
        <v>45273.490335648145</v>
      </c>
      <c r="I2324" s="1">
        <v>45273.490335648145</v>
      </c>
      <c r="J2324" s="1">
        <v>41679.172418981485</v>
      </c>
      <c r="K2324" cm="1">
        <f t="array" ref="K2324" xml:space="preserve"> sentimentCalc(C2324)</f>
        <v>0</v>
      </c>
      <c r="L2324" t="str" cm="1">
        <f t="array" ref="L2324" xml:space="preserve"> sentimentCategory(K2324)</f>
        <v>Neutral</v>
      </c>
    </row>
    <row r="2325" spans="1:12">
      <c r="A2325" t="s">
        <v>1338</v>
      </c>
      <c r="B2325" t="s">
        <v>1835</v>
      </c>
      <c r="C2325" t="str" cm="1">
        <f t="array" ref="C2325" xml:space="preserve"> CleanText(B2325)</f>
        <v>hopefully nextflix will make it from book of water earth and then fire so that we will see katara do blood bending</v>
      </c>
      <c r="D2325">
        <v>2</v>
      </c>
      <c r="E2325">
        <v>1</v>
      </c>
      <c r="F2325" t="s">
        <v>0</v>
      </c>
      <c r="G2325" t="str" cm="1">
        <f t="array" ref="G2325" xml:space="preserve"> FindCountryName(F2325)</f>
        <v>None</v>
      </c>
      <c r="H2325" s="1">
        <v>45273.480393518519</v>
      </c>
      <c r="I2325" s="1">
        <v>45273.480393518519</v>
      </c>
      <c r="J2325" s="1">
        <v>45197.129861111112</v>
      </c>
      <c r="K2325" cm="1">
        <f t="array" ref="K2325" xml:space="preserve"> sentimentCalc(C2325)</f>
        <v>0</v>
      </c>
      <c r="L2325" t="str" cm="1">
        <f t="array" ref="L2325" xml:space="preserve"> sentimentCategory(K2325)</f>
        <v>Neutral</v>
      </c>
    </row>
    <row r="2326" spans="1:12">
      <c r="A2326" t="s">
        <v>243</v>
      </c>
      <c r="B2326" t="s">
        <v>1834</v>
      </c>
      <c r="C2326" t="str" cm="1">
        <f t="array" ref="C2326" xml:space="preserve"> CleanText(B2326)</f>
        <v>they rlly said another one</v>
      </c>
      <c r="D2326">
        <v>1</v>
      </c>
      <c r="E2326">
        <v>1</v>
      </c>
      <c r="F2326" t="s">
        <v>0</v>
      </c>
      <c r="G2326" t="str" cm="1">
        <f t="array" ref="G2326" xml:space="preserve"> FindCountryName(F2326)</f>
        <v>None</v>
      </c>
      <c r="H2326" s="1">
        <v>45273.477349537039</v>
      </c>
      <c r="I2326" s="1">
        <v>45273.477349537039</v>
      </c>
      <c r="J2326" s="1">
        <v>42702.453298611108</v>
      </c>
      <c r="K2326" cm="1">
        <f t="array" ref="K2326" xml:space="preserve"> sentimentCalc(C2326)</f>
        <v>0</v>
      </c>
      <c r="L2326" t="str" cm="1">
        <f t="array" ref="L2326" xml:space="preserve"> sentimentCategory(K2326)</f>
        <v>Neutral</v>
      </c>
    </row>
    <row r="2327" spans="1:12">
      <c r="A2327" t="s">
        <v>1415</v>
      </c>
      <c r="B2327" t="s">
        <v>1833</v>
      </c>
      <c r="C2327" t="str" cm="1">
        <f t="array" ref="C2327" xml:space="preserve"> CleanText(B2327)</f>
        <v>looks great but where is the humor that is such a large part of the series</v>
      </c>
      <c r="D2327">
        <v>2</v>
      </c>
      <c r="E2327">
        <v>1</v>
      </c>
      <c r="F2327" t="s">
        <v>0</v>
      </c>
      <c r="G2327" t="str" cm="1">
        <f t="array" ref="G2327" xml:space="preserve"> FindCountryName(F2327)</f>
        <v>None</v>
      </c>
      <c r="H2327" s="1">
        <v>45273.468993055554</v>
      </c>
      <c r="I2327" s="1">
        <v>45273.468993055554</v>
      </c>
      <c r="J2327" s="1">
        <v>40750.337847222225</v>
      </c>
      <c r="K2327" cm="1">
        <f t="array" ref="K2327" xml:space="preserve"> sentimentCalc(C2327)</f>
        <v>5</v>
      </c>
      <c r="L2327" t="str" cm="1">
        <f t="array" ref="L2327" xml:space="preserve"> sentimentCategory(K2327)</f>
        <v>Positive</v>
      </c>
    </row>
    <row r="2328" spans="1:12">
      <c r="A2328" t="s">
        <v>1634</v>
      </c>
      <c r="B2328" t="s">
        <v>1832</v>
      </c>
      <c r="C2328" t="str" cm="1">
        <f t="array" ref="C2328" xml:space="preserve"> CleanText(B2328)</f>
        <v>not bad</v>
      </c>
      <c r="D2328">
        <v>2</v>
      </c>
      <c r="E2328">
        <v>0</v>
      </c>
      <c r="F2328" t="s">
        <v>0</v>
      </c>
      <c r="G2328" t="str" cm="1">
        <f t="array" ref="G2328" xml:space="preserve"> FindCountryName(F2328)</f>
        <v>None</v>
      </c>
      <c r="H2328" s="1">
        <v>45273.467118055552</v>
      </c>
      <c r="I2328" s="1">
        <v>45273.467118055552</v>
      </c>
      <c r="J2328" s="1">
        <v>42728.272476851853</v>
      </c>
      <c r="K2328" cm="1">
        <f t="array" ref="K2328" xml:space="preserve"> sentimentCalc(C2328)</f>
        <v>-3</v>
      </c>
      <c r="L2328" t="str" cm="1">
        <f t="array" ref="L2328" xml:space="preserve"> sentimentCategory(K2328)</f>
        <v>Negative</v>
      </c>
    </row>
    <row r="2329" spans="1:12">
      <c r="A2329" t="s">
        <v>1831</v>
      </c>
      <c r="B2329" t="s">
        <v>1830</v>
      </c>
      <c r="C2329" t="str" cm="1">
        <f t="array" ref="C2329" xml:space="preserve"> CleanText(B2329)</f>
        <v>great another remake and we know netflix will insert the message so its bound to be awful</v>
      </c>
      <c r="D2329">
        <v>0</v>
      </c>
      <c r="E2329">
        <v>1</v>
      </c>
      <c r="F2329" t="s">
        <v>0</v>
      </c>
      <c r="G2329" t="str" cm="1">
        <f t="array" ref="G2329" xml:space="preserve"> FindCountryName(F2329)</f>
        <v>None</v>
      </c>
      <c r="H2329" s="1">
        <v>45273.464513888888</v>
      </c>
      <c r="I2329" s="1">
        <v>45273.464513888888</v>
      </c>
      <c r="J2329" s="1">
        <v>40979.495891203704</v>
      </c>
      <c r="K2329" cm="1">
        <f t="array" ref="K2329" xml:space="preserve"> sentimentCalc(C2329)</f>
        <v>0</v>
      </c>
      <c r="L2329" t="str" cm="1">
        <f t="array" ref="L2329" xml:space="preserve"> sentimentCategory(K2329)</f>
        <v>Neutral</v>
      </c>
    </row>
    <row r="2330" spans="1:12">
      <c r="A2330" t="s">
        <v>1829</v>
      </c>
      <c r="B2330" t="s">
        <v>1828</v>
      </c>
      <c r="C2330" t="str" cm="1">
        <f t="array" ref="C2330" xml:space="preserve"> CleanText(B2330)</f>
        <v>best trailer cut by netflix ever</v>
      </c>
      <c r="D2330">
        <v>1</v>
      </c>
      <c r="E2330">
        <v>0</v>
      </c>
      <c r="F2330" t="s">
        <v>0</v>
      </c>
      <c r="G2330" t="str" cm="1">
        <f t="array" ref="G2330" xml:space="preserve"> FindCountryName(F2330)</f>
        <v>None</v>
      </c>
      <c r="H2330" s="1">
        <v>45273.464282407411</v>
      </c>
      <c r="I2330" s="1">
        <v>45273.464282407411</v>
      </c>
      <c r="J2330" s="1">
        <v>43444.453958333332</v>
      </c>
      <c r="K2330" cm="1">
        <f t="array" ref="K2330" xml:space="preserve"> sentimentCalc(C2330)</f>
        <v>2</v>
      </c>
      <c r="L2330" t="str" cm="1">
        <f t="array" ref="L2330" xml:space="preserve"> sentimentCategory(K2330)</f>
        <v>Positive</v>
      </c>
    </row>
    <row r="2331" spans="1:12">
      <c r="A2331" t="s">
        <v>1827</v>
      </c>
      <c r="B2331" t="s">
        <v>1826</v>
      </c>
      <c r="C2331" t="str" cm="1">
        <f t="array" ref="C2331" xml:space="preserve"> CleanText(B2331)</f>
        <v>this shit looks ass and all the characters look ugly asf</v>
      </c>
      <c r="D2331">
        <v>1</v>
      </c>
      <c r="E2331">
        <v>1</v>
      </c>
      <c r="F2331" t="s">
        <v>0</v>
      </c>
      <c r="G2331" t="str" cm="1">
        <f t="array" ref="G2331" xml:space="preserve"> FindCountryName(F2331)</f>
        <v>None</v>
      </c>
      <c r="H2331" s="1">
        <v>45273.43141203704</v>
      </c>
      <c r="I2331" s="1">
        <v>45273.43141203704</v>
      </c>
      <c r="J2331" s="1">
        <v>43248.242604166669</v>
      </c>
      <c r="K2331" cm="1">
        <f t="array" ref="K2331" xml:space="preserve"> sentimentCalc(C2331)</f>
        <v>-7</v>
      </c>
      <c r="L2331" t="str" cm="1">
        <f t="array" ref="L2331" xml:space="preserve"> sentimentCategory(K2331)</f>
        <v>Negative</v>
      </c>
    </row>
    <row r="2332" spans="1:12">
      <c r="A2332" t="s">
        <v>388</v>
      </c>
      <c r="B2332" t="s">
        <v>1825</v>
      </c>
      <c r="C2332" t="str" cm="1">
        <f t="array" ref="C2332" xml:space="preserve"> CleanText(B2332)</f>
        <v>i cant wait anymore the teaser looks so promising the cgi the effects the actors the scenery  everything looks amazing at first i thought hm maybe aangs actor is a bit too young though he has the same age i think but now im sure this role suits him really good and the cast is perfect overall _xDE0D_ im really excited for this series and have high hopes so please dont disappoint us im still traumatized by the movie from 00.one of the best shows ever is coming back to the screens after so many years as a live action series i cant believe it</v>
      </c>
      <c r="D2332">
        <v>254</v>
      </c>
      <c r="E2332">
        <v>3</v>
      </c>
      <c r="F2332" t="s">
        <v>0</v>
      </c>
      <c r="G2332" t="str" cm="1">
        <f t="array" ref="G2332" xml:space="preserve"> FindCountryName(F2332)</f>
        <v>None</v>
      </c>
      <c r="H2332" s="1">
        <v>45273.372719907406</v>
      </c>
      <c r="I2332" s="1">
        <v>45273.372719907406</v>
      </c>
      <c r="J2332" s="1">
        <v>43361.634722222225</v>
      </c>
      <c r="K2332" cm="1">
        <f t="array" ref="K2332" xml:space="preserve"> sentimentCalc(C2332)</f>
        <v>17</v>
      </c>
      <c r="L2332" t="str" cm="1">
        <f t="array" ref="L2332" xml:space="preserve"> sentimentCategory(K2332)</f>
        <v>Positive</v>
      </c>
    </row>
    <row r="2333" spans="1:12">
      <c r="A2333" t="s">
        <v>43</v>
      </c>
      <c r="B2333" t="s">
        <v>1824</v>
      </c>
      <c r="C2333" t="str" cm="1">
        <f t="array" ref="C2333" xml:space="preserve"> CleanText(B2333)</f>
        <v>trailer looking fire</v>
      </c>
      <c r="D2333">
        <v>1</v>
      </c>
      <c r="E2333">
        <v>1</v>
      </c>
      <c r="F2333" t="s">
        <v>0</v>
      </c>
      <c r="G2333" t="str" cm="1">
        <f t="array" ref="G2333" xml:space="preserve"> FindCountryName(F2333)</f>
        <v>None</v>
      </c>
      <c r="H2333" s="1">
        <v>45273.356539351851</v>
      </c>
      <c r="I2333" s="1">
        <v>45273.356539351851</v>
      </c>
      <c r="J2333" s="1">
        <v>44948.137418981481</v>
      </c>
      <c r="K2333" cm="1">
        <f t="array" ref="K2333" xml:space="preserve"> sentimentCalc(C2333)</f>
        <v>-2</v>
      </c>
      <c r="L2333" t="str" cm="1">
        <f t="array" ref="L2333" xml:space="preserve"> sentimentCategory(K2333)</f>
        <v>Negative</v>
      </c>
    </row>
    <row r="2334" spans="1:12">
      <c r="A2334" t="s">
        <v>153</v>
      </c>
      <c r="B2334" t="s">
        <v>1823</v>
      </c>
      <c r="C2334" t="str" cm="1">
        <f t="array" ref="C2334" xml:space="preserve"> CleanText(B2334)</f>
        <v>i will never forgive everyone involved for how miserably bad the movie was still amazes me to this day tbh</v>
      </c>
      <c r="D2334">
        <v>2</v>
      </c>
      <c r="E2334">
        <v>1</v>
      </c>
      <c r="F2334" t="s">
        <v>19</v>
      </c>
      <c r="G2334" t="str" cm="1">
        <f t="array" ref="G2334" xml:space="preserve"> FindCountryName(F2334)</f>
        <v>United States of America (the)</v>
      </c>
      <c r="H2334" s="1">
        <v>45273.3046875</v>
      </c>
      <c r="I2334" s="1">
        <v>45273.3046875</v>
      </c>
      <c r="J2334" s="1">
        <v>40752.581238425926</v>
      </c>
      <c r="K2334" cm="1">
        <f t="array" ref="K2334" xml:space="preserve"> sentimentCalc(C2334)</f>
        <v>0</v>
      </c>
      <c r="L2334" t="str" cm="1">
        <f t="array" ref="L2334" xml:space="preserve"> sentimentCategory(K2334)</f>
        <v>Neutral</v>
      </c>
    </row>
    <row r="2335" spans="1:12">
      <c r="A2335" t="s">
        <v>30</v>
      </c>
      <c r="B2335" t="s">
        <v>1822</v>
      </c>
      <c r="C2335" t="str" cm="1">
        <f t="array" ref="C2335" xml:space="preserve"> CleanText(B2335)</f>
        <v>ok im gonna say it i dont think this looks good at all and i think this going to turn out very bad i dont think atla just like all animecartoon for that matter isnt meant to be live action it just translates badly every time its done i just now watched atla over again and there are so many moments that just dont work in a live action adaption lots of the humor for instance is dependent on overly comically faces of defying the laws of physics also the acting i hope the beats of the story hit the same and the actors can cary their roles especially for aang whos a 2 year old kid the drama carachter arcs and emotional moment hit so hard in the animated series and will require alot from that actor thats a lot to live up to i sincerely hope that its going to work but i doubt it very much</v>
      </c>
      <c r="D2335">
        <v>2</v>
      </c>
      <c r="E2335">
        <v>1</v>
      </c>
      <c r="F2335" t="s">
        <v>0</v>
      </c>
      <c r="G2335" t="str" cm="1">
        <f t="array" ref="G2335" xml:space="preserve"> FindCountryName(F2335)</f>
        <v>None</v>
      </c>
      <c r="H2335" s="1">
        <v>45273.283263888887</v>
      </c>
      <c r="I2335" s="1">
        <v>45273.283263888887</v>
      </c>
      <c r="J2335" s="1">
        <v>41618.65552083333</v>
      </c>
      <c r="K2335" cm="1">
        <f t="array" ref="K2335" xml:space="preserve"> sentimentCalc(C2335)</f>
        <v>6</v>
      </c>
      <c r="L2335" t="str" cm="1">
        <f t="array" ref="L2335" xml:space="preserve"> sentimentCategory(K2335)</f>
        <v>Positive</v>
      </c>
    </row>
    <row r="2336" spans="1:12">
      <c r="A2336" t="s">
        <v>741</v>
      </c>
      <c r="B2336" t="s">
        <v>1821</v>
      </c>
      <c r="C2336" t="str" cm="1">
        <f t="array" ref="C2336" xml:space="preserve"> CleanText(B2336)</f>
        <v>dont get me wrong but i dont like some of the characters and i thought kitara was brown skinned</v>
      </c>
      <c r="D2336">
        <v>0</v>
      </c>
      <c r="E2336">
        <v>0</v>
      </c>
      <c r="F2336" t="s">
        <v>0</v>
      </c>
      <c r="G2336" t="str" cm="1">
        <f t="array" ref="G2336" xml:space="preserve"> FindCountryName(F2336)</f>
        <v>None</v>
      </c>
      <c r="H2336" s="1">
        <v>45273.236064814817</v>
      </c>
      <c r="I2336" s="1">
        <v>45273.236064814817</v>
      </c>
      <c r="J2336" s="1">
        <v>45178.273229166669</v>
      </c>
      <c r="K2336" cm="1">
        <f t="array" ref="K2336" xml:space="preserve"> sentimentCalc(C2336)</f>
        <v>0</v>
      </c>
      <c r="L2336" t="str" cm="1">
        <f t="array" ref="L2336" xml:space="preserve"> sentimentCategory(K2336)</f>
        <v>Neutral</v>
      </c>
    </row>
    <row r="2337" spans="1:12">
      <c r="A2337" t="s">
        <v>1820</v>
      </c>
      <c r="B2337" t="s">
        <v>1819</v>
      </c>
      <c r="C2337" t="str" cm="1">
        <f t="array" ref="C2337" xml:space="preserve"> CleanText(B2337)</f>
        <v>o my please change aang_xDE22_he didnt look like the original one</v>
      </c>
      <c r="D2337">
        <v>0</v>
      </c>
      <c r="E2337">
        <v>0</v>
      </c>
      <c r="F2337" t="s">
        <v>0</v>
      </c>
      <c r="G2337" t="str" cm="1">
        <f t="array" ref="G2337" xml:space="preserve"> FindCountryName(F2337)</f>
        <v>None</v>
      </c>
      <c r="H2337" s="1">
        <v>45273.181921296295</v>
      </c>
      <c r="I2337" s="1">
        <v>45273.181921296295</v>
      </c>
      <c r="J2337" s="1">
        <v>45263.995671296296</v>
      </c>
      <c r="K2337" cm="1">
        <f t="array" ref="K2337" xml:space="preserve"> sentimentCalc(C2337)</f>
        <v>3</v>
      </c>
      <c r="L2337" t="str" cm="1">
        <f t="array" ref="L2337" xml:space="preserve"> sentimentCategory(K2337)</f>
        <v>Positive</v>
      </c>
    </row>
    <row r="2338" spans="1:12">
      <c r="A2338" t="s">
        <v>591</v>
      </c>
      <c r="B2338" t="s">
        <v>1818</v>
      </c>
      <c r="C2338" t="str" cm="1">
        <f t="array" ref="C2338" xml:space="preserve"> CleanText(B2338)</f>
        <v>yall shouldve made legends of korra instead cause we know aang story and on top of that theyve already made a last air bender without a sequel</v>
      </c>
      <c r="D2338">
        <v>0</v>
      </c>
      <c r="E2338">
        <v>0</v>
      </c>
      <c r="F2338" t="s">
        <v>0</v>
      </c>
      <c r="G2338" t="str" cm="1">
        <f t="array" ref="G2338" xml:space="preserve"> FindCountryName(F2338)</f>
        <v>None</v>
      </c>
      <c r="H2338" s="1">
        <v>45273.15525462963</v>
      </c>
      <c r="I2338" s="1">
        <v>45273.15525462963</v>
      </c>
      <c r="J2338" s="1">
        <v>42315.753171296295</v>
      </c>
      <c r="K2338" cm="1">
        <f t="array" ref="K2338" xml:space="preserve"> sentimentCalc(C2338)</f>
        <v>2</v>
      </c>
      <c r="L2338" t="str" cm="1">
        <f t="array" ref="L2338" xml:space="preserve"> sentimentCategory(K2338)</f>
        <v>Positive</v>
      </c>
    </row>
    <row r="2339" spans="1:12">
      <c r="A2339" t="s">
        <v>1112</v>
      </c>
      <c r="B2339" t="s">
        <v>1817</v>
      </c>
      <c r="C2339" t="str" cm="1">
        <f t="array" ref="C2339" xml:space="preserve"> CleanText(B2339)</f>
        <v>theres something about this teaser that i can keep on coming back watching i think its the soundtrack that gives me nostalgia</v>
      </c>
      <c r="D2339">
        <v>4</v>
      </c>
      <c r="E2339">
        <v>0</v>
      </c>
      <c r="F2339" t="s">
        <v>0</v>
      </c>
      <c r="G2339" t="str" cm="1">
        <f t="array" ref="G2339" xml:space="preserve"> FindCountryName(F2339)</f>
        <v>None</v>
      </c>
      <c r="H2339" s="1">
        <v>45273.153680555559</v>
      </c>
      <c r="I2339" s="1">
        <v>45273.153680555559</v>
      </c>
      <c r="J2339" s="1">
        <v>44780.166967592595</v>
      </c>
      <c r="K2339" cm="1">
        <f t="array" ref="K2339" xml:space="preserve"> sentimentCalc(C2339)</f>
        <v>0</v>
      </c>
      <c r="L2339" t="str" cm="1">
        <f t="array" ref="L2339" xml:space="preserve"> sentimentCategory(K2339)</f>
        <v>Neutral</v>
      </c>
    </row>
    <row r="2340" spans="1:12">
      <c r="A2340" t="s">
        <v>1112</v>
      </c>
      <c r="B2340" t="s">
        <v>1816</v>
      </c>
      <c r="C2340" t="str" cm="1">
        <f t="array" ref="C2340" xml:space="preserve"> CleanText(B2340)</f>
        <v>the fact that this teaser alone surpasses alot of netflix trailer is so wild avatar community is one of the most supportive and passionate in this generation</v>
      </c>
      <c r="D2340">
        <v>1101</v>
      </c>
      <c r="E2340">
        <v>5</v>
      </c>
      <c r="F2340" t="s">
        <v>0</v>
      </c>
      <c r="G2340" t="str" cm="1">
        <f t="array" ref="G2340" xml:space="preserve"> FindCountryName(F2340)</f>
        <v>None</v>
      </c>
      <c r="H2340" s="1">
        <v>45273.148414351854</v>
      </c>
      <c r="I2340" s="1">
        <v>45273.1487037037</v>
      </c>
      <c r="J2340" s="1">
        <v>44780.166967592595</v>
      </c>
      <c r="K2340" cm="1">
        <f t="array" ref="K2340" xml:space="preserve"> sentimentCalc(C2340)</f>
        <v>2</v>
      </c>
      <c r="L2340" t="str" cm="1">
        <f t="array" ref="L2340" xml:space="preserve"> sentimentCategory(K2340)</f>
        <v>Positive</v>
      </c>
    </row>
    <row r="2341" spans="1:12">
      <c r="A2341" t="s">
        <v>1815</v>
      </c>
      <c r="B2341" t="s">
        <v>1814</v>
      </c>
      <c r="C2341" t="str" cm="1">
        <f t="array" ref="C2341" xml:space="preserve"> CleanText(B2341)</f>
        <v>dragon ball evolution next please</v>
      </c>
      <c r="D2341">
        <v>0</v>
      </c>
      <c r="E2341">
        <v>0</v>
      </c>
      <c r="F2341" t="s">
        <v>0</v>
      </c>
      <c r="G2341" t="str" cm="1">
        <f t="array" ref="G2341" xml:space="preserve"> FindCountryName(F2341)</f>
        <v>None</v>
      </c>
      <c r="H2341" s="1">
        <v>45273.136238425926</v>
      </c>
      <c r="I2341" s="1">
        <v>45273.136238425926</v>
      </c>
      <c r="J2341" s="1">
        <v>43242.695196759261</v>
      </c>
      <c r="K2341" cm="1">
        <f t="array" ref="K2341" xml:space="preserve"> sentimentCalc(C2341)</f>
        <v>1</v>
      </c>
      <c r="L2341" t="str" cm="1">
        <f t="array" ref="L2341" xml:space="preserve"> sentimentCategory(K2341)</f>
        <v>Positive</v>
      </c>
    </row>
    <row r="2342" spans="1:12">
      <c r="A2342" t="s">
        <v>282</v>
      </c>
      <c r="B2342" t="s">
        <v>1813</v>
      </c>
      <c r="C2342" t="str" cm="1">
        <f t="array" ref="C2342" xml:space="preserve"> CleanText(B2342)</f>
        <v>hope it not be too serious like the moviethis shows humour is a one thing made it the best show in this whole time</v>
      </c>
      <c r="D2342">
        <v>1</v>
      </c>
      <c r="E2342">
        <v>2</v>
      </c>
      <c r="F2342" t="s">
        <v>0</v>
      </c>
      <c r="G2342" t="str" cm="1">
        <f t="array" ref="G2342" xml:space="preserve"> FindCountryName(F2342)</f>
        <v>None</v>
      </c>
      <c r="H2342" s="1">
        <v>45273.129363425927</v>
      </c>
      <c r="I2342" s="1">
        <v>45273.129363425927</v>
      </c>
      <c r="J2342" s="1">
        <v>44914.455127314817</v>
      </c>
      <c r="K2342" cm="1">
        <f t="array" ref="K2342" xml:space="preserve"> sentimentCalc(C2342)</f>
        <v>9</v>
      </c>
      <c r="L2342" t="str" cm="1">
        <f t="array" ref="L2342" xml:space="preserve"> sentimentCategory(K2342)</f>
        <v>Positive</v>
      </c>
    </row>
    <row r="2343" spans="1:12">
      <c r="A2343" t="s">
        <v>1386</v>
      </c>
      <c r="B2343" t="s">
        <v>1812</v>
      </c>
      <c r="C2343" t="str" cm="1">
        <f t="array" ref="C2343" xml:space="preserve"> CleanText(B2343)</f>
        <v>i cant wait</v>
      </c>
      <c r="D2343">
        <v>0</v>
      </c>
      <c r="E2343">
        <v>0</v>
      </c>
      <c r="F2343" t="s">
        <v>0</v>
      </c>
      <c r="G2343" t="str" cm="1">
        <f t="array" ref="G2343" xml:space="preserve"> FindCountryName(F2343)</f>
        <v>None</v>
      </c>
      <c r="H2343" s="1">
        <v>45273.020173611112</v>
      </c>
      <c r="I2343" s="1">
        <v>45273.020173611112</v>
      </c>
      <c r="J2343" s="1">
        <v>40410.194224537037</v>
      </c>
      <c r="K2343" cm="1">
        <f t="array" ref="K2343" xml:space="preserve"> sentimentCalc(C2343)</f>
        <v>0</v>
      </c>
      <c r="L2343" t="str" cm="1">
        <f t="array" ref="L2343" xml:space="preserve"> sentimentCategory(K2343)</f>
        <v>Neutral</v>
      </c>
    </row>
    <row r="2344" spans="1:12">
      <c r="A2344" t="s">
        <v>1386</v>
      </c>
      <c r="B2344" t="s">
        <v>1811</v>
      </c>
      <c r="C2344" t="str" cm="1">
        <f t="array" ref="C2344" xml:space="preserve"> CleanText(B2344)</f>
        <v>this looks really cool incredible visuals i just hope it brings the same goofy energy as the original series didnt really get any silly goose vibes from the trailer</v>
      </c>
      <c r="D2344">
        <v>0</v>
      </c>
      <c r="E2344">
        <v>0</v>
      </c>
      <c r="F2344" t="s">
        <v>0</v>
      </c>
      <c r="G2344" t="str" cm="1">
        <f t="array" ref="G2344" xml:space="preserve"> FindCountryName(F2344)</f>
        <v>None</v>
      </c>
      <c r="H2344" s="1">
        <v>45272.989444444444</v>
      </c>
      <c r="I2344" s="1">
        <v>45272.989444444444</v>
      </c>
      <c r="J2344" s="1">
        <v>43861.793171296296</v>
      </c>
      <c r="K2344" cm="1">
        <f t="array" ref="K2344" xml:space="preserve"> sentimentCalc(C2344)</f>
        <v>2</v>
      </c>
      <c r="L2344" t="str" cm="1">
        <f t="array" ref="L2344" xml:space="preserve"> sentimentCategory(K2344)</f>
        <v>Positive</v>
      </c>
    </row>
    <row r="2345" spans="1:12">
      <c r="A2345" t="s">
        <v>1415</v>
      </c>
      <c r="B2345" t="s">
        <v>1810</v>
      </c>
      <c r="C2345" t="str" cm="1">
        <f t="array" ref="C2345" xml:space="preserve"> CleanText(B2345)</f>
        <v>im guessing that the official trailer will be released on the winter solstice aang knew what was to be expected on that day now its our turn</v>
      </c>
      <c r="D2345">
        <v>1</v>
      </c>
      <c r="E2345">
        <v>0</v>
      </c>
      <c r="F2345" t="s">
        <v>0</v>
      </c>
      <c r="G2345" t="str" cm="1">
        <f t="array" ref="G2345" xml:space="preserve"> FindCountryName(F2345)</f>
        <v>None</v>
      </c>
      <c r="H2345" s="1">
        <v>45272.969108796293</v>
      </c>
      <c r="I2345" s="1">
        <v>45272.969108796293</v>
      </c>
      <c r="J2345" s="1">
        <v>41577.776307870372</v>
      </c>
      <c r="K2345" cm="1">
        <f t="array" ref="K2345" xml:space="preserve"> sentimentCalc(C2345)</f>
        <v>0</v>
      </c>
      <c r="L2345" t="str" cm="1">
        <f t="array" ref="L2345" xml:space="preserve"> sentimentCategory(K2345)</f>
        <v>Neutral</v>
      </c>
    </row>
    <row r="2346" spans="1:12">
      <c r="A2346" t="s">
        <v>249</v>
      </c>
      <c r="B2346" t="s">
        <v>1809</v>
      </c>
      <c r="C2346" t="str" cm="1">
        <f t="array" ref="C2346" xml:space="preserve"> CleanText(B2346)</f>
        <v>yes keep the orders and the happenings as the three books pleaseee</v>
      </c>
      <c r="D2346">
        <v>0</v>
      </c>
      <c r="E2346">
        <v>0</v>
      </c>
      <c r="F2346" t="s">
        <v>0</v>
      </c>
      <c r="G2346" t="str" cm="1">
        <f t="array" ref="G2346" xml:space="preserve"> FindCountryName(F2346)</f>
        <v>None</v>
      </c>
      <c r="H2346" s="1">
        <v>45272.968530092592</v>
      </c>
      <c r="I2346" s="1">
        <v>45272.968530092592</v>
      </c>
      <c r="J2346" s="1">
        <v>44918.514560185184</v>
      </c>
      <c r="K2346" cm="1">
        <f t="array" ref="K2346" xml:space="preserve"> sentimentCalc(C2346)</f>
        <v>1</v>
      </c>
      <c r="L2346" t="str" cm="1">
        <f t="array" ref="L2346" xml:space="preserve"> sentimentCategory(K2346)</f>
        <v>Positive</v>
      </c>
    </row>
    <row r="2347" spans="1:12">
      <c r="A2347" t="s">
        <v>1808</v>
      </c>
      <c r="B2347" t="s">
        <v>1807</v>
      </c>
      <c r="C2347" t="str" cm="1">
        <f t="array" ref="C2347" xml:space="preserve"> CleanText(B2347)</f>
        <v>i remember this cartoon</v>
      </c>
      <c r="D2347">
        <v>0</v>
      </c>
      <c r="E2347">
        <v>0</v>
      </c>
      <c r="F2347" t="s">
        <v>0</v>
      </c>
      <c r="G2347" t="str" cm="1">
        <f t="array" ref="G2347" xml:space="preserve"> FindCountryName(F2347)</f>
        <v>None</v>
      </c>
      <c r="H2347" s="1">
        <v>45272.958738425928</v>
      </c>
      <c r="I2347" s="1">
        <v>45272.958738425928</v>
      </c>
      <c r="J2347" s="1">
        <v>44410.175520833334</v>
      </c>
      <c r="K2347" cm="1">
        <f t="array" ref="K2347" xml:space="preserve"> sentimentCalc(C2347)</f>
        <v>0</v>
      </c>
      <c r="L2347" t="str" cm="1">
        <f t="array" ref="L2347" xml:space="preserve"> sentimentCategory(K2347)</f>
        <v>Neutral</v>
      </c>
    </row>
    <row r="2348" spans="1:12">
      <c r="A2348" t="s">
        <v>108</v>
      </c>
      <c r="B2348" t="s">
        <v>1806</v>
      </c>
      <c r="C2348" t="str" cm="1">
        <f t="array" ref="C2348" xml:space="preserve"> CleanText(B2348)</f>
        <v>nice scenery</v>
      </c>
      <c r="D2348">
        <v>0</v>
      </c>
      <c r="E2348">
        <v>0</v>
      </c>
      <c r="F2348" t="s">
        <v>0</v>
      </c>
      <c r="G2348" t="str" cm="1">
        <f t="array" ref="G2348" xml:space="preserve"> FindCountryName(F2348)</f>
        <v>None</v>
      </c>
      <c r="H2348" s="1">
        <v>45272.944525462961</v>
      </c>
      <c r="I2348" s="1">
        <v>45272.944525462961</v>
      </c>
      <c r="J2348" s="1">
        <v>44030.671886574077</v>
      </c>
      <c r="K2348" cm="1">
        <f t="array" ref="K2348" xml:space="preserve"> sentimentCalc(C2348)</f>
        <v>3</v>
      </c>
      <c r="L2348" t="str" cm="1">
        <f t="array" ref="L2348" xml:space="preserve"> sentimentCategory(K2348)</f>
        <v>Positive</v>
      </c>
    </row>
    <row r="2349" spans="1:12">
      <c r="A2349" t="s">
        <v>1805</v>
      </c>
      <c r="B2349" t="s">
        <v>1804</v>
      </c>
      <c r="C2349" t="str" cm="1">
        <f t="array" ref="C2349" xml:space="preserve"> CleanText(B2349)</f>
        <v>i swear if they mess this up im done with netflix adaptations</v>
      </c>
      <c r="D2349">
        <v>0</v>
      </c>
      <c r="E2349">
        <v>0</v>
      </c>
      <c r="F2349" t="s">
        <v>0</v>
      </c>
      <c r="G2349" t="str" cm="1">
        <f t="array" ref="G2349" xml:space="preserve"> FindCountryName(F2349)</f>
        <v>None</v>
      </c>
      <c r="H2349" s="1">
        <v>45272.935648148145</v>
      </c>
      <c r="I2349" s="1">
        <v>45272.935972222222</v>
      </c>
      <c r="J2349" s="1">
        <v>41428.397800925923</v>
      </c>
      <c r="K2349" cm="1">
        <f t="array" ref="K2349" xml:space="preserve"> sentimentCalc(C2349)</f>
        <v>-4</v>
      </c>
      <c r="L2349" t="str" cm="1">
        <f t="array" ref="L2349" xml:space="preserve"> sentimentCategory(K2349)</f>
        <v>Negative</v>
      </c>
    </row>
    <row r="2350" spans="1:12">
      <c r="A2350" t="s">
        <v>1803</v>
      </c>
      <c r="B2350" t="s">
        <v>1802</v>
      </c>
      <c r="C2350" t="str" cm="1">
        <f t="array" ref="C2350" xml:space="preserve"> CleanText(B2350)</f>
        <v>avatar island back alive wow</v>
      </c>
      <c r="D2350">
        <v>0</v>
      </c>
      <c r="E2350">
        <v>0</v>
      </c>
      <c r="F2350" t="s">
        <v>0</v>
      </c>
      <c r="G2350" t="str" cm="1">
        <f t="array" ref="G2350" xml:space="preserve"> FindCountryName(F2350)</f>
        <v>None</v>
      </c>
      <c r="H2350" s="1">
        <v>45272.92291666667</v>
      </c>
      <c r="I2350" s="1">
        <v>45272.92291666667</v>
      </c>
      <c r="J2350" s="1">
        <v>44441.217766203707</v>
      </c>
      <c r="K2350" cm="1">
        <f t="array" ref="K2350" xml:space="preserve"> sentimentCalc(C2350)</f>
        <v>5</v>
      </c>
      <c r="L2350" t="str" cm="1">
        <f t="array" ref="L2350" xml:space="preserve"> sentimentCategory(K2350)</f>
        <v>Positive</v>
      </c>
    </row>
    <row r="2351" spans="1:12">
      <c r="A2351" t="s">
        <v>320</v>
      </c>
      <c r="B2351" t="s">
        <v>1801</v>
      </c>
      <c r="C2351" t="str" cm="1">
        <f t="array" ref="C2351" xml:space="preserve"> CleanText(B2351)</f>
        <v>netflix esta en su prime y sabe que los bostalgicos viejos  jovenes somos los que mandan</v>
      </c>
      <c r="D2351">
        <v>0</v>
      </c>
      <c r="E2351">
        <v>0</v>
      </c>
      <c r="F2351" t="s">
        <v>0</v>
      </c>
      <c r="G2351" t="str" cm="1">
        <f t="array" ref="G2351" xml:space="preserve"> FindCountryName(F2351)</f>
        <v>None</v>
      </c>
      <c r="H2351" s="1">
        <v>45272.895937499998</v>
      </c>
      <c r="I2351" s="1">
        <v>45272.895937499998</v>
      </c>
      <c r="J2351" s="1">
        <v>42817.825567129628</v>
      </c>
      <c r="K2351" cm="1">
        <f t="array" ref="K2351" xml:space="preserve"> sentimentCalc(C2351)</f>
        <v>0</v>
      </c>
      <c r="L2351" t="str" cm="1">
        <f t="array" ref="L2351" xml:space="preserve"> sentimentCategory(K2351)</f>
        <v>Neutral</v>
      </c>
    </row>
    <row r="2352" spans="1:12">
      <c r="A2352" t="s">
        <v>320</v>
      </c>
      <c r="B2352" t="s">
        <v>1800</v>
      </c>
      <c r="C2352" t="str" cm="1">
        <f t="array" ref="C2352" xml:space="preserve"> CleanText(B2352)</f>
        <v>como que por fin entendieron que no hay que cambiar  nada ni que haya mucha inclusion</v>
      </c>
      <c r="D2352">
        <v>0</v>
      </c>
      <c r="E2352">
        <v>0</v>
      </c>
      <c r="F2352" t="s">
        <v>0</v>
      </c>
      <c r="G2352" t="str" cm="1">
        <f t="array" ref="G2352" xml:space="preserve"> FindCountryName(F2352)</f>
        <v>None</v>
      </c>
      <c r="H2352" s="1">
        <v>45272.895162037035</v>
      </c>
      <c r="I2352" s="1">
        <v>45272.895162037035</v>
      </c>
      <c r="J2352" s="1">
        <v>42817.825567129628</v>
      </c>
      <c r="K2352" cm="1">
        <f t="array" ref="K2352" xml:space="preserve"> sentimentCalc(C2352)</f>
        <v>-1</v>
      </c>
      <c r="L2352" t="str" cm="1">
        <f t="array" ref="L2352" xml:space="preserve"> sentimentCategory(K2352)</f>
        <v>Negative</v>
      </c>
    </row>
    <row r="2353" spans="1:12">
      <c r="A2353" t="s">
        <v>320</v>
      </c>
      <c r="B2353" t="s">
        <v>1799</v>
      </c>
      <c r="C2353" t="str" cm="1">
        <f t="array" ref="C2353" xml:space="preserve"> CleanText(B2353)</f>
        <v>por  fin estamos en la era de  bostalgia live actio</v>
      </c>
      <c r="D2353">
        <v>0</v>
      </c>
      <c r="E2353">
        <v>0</v>
      </c>
      <c r="F2353" t="s">
        <v>0</v>
      </c>
      <c r="G2353" t="str" cm="1">
        <f t="array" ref="G2353" xml:space="preserve"> FindCountryName(F2353)</f>
        <v>None</v>
      </c>
      <c r="H2353" s="1">
        <v>45272.894490740742</v>
      </c>
      <c r="I2353" s="1">
        <v>45272.894490740742</v>
      </c>
      <c r="J2353" s="1">
        <v>42817.825567129628</v>
      </c>
      <c r="K2353" cm="1">
        <f t="array" ref="K2353" xml:space="preserve"> sentimentCalc(C2353)</f>
        <v>0</v>
      </c>
      <c r="L2353" t="str" cm="1">
        <f t="array" ref="L2353" xml:space="preserve"> sentimentCategory(K2353)</f>
        <v>Neutral</v>
      </c>
    </row>
    <row r="2354" spans="1:12">
      <c r="A2354" t="s">
        <v>16</v>
      </c>
      <c r="B2354" t="s">
        <v>1798</v>
      </c>
      <c r="C2354" t="str" cm="1">
        <f t="array" ref="C2354" xml:space="preserve"> CleanText(B2354)</f>
        <v>looks like we will see the air nomad genocide</v>
      </c>
      <c r="D2354">
        <v>0</v>
      </c>
      <c r="E2354">
        <v>0</v>
      </c>
      <c r="F2354" t="s">
        <v>0</v>
      </c>
      <c r="G2354" t="str" cm="1">
        <f t="array" ref="G2354" xml:space="preserve"> FindCountryName(F2354)</f>
        <v>None</v>
      </c>
      <c r="H2354" s="1">
        <v>45272.850451388891</v>
      </c>
      <c r="I2354" s="1">
        <v>45272.850451388891</v>
      </c>
      <c r="J2354" s="1">
        <v>43362.634930555556</v>
      </c>
      <c r="K2354" cm="1">
        <f t="array" ref="K2354" xml:space="preserve"> sentimentCalc(C2354)</f>
        <v>2</v>
      </c>
      <c r="L2354" t="str" cm="1">
        <f t="array" ref="L2354" xml:space="preserve"> sentimentCategory(K2354)</f>
        <v>Positive</v>
      </c>
    </row>
    <row r="2355" spans="1:12">
      <c r="A2355" t="s">
        <v>1261</v>
      </c>
      <c r="B2355" t="s">
        <v>1797</v>
      </c>
      <c r="C2355" t="str" cm="1">
        <f t="array" ref="C2355" xml:space="preserve"> CleanText(B2355)</f>
        <v>m knight gotta learn to take notes and give the people what they want not what he wants</v>
      </c>
      <c r="D2355">
        <v>0</v>
      </c>
      <c r="E2355">
        <v>0</v>
      </c>
      <c r="F2355" t="s">
        <v>0</v>
      </c>
      <c r="G2355" t="str" cm="1">
        <f t="array" ref="G2355" xml:space="preserve"> FindCountryName(F2355)</f>
        <v>None</v>
      </c>
      <c r="H2355" s="1">
        <v>45272.844918981478</v>
      </c>
      <c r="I2355" s="1">
        <v>45272.844918981478</v>
      </c>
      <c r="J2355" s="1">
        <v>40844.701701388891</v>
      </c>
      <c r="K2355" cm="1">
        <f t="array" ref="K2355" xml:space="preserve"> sentimentCalc(C2355)</f>
        <v>1</v>
      </c>
      <c r="L2355" t="str" cm="1">
        <f t="array" ref="L2355" xml:space="preserve"> sentimentCategory(K2355)</f>
        <v>Positive</v>
      </c>
    </row>
    <row r="2356" spans="1:12">
      <c r="A2356" t="s">
        <v>745</v>
      </c>
      <c r="B2356" t="s">
        <v>1796</v>
      </c>
      <c r="C2356" t="str" cm="1">
        <f t="array" ref="C2356" xml:space="preserve"> CleanText(B2356)</f>
        <v>oh no we going back it again with this</v>
      </c>
      <c r="D2356">
        <v>0</v>
      </c>
      <c r="E2356">
        <v>0</v>
      </c>
      <c r="F2356" t="s">
        <v>0</v>
      </c>
      <c r="G2356" t="str" cm="1">
        <f t="array" ref="G2356" xml:space="preserve"> FindCountryName(F2356)</f>
        <v>None</v>
      </c>
      <c r="H2356" s="1">
        <v>45272.830439814818</v>
      </c>
      <c r="I2356" s="1">
        <v>45272.830439814818</v>
      </c>
      <c r="J2356" s="1">
        <v>42164.542037037034</v>
      </c>
      <c r="K2356" cm="1">
        <f t="array" ref="K2356" xml:space="preserve"> sentimentCalc(C2356)</f>
        <v>-1</v>
      </c>
      <c r="L2356" t="str" cm="1">
        <f t="array" ref="L2356" xml:space="preserve"> sentimentCategory(K2356)</f>
        <v>Negative</v>
      </c>
    </row>
    <row r="2357" spans="1:12">
      <c r="A2357" t="s">
        <v>1795</v>
      </c>
      <c r="B2357" t="s">
        <v>1794</v>
      </c>
      <c r="C2357" t="str" cm="1">
        <f t="array" ref="C2357" xml:space="preserve"> CleanText(B2357)</f>
        <v>i am so stoked for this</v>
      </c>
      <c r="D2357">
        <v>0</v>
      </c>
      <c r="E2357">
        <v>0</v>
      </c>
      <c r="F2357" t="s">
        <v>112</v>
      </c>
      <c r="G2357" t="str" cm="1">
        <f t="array" ref="G2357" xml:space="preserve"> FindCountryName(F2357)</f>
        <v>Canada</v>
      </c>
      <c r="H2357" s="1">
        <v>45272.811666666668</v>
      </c>
      <c r="I2357" s="1">
        <v>45272.811666666668</v>
      </c>
      <c r="J2357" s="1">
        <v>39000.382314814815</v>
      </c>
      <c r="K2357" cm="1">
        <f t="array" ref="K2357" xml:space="preserve"> sentimentCalc(C2357)</f>
        <v>0</v>
      </c>
      <c r="L2357" t="str" cm="1">
        <f t="array" ref="L2357" xml:space="preserve"> sentimentCategory(K2357)</f>
        <v>Neutral</v>
      </c>
    </row>
    <row r="2358" spans="1:12">
      <c r="A2358" t="s">
        <v>1793</v>
      </c>
      <c r="B2358" t="s">
        <v>1792</v>
      </c>
      <c r="C2358" t="str" cm="1">
        <f t="array" ref="C2358" xml:space="preserve"> CleanText(B2358)</f>
        <v>apa yip yip</v>
      </c>
      <c r="D2358">
        <v>0</v>
      </c>
      <c r="E2358">
        <v>0</v>
      </c>
      <c r="F2358" t="s">
        <v>633</v>
      </c>
      <c r="G2358" t="str" cm="1">
        <f t="array" ref="G2358" xml:space="preserve"> FindCountryName(F2358)</f>
        <v>Indonesia</v>
      </c>
      <c r="H2358" s="1">
        <v>45272.811354166668</v>
      </c>
      <c r="I2358" s="1">
        <v>45272.811354166668</v>
      </c>
      <c r="J2358" s="1">
        <v>42062.24591435185</v>
      </c>
      <c r="K2358" cm="1">
        <f t="array" ref="K2358" xml:space="preserve"> sentimentCalc(C2358)</f>
        <v>0</v>
      </c>
      <c r="L2358" t="str" cm="1">
        <f t="array" ref="L2358" xml:space="preserve"> sentimentCategory(K2358)</f>
        <v>Neutral</v>
      </c>
    </row>
    <row r="2359" spans="1:12">
      <c r="A2359" t="s">
        <v>45</v>
      </c>
      <c r="B2359" t="s">
        <v>1791</v>
      </c>
      <c r="C2359" t="str" cm="1">
        <f t="array" ref="C2359" xml:space="preserve"> CleanText(B2359)</f>
        <v>looks like we might have something epic on our hands</v>
      </c>
      <c r="D2359">
        <v>3</v>
      </c>
      <c r="E2359">
        <v>0</v>
      </c>
      <c r="F2359" t="s">
        <v>19</v>
      </c>
      <c r="G2359" t="str" cm="1">
        <f t="array" ref="G2359" xml:space="preserve"> FindCountryName(F2359)</f>
        <v>United States of America (the)</v>
      </c>
      <c r="H2359" s="1">
        <v>45272.795868055553</v>
      </c>
      <c r="I2359" s="1">
        <v>45272.795868055553</v>
      </c>
      <c r="J2359" s="1">
        <v>41660.782824074071</v>
      </c>
      <c r="K2359" cm="1">
        <f t="array" ref="K2359" xml:space="preserve"> sentimentCalc(C2359)</f>
        <v>2</v>
      </c>
      <c r="L2359" t="str" cm="1">
        <f t="array" ref="L2359" xml:space="preserve"> sentimentCategory(K2359)</f>
        <v>Positive</v>
      </c>
    </row>
    <row r="2360" spans="1:12">
      <c r="A2360" t="s">
        <v>830</v>
      </c>
      <c r="B2360" t="s">
        <v>1790</v>
      </c>
      <c r="C2360" t="str" cm="1">
        <f t="array" ref="C2360" xml:space="preserve"> CleanText(B2360)</f>
        <v>im surprised this is from netflix because all of the characters arent black</v>
      </c>
      <c r="D2360">
        <v>0</v>
      </c>
      <c r="E2360">
        <v>1</v>
      </c>
      <c r="F2360" t="s">
        <v>0</v>
      </c>
      <c r="G2360" t="str" cm="1">
        <f t="array" ref="G2360" xml:space="preserve"> FindCountryName(F2360)</f>
        <v>None</v>
      </c>
      <c r="H2360" s="1">
        <v>45272.761666666665</v>
      </c>
      <c r="I2360" s="1">
        <v>45272.761666666665</v>
      </c>
      <c r="J2360" s="1">
        <v>44870.682812500003</v>
      </c>
      <c r="K2360" cm="1">
        <f t="array" ref="K2360" xml:space="preserve"> sentimentCalc(C2360)</f>
        <v>0</v>
      </c>
      <c r="L2360" t="str" cm="1">
        <f t="array" ref="L2360" xml:space="preserve"> sentimentCategory(K2360)</f>
        <v>Neutral</v>
      </c>
    </row>
    <row r="2361" spans="1:12">
      <c r="A2361" t="s">
        <v>1789</v>
      </c>
      <c r="B2361" t="s">
        <v>1788</v>
      </c>
      <c r="C2361" t="str" cm="1">
        <f t="array" ref="C2361" xml:space="preserve"> CleanText(B2361)</f>
        <v>omgomgomg they have recognizable locations</v>
      </c>
      <c r="D2361">
        <v>0</v>
      </c>
      <c r="E2361">
        <v>0</v>
      </c>
      <c r="F2361" t="s">
        <v>0</v>
      </c>
      <c r="G2361" t="str" cm="1">
        <f t="array" ref="G2361" xml:space="preserve"> FindCountryName(F2361)</f>
        <v>None</v>
      </c>
      <c r="H2361" s="1">
        <v>45272.729861111111</v>
      </c>
      <c r="I2361" s="1">
        <v>45272.729861111111</v>
      </c>
      <c r="J2361" s="1">
        <v>40599.716643518521</v>
      </c>
      <c r="K2361" cm="1">
        <f t="array" ref="K2361" xml:space="preserve"> sentimentCalc(C2361)</f>
        <v>0</v>
      </c>
      <c r="L2361" t="str" cm="1">
        <f t="array" ref="L2361" xml:space="preserve"> sentimentCategory(K2361)</f>
        <v>Neutral</v>
      </c>
    </row>
    <row r="2362" spans="1:12">
      <c r="A2362" t="s">
        <v>1787</v>
      </c>
      <c r="B2362" t="s">
        <v>1786</v>
      </c>
      <c r="C2362" t="str" cm="1">
        <f t="array" ref="C2362" xml:space="preserve"> CleanText(B2362)</f>
        <v>i remember kid me being super hype after seeing the trailer for the live action movie lmao i wont make that mistake again as an adult lmao</v>
      </c>
      <c r="D2362">
        <v>1</v>
      </c>
      <c r="E2362">
        <v>0</v>
      </c>
      <c r="F2362" t="s">
        <v>0</v>
      </c>
      <c r="G2362" t="str" cm="1">
        <f t="array" ref="G2362" xml:space="preserve"> FindCountryName(F2362)</f>
        <v>None</v>
      </c>
      <c r="H2362" s="1">
        <v>45272.690196759257</v>
      </c>
      <c r="I2362" s="1">
        <v>45272.690196759257</v>
      </c>
      <c r="J2362" s="1">
        <v>40553.923356481479</v>
      </c>
      <c r="K2362" cm="1">
        <f t="array" ref="K2362" xml:space="preserve"> sentimentCalc(C2362)</f>
        <v>1</v>
      </c>
      <c r="L2362" t="str" cm="1">
        <f t="array" ref="L2362" xml:space="preserve"> sentimentCategory(K2362)</f>
        <v>Positive</v>
      </c>
    </row>
    <row r="2363" spans="1:12">
      <c r="A2363" t="s">
        <v>694</v>
      </c>
      <c r="B2363" t="s">
        <v>1785</v>
      </c>
      <c r="C2363" t="str" cm="1">
        <f t="array" ref="C2363" xml:space="preserve"> CleanText(B2363)</f>
        <v>this looks promising</v>
      </c>
      <c r="D2363">
        <v>0</v>
      </c>
      <c r="E2363">
        <v>0</v>
      </c>
      <c r="F2363" t="s">
        <v>0</v>
      </c>
      <c r="G2363" t="str" cm="1">
        <f t="array" ref="G2363" xml:space="preserve"> FindCountryName(F2363)</f>
        <v>None</v>
      </c>
      <c r="H2363" s="1">
        <v>45272.678981481484</v>
      </c>
      <c r="I2363" s="1">
        <v>45272.678981481484</v>
      </c>
      <c r="J2363" s="1">
        <v>41638.503645833334</v>
      </c>
      <c r="K2363" cm="1">
        <f t="array" ref="K2363" xml:space="preserve"> sentimentCalc(C2363)</f>
        <v>0</v>
      </c>
      <c r="L2363" t="str" cm="1">
        <f t="array" ref="L2363" xml:space="preserve"> sentimentCategory(K2363)</f>
        <v>Neutral</v>
      </c>
    </row>
    <row r="2364" spans="1:12">
      <c r="A2364" t="s">
        <v>487</v>
      </c>
      <c r="B2364" t="s">
        <v>1784</v>
      </c>
      <c r="C2364" t="str" cm="1">
        <f t="array" ref="C2364" xml:space="preserve"> CleanText(B2364)</f>
        <v>ughhh whyyyyyyyyyyyyyy</v>
      </c>
      <c r="D2364">
        <v>0</v>
      </c>
      <c r="E2364">
        <v>0</v>
      </c>
      <c r="F2364" t="s">
        <v>0</v>
      </c>
      <c r="G2364" t="str" cm="1">
        <f t="array" ref="G2364" xml:space="preserve"> FindCountryName(F2364)</f>
        <v>None</v>
      </c>
      <c r="H2364" s="1">
        <v>45272.641747685186</v>
      </c>
      <c r="I2364" s="1">
        <v>45272.641747685186</v>
      </c>
      <c r="J2364" s="1">
        <v>43200.705335648148</v>
      </c>
      <c r="K2364" cm="1">
        <f t="array" ref="K2364" xml:space="preserve"> sentimentCalc(C2364)</f>
        <v>0</v>
      </c>
      <c r="L2364" t="str" cm="1">
        <f t="array" ref="L2364" xml:space="preserve"> sentimentCategory(K2364)</f>
        <v>Neutral</v>
      </c>
    </row>
    <row r="2365" spans="1:12">
      <c r="A2365" t="s">
        <v>1386</v>
      </c>
      <c r="B2365" t="s">
        <v>1783</v>
      </c>
      <c r="C2365" t="str" cm="1">
        <f t="array" ref="C2365" xml:space="preserve"> CleanText(B2365)</f>
        <v>i want to hate this but i cant</v>
      </c>
      <c r="D2365">
        <v>2</v>
      </c>
      <c r="E2365">
        <v>0</v>
      </c>
      <c r="F2365" t="s">
        <v>0</v>
      </c>
      <c r="G2365" t="str" cm="1">
        <f t="array" ref="G2365" xml:space="preserve"> FindCountryName(F2365)</f>
        <v>None</v>
      </c>
      <c r="H2365" s="1">
        <v>45272.616886574076</v>
      </c>
      <c r="I2365" s="1">
        <v>45272.616886574076</v>
      </c>
      <c r="J2365" s="1">
        <v>43577.864872685182</v>
      </c>
      <c r="K2365" cm="1">
        <f t="array" ref="K2365" xml:space="preserve"> sentimentCalc(C2365)</f>
        <v>-2</v>
      </c>
      <c r="L2365" t="str" cm="1">
        <f t="array" ref="L2365" xml:space="preserve"> sentimentCategory(K2365)</f>
        <v>Negative</v>
      </c>
    </row>
    <row r="2366" spans="1:12">
      <c r="A2366" t="s">
        <v>1782</v>
      </c>
      <c r="B2366" t="s">
        <v>1781</v>
      </c>
      <c r="C2366" t="str" cm="1">
        <f t="array" ref="C2366" xml:space="preserve"> CleanText(B2366)</f>
        <v>excited to watch this have watched all three seasons on nickelodeon in childhood memories _xDF89_</v>
      </c>
      <c r="D2366">
        <v>3</v>
      </c>
      <c r="E2366">
        <v>0</v>
      </c>
      <c r="F2366" t="s">
        <v>0</v>
      </c>
      <c r="G2366" t="str" cm="1">
        <f t="array" ref="G2366" xml:space="preserve"> FindCountryName(F2366)</f>
        <v>None</v>
      </c>
      <c r="H2366" s="1">
        <v>45272.616550925923</v>
      </c>
      <c r="I2366" s="1">
        <v>45272.616550925923</v>
      </c>
      <c r="J2366" s="1">
        <v>43295.672997685186</v>
      </c>
      <c r="K2366" cm="1">
        <f t="array" ref="K2366" xml:space="preserve"> sentimentCalc(C2366)</f>
        <v>3</v>
      </c>
      <c r="L2366" t="str" cm="1">
        <f t="array" ref="L2366" xml:space="preserve"> sentimentCategory(K2366)</f>
        <v>Positive</v>
      </c>
    </row>
    <row r="2367" spans="1:12">
      <c r="A2367" t="s">
        <v>227</v>
      </c>
      <c r="B2367" t="s">
        <v>1780</v>
      </c>
      <c r="C2367" t="str" cm="1">
        <f t="array" ref="C2367" xml:space="preserve"> CleanText(B2367)</f>
        <v>no korra please</v>
      </c>
      <c r="D2367">
        <v>0</v>
      </c>
      <c r="E2367">
        <v>0</v>
      </c>
      <c r="F2367" t="s">
        <v>0</v>
      </c>
      <c r="G2367" t="str" cm="1">
        <f t="array" ref="G2367" xml:space="preserve"> FindCountryName(F2367)</f>
        <v>None</v>
      </c>
      <c r="H2367" s="1">
        <v>45272.601388888892</v>
      </c>
      <c r="I2367" s="1">
        <v>45272.601388888892</v>
      </c>
      <c r="J2367" s="1">
        <v>41558.646770833337</v>
      </c>
      <c r="K2367" cm="1">
        <f t="array" ref="K2367" xml:space="preserve"> sentimentCalc(C2367)</f>
        <v>0</v>
      </c>
      <c r="L2367" t="str" cm="1">
        <f t="array" ref="L2367" xml:space="preserve"> sentimentCategory(K2367)</f>
        <v>Neutral</v>
      </c>
    </row>
    <row r="2368" spans="1:12">
      <c r="A2368" t="s">
        <v>1779</v>
      </c>
      <c r="B2368" t="s">
        <v>1778</v>
      </c>
      <c r="C2368" t="str" cm="1">
        <f t="array" ref="C2368" xml:space="preserve"> CleanText(B2368)</f>
        <v>i mean the cgi looks bad and the actors look awkward</v>
      </c>
      <c r="D2368">
        <v>0</v>
      </c>
      <c r="E2368">
        <v>0</v>
      </c>
      <c r="F2368" t="s">
        <v>0</v>
      </c>
      <c r="G2368" t="str" cm="1">
        <f t="array" ref="G2368" xml:space="preserve"> FindCountryName(F2368)</f>
        <v>None</v>
      </c>
      <c r="H2368" s="1">
        <v>45272.58803240741</v>
      </c>
      <c r="I2368" s="1">
        <v>45272.58803240741</v>
      </c>
      <c r="J2368" s="1">
        <v>41471.850462962961</v>
      </c>
      <c r="K2368" cm="1">
        <f t="array" ref="K2368" xml:space="preserve"> sentimentCalc(C2368)</f>
        <v>-5</v>
      </c>
      <c r="L2368" t="str" cm="1">
        <f t="array" ref="L2368" xml:space="preserve"> sentimentCategory(K2368)</f>
        <v>Negative</v>
      </c>
    </row>
    <row r="2369" spans="1:12">
      <c r="A2369" t="s">
        <v>308</v>
      </c>
      <c r="B2369" t="s">
        <v>1777</v>
      </c>
      <c r="C2369" t="str" cm="1">
        <f t="array" ref="C2369" xml:space="preserve"> CleanText(B2369)</f>
        <v>its giving hope</v>
      </c>
      <c r="D2369">
        <v>0</v>
      </c>
      <c r="E2369">
        <v>0</v>
      </c>
      <c r="F2369" t="s">
        <v>0</v>
      </c>
      <c r="G2369" t="str" cm="1">
        <f t="array" ref="G2369" xml:space="preserve"> FindCountryName(F2369)</f>
        <v>None</v>
      </c>
      <c r="H2369" s="1">
        <v>45272.553240740737</v>
      </c>
      <c r="I2369" s="1">
        <v>45272.553240740737</v>
      </c>
      <c r="J2369" s="1">
        <v>43647.583252314813</v>
      </c>
      <c r="K2369" cm="1">
        <f t="array" ref="K2369" xml:space="preserve"> sentimentCalc(C2369)</f>
        <v>2</v>
      </c>
      <c r="L2369" t="str" cm="1">
        <f t="array" ref="L2369" xml:space="preserve"> sentimentCategory(K2369)</f>
        <v>Positive</v>
      </c>
    </row>
    <row r="2370" spans="1:12">
      <c r="A2370" t="s">
        <v>1776</v>
      </c>
      <c r="B2370" t="s">
        <v>1775</v>
      </c>
      <c r="C2370" t="str" cm="1">
        <f t="array" ref="C2370" xml:space="preserve"> CleanText(B2370)</f>
        <v>i hope its even half as good as the anime counterpart</v>
      </c>
      <c r="D2370">
        <v>0</v>
      </c>
      <c r="E2370">
        <v>0</v>
      </c>
      <c r="F2370" t="s">
        <v>0</v>
      </c>
      <c r="G2370" t="str" cm="1">
        <f t="array" ref="G2370" xml:space="preserve"> FindCountryName(F2370)</f>
        <v>None</v>
      </c>
      <c r="H2370" s="1">
        <v>45272.55300925926</v>
      </c>
      <c r="I2370" s="1">
        <v>45272.55300925926</v>
      </c>
      <c r="J2370" s="1">
        <v>43154.26284722222</v>
      </c>
      <c r="K2370" cm="1">
        <f t="array" ref="K2370" xml:space="preserve"> sentimentCalc(C2370)</f>
        <v>5</v>
      </c>
      <c r="L2370" t="str" cm="1">
        <f t="array" ref="L2370" xml:space="preserve"> sentimentCategory(K2370)</f>
        <v>Positive</v>
      </c>
    </row>
    <row r="2371" spans="1:12">
      <c r="A2371" t="s">
        <v>640</v>
      </c>
      <c r="B2371" t="s">
        <v>1774</v>
      </c>
      <c r="C2371" t="str" cm="1">
        <f t="array" ref="C2371" xml:space="preserve"> CleanText(B2371)</f>
        <v>im a bit iffy about zukos scar looking more like face paint than an actual scar but other than that this show looks promising</v>
      </c>
      <c r="D2371">
        <v>1</v>
      </c>
      <c r="E2371">
        <v>0</v>
      </c>
      <c r="F2371" t="s">
        <v>0</v>
      </c>
      <c r="G2371" t="str" cm="1">
        <f t="array" ref="G2371" xml:space="preserve"> FindCountryName(F2371)</f>
        <v>None</v>
      </c>
      <c r="H2371" s="1">
        <v>45272.519270833334</v>
      </c>
      <c r="I2371" s="1">
        <v>45272.519270833334</v>
      </c>
      <c r="J2371" s="1">
        <v>43347.680706018517</v>
      </c>
      <c r="K2371" cm="1">
        <f t="array" ref="K2371" xml:space="preserve"> sentimentCalc(C2371)</f>
        <v>2</v>
      </c>
      <c r="L2371" t="str" cm="1">
        <f t="array" ref="L2371" xml:space="preserve"> sentimentCategory(K2371)</f>
        <v>Positive</v>
      </c>
    </row>
    <row r="2372" spans="1:12">
      <c r="A2372" t="s">
        <v>1773</v>
      </c>
      <c r="B2372" t="s">
        <v>1772</v>
      </c>
      <c r="C2372" t="str" cm="1">
        <f t="array" ref="C2372" xml:space="preserve"> CleanText(B2372)</f>
        <v>el cast mejor pero sigo teniendo la duda de porqu katara y zokka siguen pareciendo esquimales de noruega _xDD23_</v>
      </c>
      <c r="D2372">
        <v>0</v>
      </c>
      <c r="E2372">
        <v>0</v>
      </c>
      <c r="F2372" t="s">
        <v>0</v>
      </c>
      <c r="G2372" t="str" cm="1">
        <f t="array" ref="G2372" xml:space="preserve"> FindCountryName(F2372)</f>
        <v>None</v>
      </c>
      <c r="H2372" s="1">
        <v>45272.505949074075</v>
      </c>
      <c r="I2372" s="1">
        <v>45272.505949074075</v>
      </c>
      <c r="J2372" s="1">
        <v>39398.678263888891</v>
      </c>
      <c r="K2372" cm="1">
        <f t="array" ref="K2372" xml:space="preserve"> sentimentCalc(C2372)</f>
        <v>0</v>
      </c>
      <c r="L2372" t="str" cm="1">
        <f t="array" ref="L2372" xml:space="preserve"> sentimentCategory(K2372)</f>
        <v>Neutral</v>
      </c>
    </row>
    <row r="2373" spans="1:12">
      <c r="A2373" t="s">
        <v>1771</v>
      </c>
      <c r="B2373" t="s">
        <v>1770</v>
      </c>
      <c r="C2373" t="str" cm="1">
        <f t="array" ref="C2373" xml:space="preserve"> CleanText(B2373)</f>
        <v>cant wait for toph blind jokes</v>
      </c>
      <c r="D2373">
        <v>0</v>
      </c>
      <c r="E2373">
        <v>0</v>
      </c>
      <c r="F2373" t="s">
        <v>19</v>
      </c>
      <c r="G2373" t="str" cm="1">
        <f t="array" ref="G2373" xml:space="preserve"> FindCountryName(F2373)</f>
        <v>United States of America (the)</v>
      </c>
      <c r="H2373" s="1">
        <v>45272.492025462961</v>
      </c>
      <c r="I2373" s="1">
        <v>45272.492025462961</v>
      </c>
      <c r="J2373" s="1">
        <v>41885.883344907408</v>
      </c>
      <c r="K2373" cm="1">
        <f t="array" ref="K2373" xml:space="preserve"> sentimentCalc(C2373)</f>
        <v>1</v>
      </c>
      <c r="L2373" t="str" cm="1">
        <f t="array" ref="L2373" xml:space="preserve"> sentimentCategory(K2373)</f>
        <v>Positive</v>
      </c>
    </row>
    <row r="2374" spans="1:12">
      <c r="A2374" t="s">
        <v>1769</v>
      </c>
      <c r="B2374" t="s">
        <v>1768</v>
      </c>
      <c r="C2374" t="str" cm="1">
        <f t="array" ref="C2374" xml:space="preserve"> CleanText(B2374)</f>
        <v>chutti tv_xDE0A_</v>
      </c>
      <c r="D2374">
        <v>0</v>
      </c>
      <c r="E2374">
        <v>0</v>
      </c>
      <c r="F2374" t="s">
        <v>98</v>
      </c>
      <c r="G2374" t="str" cm="1">
        <f t="array" ref="G2374" xml:space="preserve"> FindCountryName(F2374)</f>
        <v>India</v>
      </c>
      <c r="H2374" s="1">
        <v>45272.468090277776</v>
      </c>
      <c r="I2374" s="1">
        <v>45272.468090277776</v>
      </c>
      <c r="J2374" s="1">
        <v>43925.550057870372</v>
      </c>
      <c r="K2374" cm="1">
        <f t="array" ref="K2374" xml:space="preserve"> sentimentCalc(C2374)</f>
        <v>0</v>
      </c>
      <c r="L2374" t="str" cm="1">
        <f t="array" ref="L2374" xml:space="preserve"> sentimentCategory(K2374)</f>
        <v>Neutral</v>
      </c>
    </row>
    <row r="2375" spans="1:12">
      <c r="A2375" t="s">
        <v>566</v>
      </c>
      <c r="B2375" t="s">
        <v>1767</v>
      </c>
      <c r="C2375" t="str" cm="1">
        <f t="array" ref="C2375" xml:space="preserve"> CleanText(B2375)</f>
        <v>all i can say is dont get so hyped we must see the series first the avatarlast airbender moviewhat movie) was also promising but the movie itself didnt deliver</v>
      </c>
      <c r="D2375">
        <v>0</v>
      </c>
      <c r="E2375">
        <v>0</v>
      </c>
      <c r="F2375" t="s">
        <v>0</v>
      </c>
      <c r="G2375" t="str" cm="1">
        <f t="array" ref="G2375" xml:space="preserve"> FindCountryName(F2375)</f>
        <v>None</v>
      </c>
      <c r="H2375" s="1">
        <v>45272.466967592591</v>
      </c>
      <c r="I2375" s="1">
        <v>45272.466967592591</v>
      </c>
      <c r="J2375" s="1">
        <v>41938.075381944444</v>
      </c>
      <c r="K2375" cm="1">
        <f t="array" ref="K2375" xml:space="preserve"> sentimentCalc(C2375)</f>
        <v>0</v>
      </c>
      <c r="L2375" t="str" cm="1">
        <f t="array" ref="L2375" xml:space="preserve"> sentimentCategory(K2375)</f>
        <v>Neutral</v>
      </c>
    </row>
    <row r="2376" spans="1:12">
      <c r="A2376" t="s">
        <v>1766</v>
      </c>
      <c r="B2376" t="s">
        <v>1765</v>
      </c>
      <c r="C2376" t="str" cm="1">
        <f t="array" ref="C2376" xml:space="preserve"> CleanText(B2376)</f>
        <v>brooff rip i got goosebumps</v>
      </c>
      <c r="D2376">
        <v>0</v>
      </c>
      <c r="E2376">
        <v>0</v>
      </c>
      <c r="F2376" t="s">
        <v>0</v>
      </c>
      <c r="G2376" t="str" cm="1">
        <f t="array" ref="G2376" xml:space="preserve"> FindCountryName(F2376)</f>
        <v>None</v>
      </c>
      <c r="H2376" s="1">
        <v>45272.41578703704</v>
      </c>
      <c r="I2376" s="1">
        <v>45272.41578703704</v>
      </c>
      <c r="J2376" s="1">
        <v>44154.420173611114</v>
      </c>
      <c r="K2376" cm="1">
        <f t="array" ref="K2376" xml:space="preserve"> sentimentCalc(C2376)</f>
        <v>0</v>
      </c>
      <c r="L2376" t="str" cm="1">
        <f t="array" ref="L2376" xml:space="preserve"> sentimentCategory(K2376)</f>
        <v>Neutral</v>
      </c>
    </row>
    <row r="2377" spans="1:12">
      <c r="A2377" t="s">
        <v>1200</v>
      </c>
      <c r="B2377" t="s">
        <v>1764</v>
      </c>
      <c r="C2377" t="str" cm="1">
        <f t="array" ref="C2377" xml:space="preserve"> CleanText(B2377)</f>
        <v>this kid looks nothing like aang</v>
      </c>
      <c r="D2377">
        <v>0</v>
      </c>
      <c r="E2377">
        <v>0</v>
      </c>
      <c r="F2377" t="s">
        <v>0</v>
      </c>
      <c r="G2377" t="str" cm="1">
        <f t="array" ref="G2377" xml:space="preserve"> FindCountryName(F2377)</f>
        <v>None</v>
      </c>
      <c r="H2377" s="1">
        <v>45272.408333333333</v>
      </c>
      <c r="I2377" s="1">
        <v>45272.408333333333</v>
      </c>
      <c r="J2377" s="1">
        <v>43903.551782407405</v>
      </c>
      <c r="K2377" cm="1">
        <f t="array" ref="K2377" xml:space="preserve"> sentimentCalc(C2377)</f>
        <v>2</v>
      </c>
      <c r="L2377" t="str" cm="1">
        <f t="array" ref="L2377" xml:space="preserve"> sentimentCategory(K2377)</f>
        <v>Positive</v>
      </c>
    </row>
    <row r="2378" spans="1:12">
      <c r="A2378" t="s">
        <v>1755</v>
      </c>
      <c r="B2378" t="s">
        <v>1763</v>
      </c>
      <c r="C2378" t="str" cm="1">
        <f t="array" ref="C2378" xml:space="preserve"> CleanText(B2378)</f>
        <v>they better not screw up uncle iroh like the movie</v>
      </c>
      <c r="D2378">
        <v>0</v>
      </c>
      <c r="E2378">
        <v>0</v>
      </c>
      <c r="F2378" t="s">
        <v>0</v>
      </c>
      <c r="G2378" t="str" cm="1">
        <f t="array" ref="G2378" xml:space="preserve"> FindCountryName(F2378)</f>
        <v>None</v>
      </c>
      <c r="H2378" s="1">
        <v>45272.373877314814</v>
      </c>
      <c r="I2378" s="1">
        <v>45272.374050925922</v>
      </c>
      <c r="J2378" s="1">
        <v>41509.174803240741</v>
      </c>
      <c r="K2378" cm="1">
        <f t="array" ref="K2378" xml:space="preserve"> sentimentCalc(C2378)</f>
        <v>4</v>
      </c>
      <c r="L2378" t="str" cm="1">
        <f t="array" ref="L2378" xml:space="preserve"> sentimentCategory(K2378)</f>
        <v>Positive</v>
      </c>
    </row>
    <row r="2379" spans="1:12">
      <c r="A2379" t="s">
        <v>1762</v>
      </c>
      <c r="B2379" t="s">
        <v>1761</v>
      </c>
      <c r="C2379" t="str" cm="1">
        <f t="array" ref="C2379" xml:space="preserve"> CleanText(B2379)</f>
        <v>no please dont</v>
      </c>
      <c r="D2379">
        <v>0</v>
      </c>
      <c r="E2379">
        <v>0</v>
      </c>
      <c r="F2379" t="s">
        <v>0</v>
      </c>
      <c r="G2379" t="str" cm="1">
        <f t="array" ref="G2379" xml:space="preserve"> FindCountryName(F2379)</f>
        <v>None</v>
      </c>
      <c r="H2379" s="1">
        <v>45272.317349537036</v>
      </c>
      <c r="I2379" s="1">
        <v>45272.317349537036</v>
      </c>
      <c r="J2379" s="1">
        <v>45216.257175925923</v>
      </c>
      <c r="K2379" cm="1">
        <f t="array" ref="K2379" xml:space="preserve"> sentimentCalc(C2379)</f>
        <v>0</v>
      </c>
      <c r="L2379" t="str" cm="1">
        <f t="array" ref="L2379" xml:space="preserve"> sentimentCategory(K2379)</f>
        <v>Neutral</v>
      </c>
    </row>
    <row r="2380" spans="1:12">
      <c r="A2380" t="s">
        <v>153</v>
      </c>
      <c r="B2380" t="s">
        <v>1760</v>
      </c>
      <c r="C2380" t="str" cm="1">
        <f t="array" ref="C2380" xml:space="preserve"> CleanText(B2380)</f>
        <v>please be good</v>
      </c>
      <c r="D2380">
        <v>0</v>
      </c>
      <c r="E2380">
        <v>0</v>
      </c>
      <c r="F2380" t="s">
        <v>0</v>
      </c>
      <c r="G2380" t="str" cm="1">
        <f t="array" ref="G2380" xml:space="preserve"> FindCountryName(F2380)</f>
        <v>None</v>
      </c>
      <c r="H2380" s="1">
        <v>45272.257106481484</v>
      </c>
      <c r="I2380" s="1">
        <v>45272.257106481484</v>
      </c>
      <c r="J2380" s="1">
        <v>44653.11614583333</v>
      </c>
      <c r="K2380" cm="1">
        <f t="array" ref="K2380" xml:space="preserve"> sentimentCalc(C2380)</f>
        <v>4</v>
      </c>
      <c r="L2380" t="str" cm="1">
        <f t="array" ref="L2380" xml:space="preserve"> sentimentCategory(K2380)</f>
        <v>Positive</v>
      </c>
    </row>
    <row r="2381" spans="1:12">
      <c r="A2381" t="s">
        <v>460</v>
      </c>
      <c r="B2381" t="s">
        <v>1759</v>
      </c>
      <c r="C2381" t="str" cm="1">
        <f t="array" ref="C2381" xml:space="preserve"> CleanText(B2381)</f>
        <v>yay the fact that they are age and ethnically correct to the source omg yay now if we can keep to the correct pronunciations so i dont cringe watching oh ill live past winter just to see this baby</v>
      </c>
      <c r="D2381">
        <v>0</v>
      </c>
      <c r="E2381">
        <v>0</v>
      </c>
      <c r="F2381" t="s">
        <v>0</v>
      </c>
      <c r="G2381" t="str" cm="1">
        <f t="array" ref="G2381" xml:space="preserve"> FindCountryName(F2381)</f>
        <v>None</v>
      </c>
      <c r="H2381" s="1">
        <v>45272.193703703706</v>
      </c>
      <c r="I2381" s="1">
        <v>45272.193703703706</v>
      </c>
      <c r="J2381" s="1">
        <v>42312.763310185182</v>
      </c>
      <c r="K2381" cm="1">
        <f t="array" ref="K2381" xml:space="preserve"> sentimentCalc(C2381)</f>
        <v>-2</v>
      </c>
      <c r="L2381" t="str" cm="1">
        <f t="array" ref="L2381" xml:space="preserve"> sentimentCategory(K2381)</f>
        <v>Negative</v>
      </c>
    </row>
    <row r="2382" spans="1:12">
      <c r="A2382" t="s">
        <v>263</v>
      </c>
      <c r="B2382" t="s">
        <v>1758</v>
      </c>
      <c r="C2382" t="str" cm="1">
        <f t="array" ref="C2382" xml:space="preserve"> CleanText(B2382)</f>
        <v>release date</v>
      </c>
      <c r="D2382">
        <v>0</v>
      </c>
      <c r="E2382">
        <v>1</v>
      </c>
      <c r="F2382" t="s">
        <v>1202</v>
      </c>
      <c r="G2382" t="str" cm="1">
        <f t="array" ref="G2382" xml:space="preserve"> FindCountryName(F2382)</f>
        <v>Pakistan</v>
      </c>
      <c r="H2382" s="1">
        <v>45272.083101851851</v>
      </c>
      <c r="I2382" s="1">
        <v>45272.083101851851</v>
      </c>
      <c r="J2382" s="1">
        <v>45081.778171296297</v>
      </c>
      <c r="K2382" cm="1">
        <f t="array" ref="K2382" xml:space="preserve"> sentimentCalc(C2382)</f>
        <v>0</v>
      </c>
      <c r="L2382" t="str" cm="1">
        <f t="array" ref="L2382" xml:space="preserve"> sentimentCategory(K2382)</f>
        <v>Neutral</v>
      </c>
    </row>
    <row r="2383" spans="1:12">
      <c r="A2383" t="s">
        <v>808</v>
      </c>
      <c r="B2383" t="s">
        <v>1757</v>
      </c>
      <c r="C2383" t="str" cm="1">
        <f t="array" ref="C2383" xml:space="preserve"> CleanText(B2383)</f>
        <v>its a no from me</v>
      </c>
      <c r="D2383">
        <v>0</v>
      </c>
      <c r="E2383">
        <v>0</v>
      </c>
      <c r="F2383" t="s">
        <v>0</v>
      </c>
      <c r="G2383" t="str" cm="1">
        <f t="array" ref="G2383" xml:space="preserve"> FindCountryName(F2383)</f>
        <v>None</v>
      </c>
      <c r="H2383" s="1">
        <v>45272.008391203701</v>
      </c>
      <c r="I2383" s="1">
        <v>45272.008391203701</v>
      </c>
      <c r="J2383" s="1">
        <v>45141.479305555556</v>
      </c>
      <c r="K2383" cm="1">
        <f t="array" ref="K2383" xml:space="preserve"> sentimentCalc(C2383)</f>
        <v>-1</v>
      </c>
      <c r="L2383" t="str" cm="1">
        <f t="array" ref="L2383" xml:space="preserve"> sentimentCategory(K2383)</f>
        <v>Negative</v>
      </c>
    </row>
    <row r="2384" spans="1:12">
      <c r="A2384" t="s">
        <v>357</v>
      </c>
      <c r="B2384" t="s">
        <v>1756</v>
      </c>
      <c r="C2384" t="str" cm="1">
        <f t="array" ref="C2384" xml:space="preserve"> CleanText(B2384)</f>
        <v>were so scared because wed been burned so bad _xDD72_</v>
      </c>
      <c r="D2384">
        <v>0</v>
      </c>
      <c r="E2384">
        <v>0</v>
      </c>
      <c r="F2384" t="s">
        <v>0</v>
      </c>
      <c r="G2384" t="str" cm="1">
        <f t="array" ref="G2384" xml:space="preserve"> FindCountryName(F2384)</f>
        <v>None</v>
      </c>
      <c r="H2384" s="1">
        <v>45271.958067129628</v>
      </c>
      <c r="I2384" s="1">
        <v>45271.958067129628</v>
      </c>
      <c r="J2384" s="1">
        <v>41406.134733796294</v>
      </c>
      <c r="K2384" cm="1">
        <f t="array" ref="K2384" xml:space="preserve"> sentimentCalc(C2384)</f>
        <v>-5</v>
      </c>
      <c r="L2384" t="str" cm="1">
        <f t="array" ref="L2384" xml:space="preserve"> sentimentCategory(K2384)</f>
        <v>Negative</v>
      </c>
    </row>
    <row r="2385" spans="1:12">
      <c r="A2385" t="s">
        <v>1755</v>
      </c>
      <c r="B2385" t="s">
        <v>1754</v>
      </c>
      <c r="C2385" t="str" cm="1">
        <f t="array" ref="C2385" xml:space="preserve"> CleanText(B2385)</f>
        <v>please no dont</v>
      </c>
      <c r="D2385">
        <v>0</v>
      </c>
      <c r="E2385">
        <v>0</v>
      </c>
      <c r="F2385" t="s">
        <v>0</v>
      </c>
      <c r="G2385" t="str" cm="1">
        <f t="array" ref="G2385" xml:space="preserve"> FindCountryName(F2385)</f>
        <v>None</v>
      </c>
      <c r="H2385" s="1">
        <v>45271.950520833336</v>
      </c>
      <c r="I2385" s="1">
        <v>45271.950520833336</v>
      </c>
      <c r="J2385" s="1">
        <v>41089.509375000001</v>
      </c>
      <c r="K2385" cm="1">
        <f t="array" ref="K2385" xml:space="preserve"> sentimentCalc(C2385)</f>
        <v>0</v>
      </c>
      <c r="L2385" t="str" cm="1">
        <f t="array" ref="L2385" xml:space="preserve"> sentimentCategory(K2385)</f>
        <v>Neutral</v>
      </c>
    </row>
    <row r="2386" spans="1:12">
      <c r="A2386" t="s">
        <v>988</v>
      </c>
      <c r="B2386" t="s">
        <v>1753</v>
      </c>
      <c r="C2386" t="str" cm="1">
        <f t="array" ref="C2386" xml:space="preserve"> CleanText(B2386)</f>
        <v>this looks fantastic</v>
      </c>
      <c r="D2386">
        <v>0</v>
      </c>
      <c r="E2386">
        <v>0</v>
      </c>
      <c r="F2386" t="s">
        <v>0</v>
      </c>
      <c r="G2386" t="str" cm="1">
        <f t="array" ref="G2386" xml:space="preserve"> FindCountryName(F2386)</f>
        <v>None</v>
      </c>
      <c r="H2386" s="1">
        <v>45271.941458333335</v>
      </c>
      <c r="I2386" s="1">
        <v>45271.941458333335</v>
      </c>
      <c r="J2386" s="1">
        <v>44988.032164351855</v>
      </c>
      <c r="K2386" cm="1">
        <f t="array" ref="K2386" xml:space="preserve"> sentimentCalc(C2386)</f>
        <v>4</v>
      </c>
      <c r="L2386" t="str" cm="1">
        <f t="array" ref="L2386" xml:space="preserve"> sentimentCategory(K2386)</f>
        <v>Positive</v>
      </c>
    </row>
    <row r="2387" spans="1:12">
      <c r="A2387" t="s">
        <v>1752</v>
      </c>
      <c r="B2387" t="s">
        <v>1751</v>
      </c>
      <c r="C2387" t="str" cm="1">
        <f t="array" ref="C2387" xml:space="preserve"> CleanText(B2387)</f>
        <v>q legal vey</v>
      </c>
      <c r="D2387">
        <v>0</v>
      </c>
      <c r="E2387">
        <v>0</v>
      </c>
      <c r="F2387" t="s">
        <v>124</v>
      </c>
      <c r="G2387" t="str" cm="1">
        <f t="array" ref="G2387" xml:space="preserve"> FindCountryName(F2387)</f>
        <v>Brazil</v>
      </c>
      <c r="H2387" s="1">
        <v>45271.914710648147</v>
      </c>
      <c r="I2387" s="1">
        <v>45271.914710648147</v>
      </c>
      <c r="J2387" s="1">
        <v>43441.546805555554</v>
      </c>
      <c r="K2387" cm="1">
        <f t="array" ref="K2387" xml:space="preserve"> sentimentCalc(C2387)</f>
        <v>1</v>
      </c>
      <c r="L2387" t="str" cm="1">
        <f t="array" ref="L2387" xml:space="preserve"> sentimentCategory(K2387)</f>
        <v>Positive</v>
      </c>
    </row>
    <row r="2388" spans="1:12">
      <c r="A2388" t="s">
        <v>4</v>
      </c>
      <c r="B2388" t="s">
        <v>1750</v>
      </c>
      <c r="C2388" t="str" cm="1">
        <f t="array" ref="C2388" xml:space="preserve"> CleanText(B2388)</f>
        <v>ok ok imma give it a shot</v>
      </c>
      <c r="D2388">
        <v>0</v>
      </c>
      <c r="E2388">
        <v>0</v>
      </c>
      <c r="F2388" t="s">
        <v>0</v>
      </c>
      <c r="G2388" t="str" cm="1">
        <f t="array" ref="G2388" xml:space="preserve"> FindCountryName(F2388)</f>
        <v>None</v>
      </c>
      <c r="H2388" s="1">
        <v>45271.914270833331</v>
      </c>
      <c r="I2388" s="1">
        <v>45271.914270833331</v>
      </c>
      <c r="J2388" s="1">
        <v>43289.709432870368</v>
      </c>
      <c r="K2388" cm="1">
        <f t="array" ref="K2388" xml:space="preserve"> sentimentCalc(C2388)</f>
        <v>0</v>
      </c>
      <c r="L2388" t="str" cm="1">
        <f t="array" ref="L2388" xml:space="preserve"> sentimentCategory(K2388)</f>
        <v>Neutral</v>
      </c>
    </row>
    <row r="2389" spans="1:12">
      <c r="A2389" t="s">
        <v>1749</v>
      </c>
      <c r="B2389" t="s">
        <v>1748</v>
      </c>
      <c r="C2389" t="str" cm="1">
        <f t="array" ref="C2389" xml:space="preserve"> CleanText(B2389)</f>
        <v>omg once i heard the original theme i can tell this will be a good one please i cant wait</v>
      </c>
      <c r="D2389">
        <v>2</v>
      </c>
      <c r="E2389">
        <v>0</v>
      </c>
      <c r="F2389" t="s">
        <v>0</v>
      </c>
      <c r="G2389" t="str" cm="1">
        <f t="array" ref="G2389" xml:space="preserve"> FindCountryName(F2389)</f>
        <v>None</v>
      </c>
      <c r="H2389" s="1">
        <v>45271.893622685187</v>
      </c>
      <c r="I2389" s="1">
        <v>45271.893622685187</v>
      </c>
      <c r="J2389" s="1">
        <v>41013.420370370368</v>
      </c>
      <c r="K2389" cm="1">
        <f t="array" ref="K2389" xml:space="preserve"> sentimentCalc(C2389)</f>
        <v>4</v>
      </c>
      <c r="L2389" t="str" cm="1">
        <f t="array" ref="L2389" xml:space="preserve"> sentimentCategory(K2389)</f>
        <v>Positive</v>
      </c>
    </row>
    <row r="2390" spans="1:12">
      <c r="A2390" t="s">
        <v>601</v>
      </c>
      <c r="B2390" t="s">
        <v>1747</v>
      </c>
      <c r="C2390" t="str" cm="1">
        <f t="array" ref="C2390" xml:space="preserve"> CleanText(B2390)</f>
        <v>so dope</v>
      </c>
      <c r="D2390">
        <v>0</v>
      </c>
      <c r="E2390">
        <v>0</v>
      </c>
      <c r="F2390" t="s">
        <v>0</v>
      </c>
      <c r="G2390" t="str" cm="1">
        <f t="array" ref="G2390" xml:space="preserve"> FindCountryName(F2390)</f>
        <v>None</v>
      </c>
      <c r="H2390" s="1">
        <v>45271.884270833332</v>
      </c>
      <c r="I2390" s="1">
        <v>45271.884270833332</v>
      </c>
      <c r="J2390" s="1">
        <v>44910.253599537034</v>
      </c>
      <c r="K2390" cm="1">
        <f t="array" ref="K2390" xml:space="preserve"> sentimentCalc(C2390)</f>
        <v>0</v>
      </c>
      <c r="L2390" t="str" cm="1">
        <f t="array" ref="L2390" xml:space="preserve"> sentimentCategory(K2390)</f>
        <v>Neutral</v>
      </c>
    </row>
    <row r="2391" spans="1:12">
      <c r="A2391" t="s">
        <v>325</v>
      </c>
      <c r="B2391" t="s">
        <v>1746</v>
      </c>
      <c r="C2391" t="str" cm="1">
        <f t="array" ref="C2391" xml:space="preserve"> CleanText(B2391)</f>
        <v>do not taint your victory  even on streaming services netflix has more honor than disney</v>
      </c>
      <c r="D2391">
        <v>1</v>
      </c>
      <c r="E2391">
        <v>0</v>
      </c>
      <c r="F2391" t="s">
        <v>0</v>
      </c>
      <c r="G2391" t="str" cm="1">
        <f t="array" ref="G2391" xml:space="preserve"> FindCountryName(F2391)</f>
        <v>None</v>
      </c>
      <c r="H2391" s="1">
        <v>45271.87128472222</v>
      </c>
      <c r="I2391" s="1">
        <v>45271.87128472222</v>
      </c>
      <c r="J2391" s="1">
        <v>41403.576956018522</v>
      </c>
      <c r="K2391" cm="1">
        <f t="array" ref="K2391" xml:space="preserve"> sentimentCalc(C2391)</f>
        <v>2</v>
      </c>
      <c r="L2391" t="str" cm="1">
        <f t="array" ref="L2391" xml:space="preserve"> sentimentCategory(K2391)</f>
        <v>Positive</v>
      </c>
    </row>
    <row r="2392" spans="1:12">
      <c r="A2392" t="s">
        <v>774</v>
      </c>
      <c r="B2392" t="s">
        <v>1745</v>
      </c>
      <c r="C2392" t="str" cm="1">
        <f t="array" ref="C2392" xml:space="preserve"> CleanText(B2392)</f>
        <v>cant wait for it;</v>
      </c>
      <c r="D2392">
        <v>0</v>
      </c>
      <c r="E2392">
        <v>0</v>
      </c>
      <c r="F2392" t="s">
        <v>0</v>
      </c>
      <c r="G2392" t="str" cm="1">
        <f t="array" ref="G2392" xml:space="preserve"> FindCountryName(F2392)</f>
        <v>None</v>
      </c>
      <c r="H2392" s="1">
        <v>45271.844629629632</v>
      </c>
      <c r="I2392" s="1">
        <v>45271.844629629632</v>
      </c>
      <c r="J2392" s="1">
        <v>41702.101875</v>
      </c>
      <c r="K2392" cm="1">
        <f t="array" ref="K2392" xml:space="preserve"> sentimentCalc(C2392)</f>
        <v>0</v>
      </c>
      <c r="L2392" t="str" cm="1">
        <f t="array" ref="L2392" xml:space="preserve"> sentimentCategory(K2392)</f>
        <v>Neutral</v>
      </c>
    </row>
    <row r="2393" spans="1:12">
      <c r="A2393" t="s">
        <v>1744</v>
      </c>
      <c r="B2393" t="s">
        <v>1743</v>
      </c>
      <c r="C2393" t="str" cm="1">
        <f t="array" ref="C2393" xml:space="preserve"> CleanText(B2393)</f>
        <v>looks exactly like the movie  but firebending seems better</v>
      </c>
      <c r="D2393">
        <v>0</v>
      </c>
      <c r="E2393">
        <v>0</v>
      </c>
      <c r="F2393" t="s">
        <v>1742</v>
      </c>
      <c r="G2393" t="str" cm="1">
        <f t="array" ref="G2393" xml:space="preserve"> FindCountryName(F2393)</f>
        <v>Ukraine</v>
      </c>
      <c r="H2393" s="1">
        <v>45271.779675925929</v>
      </c>
      <c r="I2393" s="1">
        <v>45271.779675925929</v>
      </c>
      <c r="J2393" s="1">
        <v>42022.425393518519</v>
      </c>
      <c r="K2393" cm="1">
        <f t="array" ref="K2393" xml:space="preserve"> sentimentCalc(C2393)</f>
        <v>4</v>
      </c>
      <c r="L2393" t="str" cm="1">
        <f t="array" ref="L2393" xml:space="preserve"> sentimentCategory(K2393)</f>
        <v>Positive</v>
      </c>
    </row>
    <row r="2394" spans="1:12">
      <c r="A2394" t="s">
        <v>1741</v>
      </c>
      <c r="B2394" t="s">
        <v>1740</v>
      </c>
      <c r="C2394" t="str" cm="1">
        <f t="array" ref="C2394" xml:space="preserve"> CleanText(B2394)</f>
        <v>do i dare get my hopes up is this another onepiece level adaptation</v>
      </c>
      <c r="D2394">
        <v>0</v>
      </c>
      <c r="E2394">
        <v>0</v>
      </c>
      <c r="F2394" t="s">
        <v>112</v>
      </c>
      <c r="G2394" t="str" cm="1">
        <f t="array" ref="G2394" xml:space="preserve"> FindCountryName(F2394)</f>
        <v>Canada</v>
      </c>
      <c r="H2394" s="1">
        <v>45271.745115740741</v>
      </c>
      <c r="I2394" s="1">
        <v>45271.745115740741</v>
      </c>
      <c r="J2394" s="1">
        <v>39703.20034722222</v>
      </c>
      <c r="K2394" cm="1">
        <f t="array" ref="K2394" xml:space="preserve"> sentimentCalc(C2394)</f>
        <v>2</v>
      </c>
      <c r="L2394" t="str" cm="1">
        <f t="array" ref="L2394" xml:space="preserve"> sentimentCategory(K2394)</f>
        <v>Positive</v>
      </c>
    </row>
    <row r="2395" spans="1:12">
      <c r="A2395" t="s">
        <v>1739</v>
      </c>
      <c r="B2395" t="s">
        <v>1738</v>
      </c>
      <c r="C2395" t="str" cm="1">
        <f t="array" ref="C2395" xml:space="preserve"> CleanText(B2395)</f>
        <v>not a fan of turning games and cartoons into live action because there /0 trash but lets see how this goes</v>
      </c>
      <c r="D2395">
        <v>0</v>
      </c>
      <c r="E2395">
        <v>0</v>
      </c>
      <c r="F2395" t="s">
        <v>0</v>
      </c>
      <c r="G2395" t="str" cm="1">
        <f t="array" ref="G2395" xml:space="preserve"> FindCountryName(F2395)</f>
        <v>None</v>
      </c>
      <c r="H2395" s="1">
        <v>45271.742858796293</v>
      </c>
      <c r="I2395" s="1">
        <v>45271.742858796293</v>
      </c>
      <c r="J2395" s="1">
        <v>43072.874768518515</v>
      </c>
      <c r="K2395" cm="1">
        <f t="array" ref="K2395" xml:space="preserve"> sentimentCalc(C2395)</f>
        <v>3</v>
      </c>
      <c r="L2395" t="str" cm="1">
        <f t="array" ref="L2395" xml:space="preserve"> sentimentCategory(K2395)</f>
        <v>Positive</v>
      </c>
    </row>
    <row r="2396" spans="1:12">
      <c r="A2396" t="s">
        <v>1386</v>
      </c>
      <c r="B2396" t="s">
        <v>1737</v>
      </c>
      <c r="C2396" t="str" cm="1">
        <f t="array" ref="C2396" xml:space="preserve"> CleanText(B2396)</f>
        <v>hopefully they pronounce the names properly this time</v>
      </c>
      <c r="D2396">
        <v>0</v>
      </c>
      <c r="E2396">
        <v>0</v>
      </c>
      <c r="F2396" t="s">
        <v>19</v>
      </c>
      <c r="G2396" t="str" cm="1">
        <f t="array" ref="G2396" xml:space="preserve"> FindCountryName(F2396)</f>
        <v>United States of America (the)</v>
      </c>
      <c r="H2396" s="1">
        <v>45271.741550925923</v>
      </c>
      <c r="I2396" s="1">
        <v>45271.741550925923</v>
      </c>
      <c r="J2396" s="1">
        <v>38949.892465277779</v>
      </c>
      <c r="K2396" cm="1">
        <f t="array" ref="K2396" xml:space="preserve"> sentimentCalc(C2396)</f>
        <v>2</v>
      </c>
      <c r="L2396" t="str" cm="1">
        <f t="array" ref="L2396" xml:space="preserve"> sentimentCategory(K2396)</f>
        <v>Positive</v>
      </c>
    </row>
    <row r="2397" spans="1:12">
      <c r="A2397" t="s">
        <v>1736</v>
      </c>
      <c r="B2397" t="s">
        <v>1735</v>
      </c>
      <c r="C2397" t="str" cm="1">
        <f t="array" ref="C2397" xml:space="preserve"> CleanText(B2397)</f>
        <v>ok this one looks good</v>
      </c>
      <c r="D2397">
        <v>0</v>
      </c>
      <c r="E2397">
        <v>0</v>
      </c>
      <c r="F2397" t="s">
        <v>0</v>
      </c>
      <c r="G2397" t="str" cm="1">
        <f t="array" ref="G2397" xml:space="preserve"> FindCountryName(F2397)</f>
        <v>None</v>
      </c>
      <c r="H2397" s="1">
        <v>45271.721747685187</v>
      </c>
      <c r="I2397" s="1">
        <v>45271.721747685187</v>
      </c>
      <c r="J2397" s="1">
        <v>42932.315983796296</v>
      </c>
      <c r="K2397" cm="1">
        <f t="array" ref="K2397" xml:space="preserve"> sentimentCalc(C2397)</f>
        <v>3</v>
      </c>
      <c r="L2397" t="str" cm="1">
        <f t="array" ref="L2397" xml:space="preserve"> sentimentCategory(K2397)</f>
        <v>Positive</v>
      </c>
    </row>
    <row r="2398" spans="1:12">
      <c r="A2398" t="s">
        <v>1734</v>
      </c>
      <c r="B2398" t="s">
        <v>1733</v>
      </c>
      <c r="C2398" t="str" cm="1">
        <f t="array" ref="C2398" xml:space="preserve"> CleanText(B2398)</f>
        <v>lol</v>
      </c>
      <c r="D2398">
        <v>0</v>
      </c>
      <c r="E2398">
        <v>0</v>
      </c>
      <c r="F2398" t="s">
        <v>0</v>
      </c>
      <c r="G2398" t="str" cm="1">
        <f t="array" ref="G2398" xml:space="preserve"> FindCountryName(F2398)</f>
        <v>None</v>
      </c>
      <c r="H2398" s="1">
        <v>45271.72074074074</v>
      </c>
      <c r="I2398" s="1">
        <v>45271.72074074074</v>
      </c>
      <c r="J2398" s="1">
        <v>44957.628599537034</v>
      </c>
      <c r="K2398" cm="1">
        <f t="array" ref="K2398" xml:space="preserve"> sentimentCalc(C2398)</f>
        <v>0</v>
      </c>
      <c r="L2398" t="str" cm="1">
        <f t="array" ref="L2398" xml:space="preserve"> sentimentCategory(K2398)</f>
        <v>Neutral</v>
      </c>
    </row>
    <row r="2399" spans="1:12">
      <c r="A2399" t="s">
        <v>333</v>
      </c>
      <c r="B2399" t="s">
        <v>1732</v>
      </c>
      <c r="C2399" t="str" cm="1">
        <f t="array" ref="C2399" xml:space="preserve"> CleanText(B2399)</f>
        <v>sdsd</v>
      </c>
      <c r="D2399">
        <v>0</v>
      </c>
      <c r="E2399">
        <v>0</v>
      </c>
      <c r="F2399" t="s">
        <v>0</v>
      </c>
      <c r="G2399" t="str" cm="1">
        <f t="array" ref="G2399" xml:space="preserve"> FindCountryName(F2399)</f>
        <v>None</v>
      </c>
      <c r="H2399" s="1">
        <v>45271.707384259258</v>
      </c>
      <c r="I2399" s="1">
        <v>45271.707384259258</v>
      </c>
      <c r="J2399" s="1">
        <v>45271.707361111112</v>
      </c>
      <c r="K2399" cm="1">
        <f t="array" ref="K2399" xml:space="preserve"> sentimentCalc(C2399)</f>
        <v>0</v>
      </c>
      <c r="L2399" t="str" cm="1">
        <f t="array" ref="L2399" xml:space="preserve"> sentimentCategory(K2399)</f>
        <v>Neutral</v>
      </c>
    </row>
    <row r="2400" spans="1:12">
      <c r="A2400" t="s">
        <v>227</v>
      </c>
      <c r="B2400" t="s">
        <v>1731</v>
      </c>
      <c r="C2400" t="str" cm="1">
        <f t="array" ref="C2400" xml:space="preserve"> CleanText(B2400)</f>
        <v>just when i was gonna cancel netflix</v>
      </c>
      <c r="D2400">
        <v>0</v>
      </c>
      <c r="E2400">
        <v>0</v>
      </c>
      <c r="F2400" t="s">
        <v>0</v>
      </c>
      <c r="G2400" t="str" cm="1">
        <f t="array" ref="G2400" xml:space="preserve"> FindCountryName(F2400)</f>
        <v>None</v>
      </c>
      <c r="H2400" s="1">
        <v>45271.702627314815</v>
      </c>
      <c r="I2400" s="1">
        <v>45271.702627314815</v>
      </c>
      <c r="J2400" s="1">
        <v>42229.808877314812</v>
      </c>
      <c r="K2400" cm="1">
        <f t="array" ref="K2400" xml:space="preserve"> sentimentCalc(C2400)</f>
        <v>-1</v>
      </c>
      <c r="L2400" t="str" cm="1">
        <f t="array" ref="L2400" xml:space="preserve"> sentimentCategory(K2400)</f>
        <v>Negative</v>
      </c>
    </row>
    <row r="2401" spans="1:12">
      <c r="A2401" t="s">
        <v>960</v>
      </c>
      <c r="B2401" t="s">
        <v>1730</v>
      </c>
      <c r="C2401" t="str" cm="1">
        <f t="array" ref="C2401" xml:space="preserve"> CleanText(B2401)</f>
        <v>i like how the ost is the one from the show</v>
      </c>
      <c r="D2401">
        <v>0</v>
      </c>
      <c r="E2401">
        <v>0</v>
      </c>
      <c r="F2401" t="s">
        <v>0</v>
      </c>
      <c r="G2401" t="str" cm="1">
        <f t="array" ref="G2401" xml:space="preserve"> FindCountryName(F2401)</f>
        <v>None</v>
      </c>
      <c r="H2401" s="1">
        <v>45271.56559027778</v>
      </c>
      <c r="I2401" s="1">
        <v>45271.56559027778</v>
      </c>
      <c r="J2401" s="1">
        <v>42169.796678240738</v>
      </c>
      <c r="K2401" cm="1">
        <f t="array" ref="K2401" xml:space="preserve"> sentimentCalc(C2401)</f>
        <v>2</v>
      </c>
      <c r="L2401" t="str" cm="1">
        <f t="array" ref="L2401" xml:space="preserve"> sentimentCategory(K2401)</f>
        <v>Positive</v>
      </c>
    </row>
    <row r="2402" spans="1:12">
      <c r="A2402" t="s">
        <v>994</v>
      </c>
      <c r="B2402" t="s">
        <v>1729</v>
      </c>
      <c r="C2402" t="str" cm="1">
        <f t="array" ref="C2402" xml:space="preserve"> CleanText(B2402)</f>
        <v>movies will never get close to cartoons</v>
      </c>
      <c r="D2402">
        <v>0</v>
      </c>
      <c r="E2402">
        <v>0</v>
      </c>
      <c r="F2402" t="s">
        <v>0</v>
      </c>
      <c r="G2402" t="str" cm="1">
        <f t="array" ref="G2402" xml:space="preserve"> FindCountryName(F2402)</f>
        <v>None</v>
      </c>
      <c r="H2402" s="1">
        <v>45271.563587962963</v>
      </c>
      <c r="I2402" s="1">
        <v>45271.563888888886</v>
      </c>
      <c r="J2402" s="1">
        <v>40363.159421296295</v>
      </c>
      <c r="K2402" cm="1">
        <f t="array" ref="K2402" xml:space="preserve"> sentimentCalc(C2402)</f>
        <v>0</v>
      </c>
      <c r="L2402" t="str" cm="1">
        <f t="array" ref="L2402" xml:space="preserve"> sentimentCategory(K2402)</f>
        <v>Neutral</v>
      </c>
    </row>
    <row r="2403" spans="1:12">
      <c r="A2403" t="s">
        <v>1728</v>
      </c>
      <c r="B2403" t="s">
        <v>1727</v>
      </c>
      <c r="C2403" t="str" cm="1">
        <f t="array" ref="C2403" xml:space="preserve"> CleanText(B2403)</f>
        <v>no toph i really dont have high hopes for this movie</v>
      </c>
      <c r="D2403">
        <v>0</v>
      </c>
      <c r="E2403">
        <v>2</v>
      </c>
      <c r="F2403" t="s">
        <v>0</v>
      </c>
      <c r="G2403" t="str" cm="1">
        <f t="array" ref="G2403" xml:space="preserve"> FindCountryName(F2403)</f>
        <v>None</v>
      </c>
      <c r="H2403" s="1">
        <v>45271.563518518517</v>
      </c>
      <c r="I2403" s="1">
        <v>45271.563518518517</v>
      </c>
      <c r="J2403" s="1">
        <v>40482.682071759256</v>
      </c>
      <c r="K2403" cm="1">
        <f t="array" ref="K2403" xml:space="preserve"> sentimentCalc(C2403)</f>
        <v>1</v>
      </c>
      <c r="L2403" t="str" cm="1">
        <f t="array" ref="L2403" xml:space="preserve"> sentimentCategory(K2403)</f>
        <v>Positive</v>
      </c>
    </row>
    <row r="2404" spans="1:12">
      <c r="A2404" t="s">
        <v>32</v>
      </c>
      <c r="B2404" t="s">
        <v>1726</v>
      </c>
      <c r="C2404" t="str" cm="1">
        <f t="array" ref="C2404" xml:space="preserve"> CleanText(B2404)</f>
        <v>aang die in the first episode and katara is the main character</v>
      </c>
      <c r="D2404">
        <v>1</v>
      </c>
      <c r="E2404">
        <v>0</v>
      </c>
      <c r="F2404" t="s">
        <v>0</v>
      </c>
      <c r="G2404" t="str" cm="1">
        <f t="array" ref="G2404" xml:space="preserve"> FindCountryName(F2404)</f>
        <v>None</v>
      </c>
      <c r="H2404" s="1">
        <v>45271.544733796298</v>
      </c>
      <c r="I2404" s="1">
        <v>45271.544733796298</v>
      </c>
      <c r="J2404" s="1">
        <v>41470.255428240744</v>
      </c>
      <c r="K2404" cm="1">
        <f t="array" ref="K2404" xml:space="preserve"> sentimentCalc(C2404)</f>
        <v>-3</v>
      </c>
      <c r="L2404" t="str" cm="1">
        <f t="array" ref="L2404" xml:space="preserve"> sentimentCategory(K2404)</f>
        <v>Negative</v>
      </c>
    </row>
    <row r="2405" spans="1:12">
      <c r="A2405" t="s">
        <v>361</v>
      </c>
      <c r="B2405" t="s">
        <v>1725</v>
      </c>
      <c r="C2405" t="str" cm="1">
        <f t="array" ref="C2405" xml:space="preserve"> CleanText(B2405)</f>
        <v>better still have humor</v>
      </c>
      <c r="D2405">
        <v>1</v>
      </c>
      <c r="E2405">
        <v>0</v>
      </c>
      <c r="F2405" t="s">
        <v>0</v>
      </c>
      <c r="G2405" t="str" cm="1">
        <f t="array" ref="G2405" xml:space="preserve"> FindCountryName(F2405)</f>
        <v>None</v>
      </c>
      <c r="H2405" s="1">
        <v>45271.535729166666</v>
      </c>
      <c r="I2405" s="1">
        <v>45271.535729166666</v>
      </c>
      <c r="J2405" s="1">
        <v>43767.043425925927</v>
      </c>
      <c r="K2405" cm="1">
        <f t="array" ref="K2405" xml:space="preserve"> sentimentCalc(C2405)</f>
        <v>4</v>
      </c>
      <c r="L2405" t="str" cm="1">
        <f t="array" ref="L2405" xml:space="preserve"> sentimentCategory(K2405)</f>
        <v>Positive</v>
      </c>
    </row>
    <row r="2406" spans="1:12">
      <c r="A2406" t="s">
        <v>745</v>
      </c>
      <c r="B2406" t="s">
        <v>1724</v>
      </c>
      <c r="C2406" t="str" cm="1">
        <f t="array" ref="C2406" xml:space="preserve"> CleanText(B2406)</f>
        <v>now  this is way better cant wait</v>
      </c>
      <c r="D2406">
        <v>0</v>
      </c>
      <c r="E2406">
        <v>0</v>
      </c>
      <c r="F2406" t="s">
        <v>0</v>
      </c>
      <c r="G2406" t="str" cm="1">
        <f t="array" ref="G2406" xml:space="preserve"> FindCountryName(F2406)</f>
        <v>None</v>
      </c>
      <c r="H2406" s="1">
        <v>45271.481307870374</v>
      </c>
      <c r="I2406" s="1">
        <v>45271.481307870374</v>
      </c>
      <c r="J2406" s="1">
        <v>42218.55228009259</v>
      </c>
      <c r="K2406" cm="1">
        <f t="array" ref="K2406" xml:space="preserve"> sentimentCalc(C2406)</f>
        <v>2</v>
      </c>
      <c r="L2406" t="str" cm="1">
        <f t="array" ref="L2406" xml:space="preserve"> sentimentCategory(K2406)</f>
        <v>Positive</v>
      </c>
    </row>
    <row r="2407" spans="1:12">
      <c r="A2407" t="s">
        <v>516</v>
      </c>
      <c r="B2407" t="s">
        <v>1723</v>
      </c>
      <c r="C2407" t="str" cm="1">
        <f t="array" ref="C2407" xml:space="preserve"> CleanText(B2407)</f>
        <v>squeezing a 0 something episode season into only , one hour episodesthats a feat please be good_xD83D_</v>
      </c>
      <c r="D2407">
        <v>0</v>
      </c>
      <c r="E2407">
        <v>1</v>
      </c>
      <c r="F2407" t="s">
        <v>0</v>
      </c>
      <c r="G2407" t="str" cm="1">
        <f t="array" ref="G2407" xml:space="preserve"> FindCountryName(F2407)</f>
        <v>None</v>
      </c>
      <c r="H2407" s="1">
        <v>45271.470532407409</v>
      </c>
      <c r="I2407" s="1">
        <v>45271.470532407409</v>
      </c>
      <c r="J2407" s="1">
        <v>42842.962650462963</v>
      </c>
      <c r="K2407" cm="1">
        <f t="array" ref="K2407" xml:space="preserve"> sentimentCalc(C2407)</f>
        <v>1</v>
      </c>
      <c r="L2407" t="str" cm="1">
        <f t="array" ref="L2407" xml:space="preserve"> sentimentCategory(K2407)</f>
        <v>Positive</v>
      </c>
    </row>
    <row r="2408" spans="1:12">
      <c r="A2408" t="s">
        <v>221</v>
      </c>
      <c r="B2408" t="s">
        <v>1722</v>
      </c>
      <c r="C2408" t="str" cm="1">
        <f t="array" ref="C2408" xml:space="preserve"> CleanText(B2408)</f>
        <v>_xD83D_ n</v>
      </c>
      <c r="D2408">
        <v>0</v>
      </c>
      <c r="E2408">
        <v>0</v>
      </c>
      <c r="F2408" t="s">
        <v>0</v>
      </c>
      <c r="G2408" t="str" cm="1">
        <f t="array" ref="G2408" xml:space="preserve"> FindCountryName(F2408)</f>
        <v>None</v>
      </c>
      <c r="H2408" s="1">
        <v>45271.43445601852</v>
      </c>
      <c r="I2408" s="1">
        <v>45271.43445601852</v>
      </c>
      <c r="J2408" s="1">
        <v>44145.519976851851</v>
      </c>
      <c r="K2408" cm="1">
        <f t="array" ref="K2408" xml:space="preserve"> sentimentCalc(C2408)</f>
        <v>0</v>
      </c>
      <c r="L2408" t="str" cm="1">
        <f t="array" ref="L2408" xml:space="preserve"> sentimentCategory(K2408)</f>
        <v>Neutral</v>
      </c>
    </row>
    <row r="2409" spans="1:12">
      <c r="A2409" t="s">
        <v>1721</v>
      </c>
      <c r="B2409" t="s">
        <v>1720</v>
      </c>
      <c r="C2409" t="str" cm="1">
        <f t="array" ref="C2409" xml:space="preserve"> CleanText(B2409)</f>
        <v>finally a live action avatar that deserves its name tophs voice actor is so cool and shes doing reaction videos to the original show  will be such a great year hopefuly enough to erase this cumstain of a year 3 was from history</v>
      </c>
      <c r="D2409">
        <v>0</v>
      </c>
      <c r="E2409">
        <v>0</v>
      </c>
      <c r="F2409" t="s">
        <v>0</v>
      </c>
      <c r="G2409" t="str" cm="1">
        <f t="array" ref="G2409" xml:space="preserve"> FindCountryName(F2409)</f>
        <v>None</v>
      </c>
      <c r="H2409" s="1">
        <v>45271.432106481479</v>
      </c>
      <c r="I2409" s="1">
        <v>45271.434872685182</v>
      </c>
      <c r="J2409" s="1">
        <v>39043.431979166664</v>
      </c>
      <c r="K2409" cm="1">
        <f t="array" ref="K2409" xml:space="preserve"> sentimentCalc(C2409)</f>
        <v>4</v>
      </c>
      <c r="L2409" t="str" cm="1">
        <f t="array" ref="L2409" xml:space="preserve"> sentimentCategory(K2409)</f>
        <v>Positive</v>
      </c>
    </row>
    <row r="2410" spans="1:12">
      <c r="A2410" t="s">
        <v>950</v>
      </c>
      <c r="B2410" t="s">
        <v>1719</v>
      </c>
      <c r="C2410" t="str" cm="1">
        <f t="array" ref="C2410" xml:space="preserve"> CleanText(B2410)</f>
        <v>л л оо нмю у уу n</v>
      </c>
      <c r="D2410">
        <v>0</v>
      </c>
      <c r="E2410">
        <v>0</v>
      </c>
      <c r="F2410" t="s">
        <v>1718</v>
      </c>
      <c r="G2410" t="str" cm="1">
        <f t="array" ref="G2410" xml:space="preserve"> FindCountryName(F2410)</f>
        <v>Norway</v>
      </c>
      <c r="H2410" s="1">
        <v>45271.395648148151</v>
      </c>
      <c r="I2410" s="1">
        <v>45271.395648148151</v>
      </c>
      <c r="J2410" s="1">
        <v>40851.172685185185</v>
      </c>
      <c r="K2410" cm="1">
        <f t="array" ref="K2410" xml:space="preserve"> sentimentCalc(C2410)</f>
        <v>0</v>
      </c>
      <c r="L2410" t="str" cm="1">
        <f t="array" ref="L2410" xml:space="preserve"> sentimentCategory(K2410)</f>
        <v>Neutral</v>
      </c>
    </row>
    <row r="2411" spans="1:12">
      <c r="A2411" t="s">
        <v>337</v>
      </c>
      <c r="B2411" t="s">
        <v>1717</v>
      </c>
      <c r="C2411" t="str" cm="1">
        <f t="array" ref="C2411" xml:space="preserve"> CleanText(B2411)</f>
        <v>the bald hair always gets me _xDC80_</v>
      </c>
      <c r="D2411">
        <v>0</v>
      </c>
      <c r="E2411">
        <v>0</v>
      </c>
      <c r="F2411" t="s">
        <v>0</v>
      </c>
      <c r="G2411" t="str" cm="1">
        <f t="array" ref="G2411" xml:space="preserve"> FindCountryName(F2411)</f>
        <v>None</v>
      </c>
      <c r="H2411" s="1">
        <v>45271.38962962963</v>
      </c>
      <c r="I2411" s="1">
        <v>45271.38962962963</v>
      </c>
      <c r="J2411" s="1">
        <v>45125.609953703701</v>
      </c>
      <c r="K2411" cm="1">
        <f t="array" ref="K2411" xml:space="preserve"> sentimentCalc(C2411)</f>
        <v>0</v>
      </c>
      <c r="L2411" t="str" cm="1">
        <f t="array" ref="L2411" xml:space="preserve"> sentimentCategory(K2411)</f>
        <v>Neutral</v>
      </c>
    </row>
    <row r="2412" spans="1:12">
      <c r="A2412" t="s">
        <v>320</v>
      </c>
      <c r="B2412" t="s">
        <v>1716</v>
      </c>
      <c r="C2412" t="str" cm="1">
        <f t="array" ref="C2412" xml:space="preserve"> CleanText(B2412)</f>
        <v>nostalgia _xDE22_</v>
      </c>
      <c r="D2412">
        <v>0</v>
      </c>
      <c r="E2412">
        <v>0</v>
      </c>
      <c r="F2412" t="s">
        <v>0</v>
      </c>
      <c r="G2412" t="str" cm="1">
        <f t="array" ref="G2412" xml:space="preserve"> FindCountryName(F2412)</f>
        <v>None</v>
      </c>
      <c r="H2412" s="1">
        <v>45271.334548611114</v>
      </c>
      <c r="I2412" s="1">
        <v>45271.334548611114</v>
      </c>
      <c r="J2412" s="1">
        <v>44641.539282407408</v>
      </c>
      <c r="K2412" cm="1">
        <f t="array" ref="K2412" xml:space="preserve"> sentimentCalc(C2412)</f>
        <v>0</v>
      </c>
      <c r="L2412" t="str" cm="1">
        <f t="array" ref="L2412" xml:space="preserve"> sentimentCategory(K2412)</f>
        <v>Neutral</v>
      </c>
    </row>
    <row r="2413" spans="1:12">
      <c r="A2413" t="s">
        <v>1715</v>
      </c>
      <c r="B2413" t="s">
        <v>1714</v>
      </c>
      <c r="C2413" t="str" cm="1">
        <f t="array" ref="C2413" xml:space="preserve"> CleanText(B2413)</f>
        <v>dont be like the previous movie fire manipulators cannot make fire themselves they depending on the existing fire</v>
      </c>
      <c r="D2413">
        <v>0</v>
      </c>
      <c r="E2413">
        <v>0</v>
      </c>
      <c r="F2413" t="s">
        <v>771</v>
      </c>
      <c r="G2413" t="str" cm="1">
        <f t="array" ref="G2413" xml:space="preserve"> FindCountryName(F2413)</f>
        <v>Malaysia</v>
      </c>
      <c r="H2413" s="1">
        <v>45271.331643518519</v>
      </c>
      <c r="I2413" s="1">
        <v>45271.331643518519</v>
      </c>
      <c r="J2413" s="1">
        <v>43154.531793981485</v>
      </c>
      <c r="K2413" cm="1">
        <f t="array" ref="K2413" xml:space="preserve"> sentimentCalc(C2413)</f>
        <v>-4</v>
      </c>
      <c r="L2413" t="str" cm="1">
        <f t="array" ref="L2413" xml:space="preserve"> sentimentCategory(K2413)</f>
        <v>Negative</v>
      </c>
    </row>
    <row r="2414" spans="1:12">
      <c r="A2414" t="s">
        <v>445</v>
      </c>
      <c r="B2414" t="s">
        <v>1713</v>
      </c>
      <c r="C2414" t="str" cm="1">
        <f t="array" ref="C2414" xml:space="preserve"> CleanText(B2414)</f>
        <v>i m waiting for longone of mu fav cartoon seriesstill i watch on old epiths time i hope it will be better dhn old version</v>
      </c>
      <c r="D2414">
        <v>0</v>
      </c>
      <c r="E2414">
        <v>0</v>
      </c>
      <c r="F2414" t="s">
        <v>0</v>
      </c>
      <c r="G2414" t="str" cm="1">
        <f t="array" ref="G2414" xml:space="preserve"> FindCountryName(F2414)</f>
        <v>None</v>
      </c>
      <c r="H2414" s="1">
        <v>45271.288472222222</v>
      </c>
      <c r="I2414" s="1">
        <v>45271.288472222222</v>
      </c>
      <c r="J2414" s="1">
        <v>42001.372986111113</v>
      </c>
      <c r="K2414" cm="1">
        <f t="array" ref="K2414" xml:space="preserve"> sentimentCalc(C2414)</f>
        <v>4</v>
      </c>
      <c r="L2414" t="str" cm="1">
        <f t="array" ref="L2414" xml:space="preserve"> sentimentCategory(K2414)</f>
        <v>Positive</v>
      </c>
    </row>
    <row r="2415" spans="1:12">
      <c r="A2415" t="s">
        <v>407</v>
      </c>
      <c r="B2415" t="s">
        <v>1712</v>
      </c>
      <c r="C2415" t="str" cm="1">
        <f t="array" ref="C2415" xml:space="preserve"> CleanText(B2415)</f>
        <v>now this looks way cooler than the past movie</v>
      </c>
      <c r="D2415">
        <v>0</v>
      </c>
      <c r="E2415">
        <v>0</v>
      </c>
      <c r="F2415" t="s">
        <v>0</v>
      </c>
      <c r="G2415" t="str" cm="1">
        <f t="array" ref="G2415" xml:space="preserve"> FindCountryName(F2415)</f>
        <v>None</v>
      </c>
      <c r="H2415" s="1">
        <v>45271.248136574075</v>
      </c>
      <c r="I2415" s="1">
        <v>45271.248136574075</v>
      </c>
      <c r="J2415" s="1">
        <v>44483.514351851853</v>
      </c>
      <c r="K2415" cm="1">
        <f t="array" ref="K2415" xml:space="preserve"> sentimentCalc(C2415)</f>
        <v>0</v>
      </c>
      <c r="L2415" t="str" cm="1">
        <f t="array" ref="L2415" xml:space="preserve"> sentimentCategory(K2415)</f>
        <v>Neutral</v>
      </c>
    </row>
    <row r="2416" spans="1:12">
      <c r="A2416" t="s">
        <v>547</v>
      </c>
      <c r="B2416" t="s">
        <v>1711</v>
      </c>
      <c r="C2416" t="str" cm="1">
        <f t="array" ref="C2416" xml:space="preserve"> CleanText(B2416)</f>
        <v>out of</v>
      </c>
      <c r="D2416">
        <v>0</v>
      </c>
      <c r="E2416">
        <v>0</v>
      </c>
      <c r="F2416" t="s">
        <v>0</v>
      </c>
      <c r="G2416" t="str" cm="1">
        <f t="array" ref="G2416" xml:space="preserve"> FindCountryName(F2416)</f>
        <v>None</v>
      </c>
      <c r="H2416" s="1">
        <v>45271.241111111114</v>
      </c>
      <c r="I2416" s="1">
        <v>45271.241111111114</v>
      </c>
      <c r="J2416" s="1">
        <v>45254.883368055554</v>
      </c>
      <c r="K2416" cm="1">
        <f t="array" ref="K2416" xml:space="preserve"> sentimentCalc(C2416)</f>
        <v>0</v>
      </c>
      <c r="L2416" t="str" cm="1">
        <f t="array" ref="L2416" xml:space="preserve"> sentimentCategory(K2416)</f>
        <v>Neutral</v>
      </c>
    </row>
    <row r="2417" spans="1:12">
      <c r="A2417" t="s">
        <v>1710</v>
      </c>
      <c r="B2417" t="s">
        <v>1709</v>
      </c>
      <c r="C2417" t="str" cm="1">
        <f t="array" ref="C2417" xml:space="preserve"> CleanText(B2417)</f>
        <v>thats one big head_xDE05_</v>
      </c>
      <c r="D2417">
        <v>0</v>
      </c>
      <c r="E2417">
        <v>0</v>
      </c>
      <c r="F2417" t="s">
        <v>0</v>
      </c>
      <c r="G2417" t="str" cm="1">
        <f t="array" ref="G2417" xml:space="preserve"> FindCountryName(F2417)</f>
        <v>None</v>
      </c>
      <c r="H2417" s="1">
        <v>45271.140266203707</v>
      </c>
      <c r="I2417" s="1">
        <v>45271.140266203707</v>
      </c>
      <c r="J2417" s="1">
        <v>45262.558819444443</v>
      </c>
      <c r="K2417" cm="1">
        <f t="array" ref="K2417" xml:space="preserve"> sentimentCalc(C2417)</f>
        <v>1</v>
      </c>
      <c r="L2417" t="str" cm="1">
        <f t="array" ref="L2417" xml:space="preserve"> sentimentCategory(K2417)</f>
        <v>Positive</v>
      </c>
    </row>
    <row r="2418" spans="1:12">
      <c r="A2418" t="s">
        <v>887</v>
      </c>
      <c r="B2418" t="s">
        <v>1708</v>
      </c>
      <c r="C2418" t="str" cm="1">
        <f t="array" ref="C2418" xml:space="preserve"> CleanText(B2418)</f>
        <v>i checked out the cast theyll also show the cabbage merchant</v>
      </c>
      <c r="D2418">
        <v>1</v>
      </c>
      <c r="E2418">
        <v>0</v>
      </c>
      <c r="F2418" t="s">
        <v>0</v>
      </c>
      <c r="G2418" t="str" cm="1">
        <f t="array" ref="G2418" xml:space="preserve"> FindCountryName(F2418)</f>
        <v>None</v>
      </c>
      <c r="H2418" s="1">
        <v>45271.12462962963</v>
      </c>
      <c r="I2418" s="1">
        <v>45271.12462962963</v>
      </c>
      <c r="J2418" s="1">
        <v>43992.052719907406</v>
      </c>
      <c r="K2418" cm="1">
        <f t="array" ref="K2418" xml:space="preserve"> sentimentCalc(C2418)</f>
        <v>0</v>
      </c>
      <c r="L2418" t="str" cm="1">
        <f t="array" ref="L2418" xml:space="preserve"> sentimentCategory(K2418)</f>
        <v>Neutral</v>
      </c>
    </row>
    <row r="2419" spans="1:12">
      <c r="A2419" t="s">
        <v>514</v>
      </c>
      <c r="B2419" t="s">
        <v>1707</v>
      </c>
      <c r="C2419" t="str" cm="1">
        <f t="array" ref="C2419" xml:space="preserve"> CleanText(B2419)</f>
        <v>2  zuko looks his age and thats giving me chills alreadyhonestly the only thing im unsure about is the casting for sokka but im gonna put my life on the line and trust them a little here _xDE2D_</v>
      </c>
      <c r="D2419">
        <v>324</v>
      </c>
      <c r="E2419">
        <v>20</v>
      </c>
      <c r="F2419" t="s">
        <v>0</v>
      </c>
      <c r="G2419" t="str" cm="1">
        <f t="array" ref="G2419" xml:space="preserve"> FindCountryName(F2419)</f>
        <v>None</v>
      </c>
      <c r="H2419" s="1">
        <v>45271.065034722225</v>
      </c>
      <c r="I2419" s="1">
        <v>45271.065034722225</v>
      </c>
      <c r="J2419" s="1">
        <v>43945.494513888887</v>
      </c>
      <c r="K2419" cm="1">
        <f t="array" ref="K2419" xml:space="preserve"> sentimentCalc(C2419)</f>
        <v>0</v>
      </c>
      <c r="L2419" t="str" cm="1">
        <f t="array" ref="L2419" xml:space="preserve"> sentimentCategory(K2419)</f>
        <v>Neutral</v>
      </c>
    </row>
    <row r="2420" spans="1:12">
      <c r="A2420" t="s">
        <v>1089</v>
      </c>
      <c r="B2420" t="s">
        <v>1706</v>
      </c>
      <c r="C2420" t="str" cm="1">
        <f t="array" ref="C2420" xml:space="preserve"> CleanText(B2420)</f>
        <v>woooouu grande netflix</v>
      </c>
      <c r="D2420">
        <v>0</v>
      </c>
      <c r="E2420">
        <v>0</v>
      </c>
      <c r="F2420" t="s">
        <v>0</v>
      </c>
      <c r="G2420" t="str" cm="1">
        <f t="array" ref="G2420" xml:space="preserve"> FindCountryName(F2420)</f>
        <v>None</v>
      </c>
      <c r="H2420" s="1">
        <v>45271.045902777776</v>
      </c>
      <c r="I2420" s="1">
        <v>45271.045902777776</v>
      </c>
      <c r="J2420" s="1">
        <v>44881.366770833331</v>
      </c>
      <c r="K2420" cm="1">
        <f t="array" ref="K2420" xml:space="preserve"> sentimentCalc(C2420)</f>
        <v>0</v>
      </c>
      <c r="L2420" t="str" cm="1">
        <f t="array" ref="L2420" xml:space="preserve"> sentimentCategory(K2420)</f>
        <v>Neutral</v>
      </c>
    </row>
    <row r="2421" spans="1:12">
      <c r="A2421" t="s">
        <v>1705</v>
      </c>
      <c r="B2421" t="s">
        <v>1704</v>
      </c>
      <c r="C2421" t="str" cm="1">
        <f t="array" ref="C2421" xml:space="preserve"> CleanText(B2421)</f>
        <v>take my money please</v>
      </c>
      <c r="D2421">
        <v>0</v>
      </c>
      <c r="E2421">
        <v>0</v>
      </c>
      <c r="F2421" t="s">
        <v>0</v>
      </c>
      <c r="G2421" t="str" cm="1">
        <f t="array" ref="G2421" xml:space="preserve"> FindCountryName(F2421)</f>
        <v>None</v>
      </c>
      <c r="H2421" s="1">
        <v>45271.022210648145</v>
      </c>
      <c r="I2421" s="1">
        <v>45271.022210648145</v>
      </c>
      <c r="J2421" s="1">
        <v>41209.897303240738</v>
      </c>
      <c r="K2421" cm="1">
        <f t="array" ref="K2421" xml:space="preserve"> sentimentCalc(C2421)</f>
        <v>1</v>
      </c>
      <c r="L2421" t="str" cm="1">
        <f t="array" ref="L2421" xml:space="preserve"> sentimentCategory(K2421)</f>
        <v>Positive</v>
      </c>
    </row>
    <row r="2422" spans="1:12">
      <c r="A2422" t="s">
        <v>796</v>
      </c>
      <c r="B2422" t="s">
        <v>1703</v>
      </c>
      <c r="C2422" t="str" cm="1">
        <f t="array" ref="C2422" xml:space="preserve"> CleanText(B2422)</f>
        <v>the makeup looks like amateur cosplay the rest looks excellent</v>
      </c>
      <c r="D2422">
        <v>0</v>
      </c>
      <c r="E2422">
        <v>0</v>
      </c>
      <c r="F2422" t="s">
        <v>0</v>
      </c>
      <c r="G2422" t="str" cm="1">
        <f t="array" ref="G2422" xml:space="preserve"> FindCountryName(F2422)</f>
        <v>None</v>
      </c>
      <c r="H2422" s="1">
        <v>45270.973113425927</v>
      </c>
      <c r="I2422" s="1">
        <v>45270.973113425927</v>
      </c>
      <c r="J2422" s="1">
        <v>42073.50854166667</v>
      </c>
      <c r="K2422" cm="1">
        <f t="array" ref="K2422" xml:space="preserve"> sentimentCalc(C2422)</f>
        <v>5</v>
      </c>
      <c r="L2422" t="str" cm="1">
        <f t="array" ref="L2422" xml:space="preserve"> sentimentCategory(K2422)</f>
        <v>Positive</v>
      </c>
    </row>
    <row r="2423" spans="1:12">
      <c r="A2423" t="s">
        <v>56</v>
      </c>
      <c r="B2423" t="s">
        <v>1702</v>
      </c>
      <c r="C2423" t="str" cm="1">
        <f t="array" ref="C2423" xml:space="preserve"> CleanText(B2423)</f>
        <v>good luck netflix i genuinely mean that</v>
      </c>
      <c r="D2423">
        <v>0</v>
      </c>
      <c r="E2423">
        <v>0</v>
      </c>
      <c r="F2423" t="s">
        <v>0</v>
      </c>
      <c r="G2423" t="str" cm="1">
        <f t="array" ref="G2423" xml:space="preserve"> FindCountryName(F2423)</f>
        <v>None</v>
      </c>
      <c r="H2423" s="1">
        <v>45270.956608796296</v>
      </c>
      <c r="I2423" s="1">
        <v>45270.956608796296</v>
      </c>
      <c r="J2423" s="1">
        <v>41045.629918981482</v>
      </c>
      <c r="K2423" cm="1">
        <f t="array" ref="K2423" xml:space="preserve"> sentimentCalc(C2423)</f>
        <v>6</v>
      </c>
      <c r="L2423" t="str" cm="1">
        <f t="array" ref="L2423" xml:space="preserve"> sentimentCategory(K2423)</f>
        <v>Positive</v>
      </c>
    </row>
    <row r="2424" spans="1:12">
      <c r="A2424" t="s">
        <v>458</v>
      </c>
      <c r="B2424" t="s">
        <v>1701</v>
      </c>
      <c r="C2424" t="str" cm="1">
        <f t="array" ref="C2424" xml:space="preserve"> CleanText(B2424)</f>
        <v>um sonho</v>
      </c>
      <c r="D2424">
        <v>0</v>
      </c>
      <c r="E2424">
        <v>0</v>
      </c>
      <c r="F2424" t="s">
        <v>0</v>
      </c>
      <c r="G2424" t="str" cm="1">
        <f t="array" ref="G2424" xml:space="preserve"> FindCountryName(F2424)</f>
        <v>None</v>
      </c>
      <c r="H2424" s="1">
        <v>45270.930543981478</v>
      </c>
      <c r="I2424" s="1">
        <v>45270.930543981478</v>
      </c>
      <c r="J2424" s="1">
        <v>41203.551736111112</v>
      </c>
      <c r="K2424" cm="1">
        <f t="array" ref="K2424" xml:space="preserve"> sentimentCalc(C2424)</f>
        <v>0</v>
      </c>
      <c r="L2424" t="str" cm="1">
        <f t="array" ref="L2424" xml:space="preserve"> sentimentCategory(K2424)</f>
        <v>Neutral</v>
      </c>
    </row>
    <row r="2425" spans="1:12">
      <c r="A2425" t="s">
        <v>395</v>
      </c>
      <c r="B2425" t="s">
        <v>1700</v>
      </c>
      <c r="C2425" t="str" cm="1">
        <f t="array" ref="C2425" xml:space="preserve"> CleanText(B2425)</f>
        <v>is it a movie or a series either way it looks so good _xDC4D_</v>
      </c>
      <c r="D2425">
        <v>0</v>
      </c>
      <c r="E2425">
        <v>0</v>
      </c>
      <c r="F2425" t="s">
        <v>0</v>
      </c>
      <c r="G2425" t="str" cm="1">
        <f t="array" ref="G2425" xml:space="preserve"> FindCountryName(F2425)</f>
        <v>None</v>
      </c>
      <c r="H2425" s="1">
        <v>45270.930138888885</v>
      </c>
      <c r="I2425" s="1">
        <v>45270.930138888885</v>
      </c>
      <c r="J2425" s="1">
        <v>40576.696446759262</v>
      </c>
      <c r="K2425" cm="1">
        <f t="array" ref="K2425" xml:space="preserve"> sentimentCalc(C2425)</f>
        <v>3</v>
      </c>
      <c r="L2425" t="str" cm="1">
        <f t="array" ref="L2425" xml:space="preserve"> sentimentCategory(K2425)</f>
        <v>Positive</v>
      </c>
    </row>
    <row r="2426" spans="1:12">
      <c r="A2426" t="s">
        <v>1237</v>
      </c>
      <c r="B2426" t="s">
        <v>1699</v>
      </c>
      <c r="C2426" t="str" cm="1">
        <f t="array" ref="C2426" xml:space="preserve"> CleanText(B2426)</f>
        <v>this better not suck</v>
      </c>
      <c r="D2426">
        <v>1</v>
      </c>
      <c r="E2426">
        <v>0</v>
      </c>
      <c r="F2426" t="s">
        <v>0</v>
      </c>
      <c r="G2426" t="str" cm="1">
        <f t="array" ref="G2426" xml:space="preserve"> FindCountryName(F2426)</f>
        <v>None</v>
      </c>
      <c r="H2426" s="1">
        <v>45270.927789351852</v>
      </c>
      <c r="I2426" s="1">
        <v>45270.927789351852</v>
      </c>
      <c r="J2426" s="1">
        <v>45216.920451388891</v>
      </c>
      <c r="K2426" cm="1">
        <f t="array" ref="K2426" xml:space="preserve"> sentimentCalc(C2426)</f>
        <v>-1</v>
      </c>
      <c r="L2426" t="str" cm="1">
        <f t="array" ref="L2426" xml:space="preserve"> sentimentCategory(K2426)</f>
        <v>Negative</v>
      </c>
    </row>
    <row r="2427" spans="1:12">
      <c r="A2427" t="s">
        <v>255</v>
      </c>
      <c r="B2427" t="s">
        <v>1698</v>
      </c>
      <c r="C2427" t="str" cm="1">
        <f t="array" ref="C2427" xml:space="preserve"> CleanText(B2427)</f>
        <v>i thought it would be more anime</v>
      </c>
      <c r="D2427">
        <v>0</v>
      </c>
      <c r="E2427">
        <v>0</v>
      </c>
      <c r="F2427" t="s">
        <v>0</v>
      </c>
      <c r="G2427" t="str" cm="1">
        <f t="array" ref="G2427" xml:space="preserve"> FindCountryName(F2427)</f>
        <v>None</v>
      </c>
      <c r="H2427" s="1">
        <v>45270.918136574073</v>
      </c>
      <c r="I2427" s="1">
        <v>45270.918136574073</v>
      </c>
      <c r="J2427" s="1">
        <v>43420.904374999998</v>
      </c>
      <c r="K2427" cm="1">
        <f t="array" ref="K2427" xml:space="preserve"> sentimentCalc(C2427)</f>
        <v>0</v>
      </c>
      <c r="L2427" t="str" cm="1">
        <f t="array" ref="L2427" xml:space="preserve"> sentimentCategory(K2427)</f>
        <v>Neutral</v>
      </c>
    </row>
    <row r="2428" spans="1:12">
      <c r="A2428" t="s">
        <v>121</v>
      </c>
      <c r="B2428" t="s">
        <v>1697</v>
      </c>
      <c r="C2428" t="str" cm="1">
        <f t="array" ref="C2428" xml:space="preserve"> CleanText(B2428)</f>
        <v>its so sad watch this trailer  times and spent an hour looking for more info  i cant believe its been out for a month and i wasnt aware of it i just hope its good the fact that the us is involved makes me think its going to be another shit like the witcher but they still have good shows coming out mostly theyre from asian countries though</v>
      </c>
      <c r="D2428">
        <v>0</v>
      </c>
      <c r="E2428">
        <v>1</v>
      </c>
      <c r="F2428" t="s">
        <v>0</v>
      </c>
      <c r="G2428" t="str" cm="1">
        <f t="array" ref="G2428" xml:space="preserve"> FindCountryName(F2428)</f>
        <v>None</v>
      </c>
      <c r="H2428" s="1">
        <v>45270.909432870372</v>
      </c>
      <c r="I2428" s="1">
        <v>45270.909432870372</v>
      </c>
      <c r="J2428" s="1">
        <v>45221.826539351852</v>
      </c>
      <c r="K2428" cm="1">
        <f t="array" ref="K2428" xml:space="preserve"> sentimentCalc(C2428)</f>
        <v>8</v>
      </c>
      <c r="L2428" t="str" cm="1">
        <f t="array" ref="L2428" xml:space="preserve"> sentimentCategory(K2428)</f>
        <v>Positive</v>
      </c>
    </row>
    <row r="2429" spans="1:12">
      <c r="A2429" t="s">
        <v>1696</v>
      </c>
      <c r="B2429" t="s">
        <v>1695</v>
      </c>
      <c r="C2429" t="str" cm="1">
        <f t="array" ref="C2429" xml:space="preserve"> CleanText(B2429)</f>
        <v>im not gunna judge lets just hope they beat all expectations ill leave the hype</v>
      </c>
      <c r="D2429">
        <v>0</v>
      </c>
      <c r="E2429">
        <v>0</v>
      </c>
      <c r="F2429" t="s">
        <v>0</v>
      </c>
      <c r="G2429" t="str" cm="1">
        <f t="array" ref="G2429" xml:space="preserve"> FindCountryName(F2429)</f>
        <v>None</v>
      </c>
      <c r="H2429" s="1">
        <v>45270.889282407406</v>
      </c>
      <c r="I2429" s="1">
        <v>45270.889282407406</v>
      </c>
      <c r="J2429" s="1">
        <v>41463.080625000002</v>
      </c>
      <c r="K2429" cm="1">
        <f t="array" ref="K2429" xml:space="preserve"> sentimentCalc(C2429)</f>
        <v>-1</v>
      </c>
      <c r="L2429" t="str" cm="1">
        <f t="array" ref="L2429" xml:space="preserve"> sentimentCategory(K2429)</f>
        <v>Negative</v>
      </c>
    </row>
    <row r="2430" spans="1:12">
      <c r="A2430" t="s">
        <v>1694</v>
      </c>
      <c r="B2430" t="s">
        <v>1693</v>
      </c>
      <c r="C2430" t="str" cm="1">
        <f t="array" ref="C2430" xml:space="preserve"> CleanText(B2430)</f>
        <v>i just hope that azula actress would be actually hot _xDD25_</v>
      </c>
      <c r="D2430">
        <v>0</v>
      </c>
      <c r="E2430">
        <v>0</v>
      </c>
      <c r="F2430" t="s">
        <v>0</v>
      </c>
      <c r="G2430" t="str" cm="1">
        <f t="array" ref="G2430" xml:space="preserve"> FindCountryName(F2430)</f>
        <v>None</v>
      </c>
      <c r="H2430" s="1">
        <v>45270.879699074074</v>
      </c>
      <c r="I2430" s="1">
        <v>45270.879699074074</v>
      </c>
      <c r="J2430" s="1">
        <v>41479.460763888892</v>
      </c>
      <c r="K2430" cm="1">
        <f t="array" ref="K2430" xml:space="preserve"> sentimentCalc(C2430)</f>
        <v>2</v>
      </c>
      <c r="L2430" t="str" cm="1">
        <f t="array" ref="L2430" xml:space="preserve"> sentimentCategory(K2430)</f>
        <v>Positive</v>
      </c>
    </row>
    <row r="2431" spans="1:12">
      <c r="A2431" t="s">
        <v>121</v>
      </c>
      <c r="B2431" t="s">
        <v>1692</v>
      </c>
      <c r="C2431" t="str" cm="1">
        <f t="array" ref="C2431" xml:space="preserve"> CleanText(B2431)</f>
        <v>ohh youve gotten me optimistic now i swear though if youve got your left wing identity politics shit in it then im canceling my subscription</v>
      </c>
      <c r="D2431">
        <v>0</v>
      </c>
      <c r="E2431">
        <v>0</v>
      </c>
      <c r="F2431" t="s">
        <v>0</v>
      </c>
      <c r="G2431" t="str" cm="1">
        <f t="array" ref="G2431" xml:space="preserve"> FindCountryName(F2431)</f>
        <v>None</v>
      </c>
      <c r="H2431" s="1">
        <v>45270.864293981482</v>
      </c>
      <c r="I2431" s="1">
        <v>45270.864293981482</v>
      </c>
      <c r="J2431" s="1">
        <v>45221.826539351852</v>
      </c>
      <c r="K2431" cm="1">
        <f t="array" ref="K2431" xml:space="preserve"> sentimentCalc(C2431)</f>
        <v>0</v>
      </c>
      <c r="L2431" t="str" cm="1">
        <f t="array" ref="L2431" xml:space="preserve"> sentimentCategory(K2431)</f>
        <v>Neutral</v>
      </c>
    </row>
    <row r="2432" spans="1:12">
      <c r="A2432" t="s">
        <v>1552</v>
      </c>
      <c r="B2432" t="s">
        <v>1691</v>
      </c>
      <c r="C2432" t="str" cm="1">
        <f t="array" ref="C2432" xml:space="preserve"> CleanText(B2432)</f>
        <v>yes pleasethank you</v>
      </c>
      <c r="D2432">
        <v>0</v>
      </c>
      <c r="E2432">
        <v>0</v>
      </c>
      <c r="F2432" t="s">
        <v>0</v>
      </c>
      <c r="G2432" t="str" cm="1">
        <f t="array" ref="G2432" xml:space="preserve"> FindCountryName(F2432)</f>
        <v>None</v>
      </c>
      <c r="H2432" s="1">
        <v>45270.86105324074</v>
      </c>
      <c r="I2432" s="1">
        <v>45270.86105324074</v>
      </c>
      <c r="J2432" s="1">
        <v>40735.93849537037</v>
      </c>
      <c r="K2432" cm="1">
        <f t="array" ref="K2432" xml:space="preserve"> sentimentCalc(C2432)</f>
        <v>1</v>
      </c>
      <c r="L2432" t="str" cm="1">
        <f t="array" ref="L2432" xml:space="preserve"> sentimentCategory(K2432)</f>
        <v>Positive</v>
      </c>
    </row>
    <row r="2433" spans="1:12">
      <c r="A2433" t="s">
        <v>1067</v>
      </c>
      <c r="B2433" t="s">
        <v>1690</v>
      </c>
      <c r="C2433" t="str" cm="1">
        <f t="array" ref="C2433" xml:space="preserve"> CleanText(B2433)</f>
        <v>they went from turning aang into a fodder in the anime to turning aang into a god in the movie thats crazy</v>
      </c>
      <c r="D2433">
        <v>1</v>
      </c>
      <c r="E2433">
        <v>0</v>
      </c>
      <c r="F2433" t="s">
        <v>0</v>
      </c>
      <c r="G2433" t="str" cm="1">
        <f t="array" ref="G2433" xml:space="preserve"> FindCountryName(F2433)</f>
        <v>None</v>
      </c>
      <c r="H2433" s="1">
        <v>45270.83861111111</v>
      </c>
      <c r="I2433" s="1">
        <v>45270.83861111111</v>
      </c>
      <c r="J2433" s="1">
        <v>43427.72855324074</v>
      </c>
      <c r="K2433" cm="1">
        <f t="array" ref="K2433" xml:space="preserve"> sentimentCalc(C2433)</f>
        <v>-1</v>
      </c>
      <c r="L2433" t="str" cm="1">
        <f t="array" ref="L2433" xml:space="preserve"> sentimentCategory(K2433)</f>
        <v>Negative</v>
      </c>
    </row>
    <row r="2434" spans="1:12">
      <c r="A2434" t="s">
        <v>1689</v>
      </c>
      <c r="B2434" t="s">
        <v>1688</v>
      </c>
      <c r="C2434" t="str" cm="1">
        <f t="array" ref="C2434" xml:space="preserve"> CleanText(B2434)</f>
        <v>i like the the movie too</v>
      </c>
      <c r="D2434">
        <v>0</v>
      </c>
      <c r="E2434">
        <v>0</v>
      </c>
      <c r="F2434" t="s">
        <v>19</v>
      </c>
      <c r="G2434" t="str" cm="1">
        <f t="array" ref="G2434" xml:space="preserve"> FindCountryName(F2434)</f>
        <v>United States of America (the)</v>
      </c>
      <c r="H2434" s="1">
        <v>45270.820196759261</v>
      </c>
      <c r="I2434" s="1">
        <v>45270.820196759261</v>
      </c>
      <c r="J2434" s="1">
        <v>44687.538032407407</v>
      </c>
      <c r="K2434" cm="1">
        <f t="array" ref="K2434" xml:space="preserve"> sentimentCalc(C2434)</f>
        <v>2</v>
      </c>
      <c r="L2434" t="str" cm="1">
        <f t="array" ref="L2434" xml:space="preserve"> sentimentCategory(K2434)</f>
        <v>Positive</v>
      </c>
    </row>
    <row r="2435" spans="1:12">
      <c r="A2435" t="s">
        <v>1204</v>
      </c>
      <c r="B2435" t="s">
        <v>1687</v>
      </c>
      <c r="C2435" t="str" cm="1">
        <f t="array" ref="C2435" xml:space="preserve"> CleanText(B2435)</f>
        <v>this looks like a fanfilm _xDC80_</v>
      </c>
      <c r="D2435">
        <v>0</v>
      </c>
      <c r="E2435">
        <v>1</v>
      </c>
      <c r="F2435" t="s">
        <v>0</v>
      </c>
      <c r="G2435" t="str" cm="1">
        <f t="array" ref="G2435" xml:space="preserve"> FindCountryName(F2435)</f>
        <v>None</v>
      </c>
      <c r="H2435" s="1">
        <v>45270.819710648146</v>
      </c>
      <c r="I2435" s="1">
        <v>45270.819710648146</v>
      </c>
      <c r="J2435" s="1">
        <v>44133.850787037038</v>
      </c>
      <c r="K2435" cm="1">
        <f t="array" ref="K2435" xml:space="preserve"> sentimentCalc(C2435)</f>
        <v>2</v>
      </c>
      <c r="L2435" t="str" cm="1">
        <f t="array" ref="L2435" xml:space="preserve"> sentimentCategory(K2435)</f>
        <v>Positive</v>
      </c>
    </row>
    <row r="2436" spans="1:12">
      <c r="A2436" t="s">
        <v>1673</v>
      </c>
      <c r="B2436" t="s">
        <v>1686</v>
      </c>
      <c r="C2436" t="str" cm="1">
        <f t="array" ref="C2436" xml:space="preserve"> CleanText(B2436)</f>
        <v>after they nailed it with one piece i think netflix will manage that this doesnt suck either i am hyped</v>
      </c>
      <c r="D2436">
        <v>0</v>
      </c>
      <c r="E2436">
        <v>0</v>
      </c>
      <c r="F2436" t="s">
        <v>0</v>
      </c>
      <c r="G2436" t="str" cm="1">
        <f t="array" ref="G2436" xml:space="preserve"> FindCountryName(F2436)</f>
        <v>None</v>
      </c>
      <c r="H2436" s="1">
        <v>45270.815972222219</v>
      </c>
      <c r="I2436" s="1">
        <v>45270.815972222219</v>
      </c>
      <c r="J2436" s="1">
        <v>39038.796666666669</v>
      </c>
      <c r="K2436" cm="1">
        <f t="array" ref="K2436" xml:space="preserve"> sentimentCalc(C2436)</f>
        <v>-3</v>
      </c>
      <c r="L2436" t="str" cm="1">
        <f t="array" ref="L2436" xml:space="preserve"> sentimentCategory(K2436)</f>
        <v>Negative</v>
      </c>
    </row>
    <row r="2437" spans="1:12">
      <c r="A2437" t="s">
        <v>1685</v>
      </c>
      <c r="B2437" t="s">
        <v>1684</v>
      </c>
      <c r="C2437" t="str" cm="1">
        <f t="array" ref="C2437" xml:space="preserve"> CleanText(B2437)</f>
        <v>thats my 8th birthday_xDE06_</v>
      </c>
      <c r="D2437">
        <v>1</v>
      </c>
      <c r="E2437">
        <v>0</v>
      </c>
      <c r="F2437" t="s">
        <v>0</v>
      </c>
      <c r="G2437" t="str" cm="1">
        <f t="array" ref="G2437" xml:space="preserve"> FindCountryName(F2437)</f>
        <v>None</v>
      </c>
      <c r="H2437" s="1">
        <v>45270.780277777776</v>
      </c>
      <c r="I2437" s="1">
        <v>45270.780277777776</v>
      </c>
      <c r="J2437" s="1">
        <v>39970.289976851855</v>
      </c>
      <c r="K2437" cm="1">
        <f t="array" ref="K2437" xml:space="preserve"> sentimentCalc(C2437)</f>
        <v>0</v>
      </c>
      <c r="L2437" t="str" cm="1">
        <f t="array" ref="L2437" xml:space="preserve"> sentimentCategory(K2437)</f>
        <v>Neutral</v>
      </c>
    </row>
    <row r="2438" spans="1:12">
      <c r="A2438" t="s">
        <v>247</v>
      </c>
      <c r="B2438" t="s">
        <v>1683</v>
      </c>
      <c r="C2438" t="str" cm="1">
        <f t="array" ref="C2438" xml:space="preserve"> CleanText(B2438)</f>
        <v>this looks surprisingly watchable</v>
      </c>
      <c r="D2438">
        <v>0</v>
      </c>
      <c r="E2438">
        <v>0</v>
      </c>
      <c r="F2438" t="s">
        <v>0</v>
      </c>
      <c r="G2438" t="str" cm="1">
        <f t="array" ref="G2438" xml:space="preserve"> FindCountryName(F2438)</f>
        <v>None</v>
      </c>
      <c r="H2438" s="1">
        <v>45270.777824074074</v>
      </c>
      <c r="I2438" s="1">
        <v>45270.777824074074</v>
      </c>
      <c r="J2438" s="1">
        <v>43541.260567129626</v>
      </c>
      <c r="K2438" cm="1">
        <f t="array" ref="K2438" xml:space="preserve"> sentimentCalc(C2438)</f>
        <v>0</v>
      </c>
      <c r="L2438" t="str" cm="1">
        <f t="array" ref="L2438" xml:space="preserve"> sentimentCategory(K2438)</f>
        <v>Neutral</v>
      </c>
    </row>
    <row r="2439" spans="1:12">
      <c r="A2439" t="s">
        <v>320</v>
      </c>
      <c r="B2439" t="s">
        <v>1682</v>
      </c>
      <c r="C2439" t="str" cm="1">
        <f t="array" ref="C2439" xml:space="preserve"> CleanText(B2439)</f>
        <v>looks horrible</v>
      </c>
      <c r="D2439">
        <v>0</v>
      </c>
      <c r="E2439">
        <v>0</v>
      </c>
      <c r="F2439" t="s">
        <v>0</v>
      </c>
      <c r="G2439" t="str" cm="1">
        <f t="array" ref="G2439" xml:space="preserve"> FindCountryName(F2439)</f>
        <v>None</v>
      </c>
      <c r="H2439" s="1">
        <v>45270.766562500001</v>
      </c>
      <c r="I2439" s="1">
        <v>45270.766562500001</v>
      </c>
      <c r="J2439" s="1">
        <v>41867.602777777778</v>
      </c>
      <c r="K2439" cm="1">
        <f t="array" ref="K2439" xml:space="preserve"> sentimentCalc(C2439)</f>
        <v>-3</v>
      </c>
      <c r="L2439" t="str" cm="1">
        <f t="array" ref="L2439" xml:space="preserve"> sentimentCategory(K2439)</f>
        <v>Negative</v>
      </c>
    </row>
    <row r="2440" spans="1:12">
      <c r="A2440" t="s">
        <v>1681</v>
      </c>
      <c r="B2440" t="s">
        <v>1680</v>
      </c>
      <c r="C2440" t="str" cm="1">
        <f t="array" ref="C2440" xml:space="preserve"> CleanText(B2440)</f>
        <v>looks like netflix stayed true to the storyline the liveaction movie took too many shortcuts</v>
      </c>
      <c r="D2440">
        <v>0</v>
      </c>
      <c r="E2440">
        <v>0</v>
      </c>
      <c r="F2440" t="s">
        <v>0</v>
      </c>
      <c r="G2440" t="str" cm="1">
        <f t="array" ref="G2440" xml:space="preserve"> FindCountryName(F2440)</f>
        <v>None</v>
      </c>
      <c r="H2440" s="1">
        <v>45270.742939814816</v>
      </c>
      <c r="I2440" s="1">
        <v>45270.742939814816</v>
      </c>
      <c r="J2440" s="1">
        <v>40364.720219907409</v>
      </c>
      <c r="K2440" cm="1">
        <f t="array" ref="K2440" xml:space="preserve"> sentimentCalc(C2440)</f>
        <v>4</v>
      </c>
      <c r="L2440" t="str" cm="1">
        <f t="array" ref="L2440" xml:space="preserve"> sentimentCategory(K2440)</f>
        <v>Positive</v>
      </c>
    </row>
    <row r="2441" spans="1:12">
      <c r="A2441" t="s">
        <v>1170</v>
      </c>
      <c r="B2441" t="s">
        <v>1679</v>
      </c>
      <c r="C2441" t="str" cm="1">
        <f t="array" ref="C2441" xml:space="preserve"> CleanText(B2441)</f>
        <v>yussss</v>
      </c>
      <c r="D2441">
        <v>0</v>
      </c>
      <c r="E2441">
        <v>0</v>
      </c>
      <c r="F2441" t="s">
        <v>0</v>
      </c>
      <c r="G2441" t="str" cm="1">
        <f t="array" ref="G2441" xml:space="preserve"> FindCountryName(F2441)</f>
        <v>None</v>
      </c>
      <c r="H2441" s="1">
        <v>45270.731689814813</v>
      </c>
      <c r="I2441" s="1">
        <v>45270.731689814813</v>
      </c>
      <c r="J2441" s="1">
        <v>42781.018217592595</v>
      </c>
      <c r="K2441" cm="1">
        <f t="array" ref="K2441" xml:space="preserve"> sentimentCalc(C2441)</f>
        <v>0</v>
      </c>
      <c r="L2441" t="str" cm="1">
        <f t="array" ref="L2441" xml:space="preserve"> sentimentCategory(K2441)</f>
        <v>Neutral</v>
      </c>
    </row>
    <row r="2442" spans="1:12">
      <c r="A2442" t="s">
        <v>575</v>
      </c>
      <c r="B2442" t="s">
        <v>1678</v>
      </c>
      <c r="C2442" t="str" cm="1">
        <f t="array" ref="C2442" xml:space="preserve"> CleanText(B2442)</f>
        <v>looks good</v>
      </c>
      <c r="D2442">
        <v>0</v>
      </c>
      <c r="E2442">
        <v>0</v>
      </c>
      <c r="F2442" t="s">
        <v>0</v>
      </c>
      <c r="G2442" t="str" cm="1">
        <f t="array" ref="G2442" xml:space="preserve"> FindCountryName(F2442)</f>
        <v>None</v>
      </c>
      <c r="H2442" s="1">
        <v>45270.73159722222</v>
      </c>
      <c r="I2442" s="1">
        <v>45270.73159722222</v>
      </c>
      <c r="J2442" s="1">
        <v>41066.635451388887</v>
      </c>
      <c r="K2442" cm="1">
        <f t="array" ref="K2442" xml:space="preserve"> sentimentCalc(C2442)</f>
        <v>3</v>
      </c>
      <c r="L2442" t="str" cm="1">
        <f t="array" ref="L2442" xml:space="preserve"> sentimentCategory(K2442)</f>
        <v>Positive</v>
      </c>
    </row>
    <row r="2443" spans="1:12">
      <c r="A2443" t="s">
        <v>1677</v>
      </c>
      <c r="B2443" t="s">
        <v>1676</v>
      </c>
      <c r="C2443" t="str" cm="1">
        <f t="array" ref="C2443" xml:space="preserve"> CleanText(B2443)</f>
        <v>im not sure if lifting the costume design straight from the cartoon was such a good idea it looks kind of like cosplay too clean obviously fake fabrics and armour also some terrible wigs whats up with that the cgi looks great though</v>
      </c>
      <c r="D2443">
        <v>0</v>
      </c>
      <c r="E2443">
        <v>0</v>
      </c>
      <c r="F2443" t="s">
        <v>0</v>
      </c>
      <c r="G2443" t="str" cm="1">
        <f t="array" ref="G2443" xml:space="preserve"> FindCountryName(F2443)</f>
        <v>None</v>
      </c>
      <c r="H2443" s="1">
        <v>45270.715543981481</v>
      </c>
      <c r="I2443" s="1">
        <v>45270.715543981481</v>
      </c>
      <c r="J2443" s="1">
        <v>40923.621145833335</v>
      </c>
      <c r="K2443" cm="1">
        <f t="array" ref="K2443" xml:space="preserve"> sentimentCalc(C2443)</f>
        <v>7</v>
      </c>
      <c r="L2443" t="str" cm="1">
        <f t="array" ref="L2443" xml:space="preserve"> sentimentCategory(K2443)</f>
        <v>Positive</v>
      </c>
    </row>
    <row r="2444" spans="1:12">
      <c r="A2444" t="s">
        <v>1675</v>
      </c>
      <c r="B2444" t="s">
        <v>1674</v>
      </c>
      <c r="C2444" t="str" cm="1">
        <f t="array" ref="C2444" xml:space="preserve"> CleanText(B2444)</f>
        <v>netflix the show is great and with good ratings lets cancel it after season /!</v>
      </c>
      <c r="D2444">
        <v>0</v>
      </c>
      <c r="E2444">
        <v>0</v>
      </c>
      <c r="F2444" t="s">
        <v>0</v>
      </c>
      <c r="G2444" t="str" cm="1">
        <f t="array" ref="G2444" xml:space="preserve"> FindCountryName(F2444)</f>
        <v>None</v>
      </c>
      <c r="H2444" s="1">
        <v>45270.630729166667</v>
      </c>
      <c r="I2444" s="1">
        <v>45270.630729166667</v>
      </c>
      <c r="J2444" s="1">
        <v>39019.685208333336</v>
      </c>
      <c r="K2444" cm="1">
        <f t="array" ref="K2444" xml:space="preserve"> sentimentCalc(C2444)</f>
        <v>5</v>
      </c>
      <c r="L2444" t="str" cm="1">
        <f t="array" ref="L2444" xml:space="preserve"> sentimentCategory(K2444)</f>
        <v>Positive</v>
      </c>
    </row>
    <row r="2445" spans="1:12">
      <c r="A2445" t="s">
        <v>1673</v>
      </c>
      <c r="B2445" t="s">
        <v>1672</v>
      </c>
      <c r="C2445" t="str" cm="1">
        <f t="array" ref="C2445" xml:space="preserve"> CleanText(B2445)</f>
        <v>plz just follow the original and its going to b glorious</v>
      </c>
      <c r="D2445">
        <v>0</v>
      </c>
      <c r="E2445">
        <v>0</v>
      </c>
      <c r="F2445" t="s">
        <v>0</v>
      </c>
      <c r="G2445" t="str" cm="1">
        <f t="array" ref="G2445" xml:space="preserve"> FindCountryName(F2445)</f>
        <v>None</v>
      </c>
      <c r="H2445" s="1">
        <v>45270.6169212963</v>
      </c>
      <c r="I2445" s="1">
        <v>45270.6169212963</v>
      </c>
      <c r="J2445" s="1">
        <v>41084.023611111108</v>
      </c>
      <c r="K2445" cm="1">
        <f t="array" ref="K2445" xml:space="preserve"> sentimentCalc(C2445)</f>
        <v>2</v>
      </c>
      <c r="L2445" t="str" cm="1">
        <f t="array" ref="L2445" xml:space="preserve"> sentimentCategory(K2445)</f>
        <v>Positive</v>
      </c>
    </row>
    <row r="2446" spans="1:12">
      <c r="A2446" t="s">
        <v>1666</v>
      </c>
      <c r="B2446" t="s">
        <v>1671</v>
      </c>
      <c r="C2446" t="str" cm="1">
        <f t="array" ref="C2446" xml:space="preserve"> CleanText(B2446)</f>
        <v>when did guitara turn white</v>
      </c>
      <c r="D2446">
        <v>0</v>
      </c>
      <c r="E2446">
        <v>0</v>
      </c>
      <c r="F2446" t="s">
        <v>0</v>
      </c>
      <c r="G2446" t="str" cm="1">
        <f t="array" ref="G2446" xml:space="preserve"> FindCountryName(F2446)</f>
        <v>None</v>
      </c>
      <c r="H2446" s="1">
        <v>45270.616469907407</v>
      </c>
      <c r="I2446" s="1">
        <v>45270.616469907407</v>
      </c>
      <c r="J2446" s="1">
        <v>45080.943414351852</v>
      </c>
      <c r="K2446" cm="1">
        <f t="array" ref="K2446" xml:space="preserve"> sentimentCalc(C2446)</f>
        <v>0</v>
      </c>
      <c r="L2446" t="str" cm="1">
        <f t="array" ref="L2446" xml:space="preserve"> sentimentCategory(K2446)</f>
        <v>Neutral</v>
      </c>
    </row>
    <row r="2447" spans="1:12">
      <c r="A2447" t="s">
        <v>18</v>
      </c>
      <c r="B2447" t="s">
        <v>1670</v>
      </c>
      <c r="C2447" t="str" cm="1">
        <f t="array" ref="C2447" xml:space="preserve"> CleanText(B2447)</f>
        <v>at last the og background sound is back</v>
      </c>
      <c r="D2447">
        <v>0</v>
      </c>
      <c r="E2447">
        <v>0</v>
      </c>
      <c r="F2447" t="s">
        <v>0</v>
      </c>
      <c r="G2447" t="str" cm="1">
        <f t="array" ref="G2447" xml:space="preserve"> FindCountryName(F2447)</f>
        <v>None</v>
      </c>
      <c r="H2447" s="1">
        <v>45270.590810185182</v>
      </c>
      <c r="I2447" s="1">
        <v>45270.590810185182</v>
      </c>
      <c r="J2447" s="1">
        <v>43506.454525462963</v>
      </c>
      <c r="K2447" cm="1">
        <f t="array" ref="K2447" xml:space="preserve"> sentimentCalc(C2447)</f>
        <v>0</v>
      </c>
      <c r="L2447" t="str" cm="1">
        <f t="array" ref="L2447" xml:space="preserve"> sentimentCategory(K2447)</f>
        <v>Neutral</v>
      </c>
    </row>
    <row r="2448" spans="1:12">
      <c r="A2448" t="s">
        <v>1669</v>
      </c>
      <c r="B2448" t="s">
        <v>1668</v>
      </c>
      <c r="C2448" t="str" cm="1">
        <f t="array" ref="C2448" xml:space="preserve"> CleanText(B2448)</f>
        <v>trailer looks good first movie was aweful big disappointment</v>
      </c>
      <c r="D2448">
        <v>0</v>
      </c>
      <c r="E2448">
        <v>0</v>
      </c>
      <c r="F2448" t="s">
        <v>0</v>
      </c>
      <c r="G2448" t="str" cm="1">
        <f t="array" ref="G2448" xml:space="preserve"> FindCountryName(F2448)</f>
        <v>None</v>
      </c>
      <c r="H2448" s="1">
        <v>45270.538657407407</v>
      </c>
      <c r="I2448" s="1">
        <v>45270.538657407407</v>
      </c>
      <c r="J2448" s="1">
        <v>40444.94835648148</v>
      </c>
      <c r="K2448" cm="1">
        <f t="array" ref="K2448" xml:space="preserve"> sentimentCalc(C2448)</f>
        <v>2</v>
      </c>
      <c r="L2448" t="str" cm="1">
        <f t="array" ref="L2448" xml:space="preserve"> sentimentCategory(K2448)</f>
        <v>Positive</v>
      </c>
    </row>
    <row r="2449" spans="1:12">
      <c r="A2449" t="s">
        <v>571</v>
      </c>
      <c r="B2449" t="s">
        <v>1667</v>
      </c>
      <c r="C2449" t="str" cm="1">
        <f t="array" ref="C2449" xml:space="preserve"> CleanText(B2449)</f>
        <v>im actually keeping my hopes up for this i just need something like this to watch instead of the current garbage</v>
      </c>
      <c r="D2449">
        <v>0</v>
      </c>
      <c r="E2449">
        <v>0</v>
      </c>
      <c r="F2449" t="s">
        <v>0</v>
      </c>
      <c r="G2449" t="str" cm="1">
        <f t="array" ref="G2449" xml:space="preserve"> FindCountryName(F2449)</f>
        <v>None</v>
      </c>
      <c r="H2449" s="1">
        <v>45270.518819444442</v>
      </c>
      <c r="I2449" s="1">
        <v>45270.518819444442</v>
      </c>
      <c r="J2449" s="1">
        <v>40885.436400462961</v>
      </c>
      <c r="K2449" cm="1">
        <f t="array" ref="K2449" xml:space="preserve"> sentimentCalc(C2449)</f>
        <v>4</v>
      </c>
      <c r="L2449" t="str" cm="1">
        <f t="array" ref="L2449" xml:space="preserve"> sentimentCategory(K2449)</f>
        <v>Positive</v>
      </c>
    </row>
    <row r="2450" spans="1:12">
      <c r="A2450" t="s">
        <v>1666</v>
      </c>
      <c r="B2450" t="s">
        <v>1665</v>
      </c>
      <c r="C2450" t="str" cm="1">
        <f t="array" ref="C2450" xml:space="preserve"> CleanText(B2450)</f>
        <v>are we gonna see bumi or will that be season ?</v>
      </c>
      <c r="D2450">
        <v>0</v>
      </c>
      <c r="E2450">
        <v>0</v>
      </c>
      <c r="F2450" t="s">
        <v>0</v>
      </c>
      <c r="G2450" t="str" cm="1">
        <f t="array" ref="G2450" xml:space="preserve"> FindCountryName(F2450)</f>
        <v>None</v>
      </c>
      <c r="H2450" s="1">
        <v>45270.487187500003</v>
      </c>
      <c r="I2450" s="1">
        <v>45270.487187500003</v>
      </c>
      <c r="J2450" s="1">
        <v>45263.74113425926</v>
      </c>
      <c r="K2450" cm="1">
        <f t="array" ref="K2450" xml:space="preserve"> sentimentCalc(C2450)</f>
        <v>0</v>
      </c>
      <c r="L2450" t="str" cm="1">
        <f t="array" ref="L2450" xml:space="preserve"> sentimentCategory(K2450)</f>
        <v>Neutral</v>
      </c>
    </row>
    <row r="2451" spans="1:12">
      <c r="A2451" t="s">
        <v>56</v>
      </c>
      <c r="B2451" t="s">
        <v>1664</v>
      </c>
      <c r="C2451" t="str" cm="1">
        <f t="array" ref="C2451" xml:space="preserve"> CleanText(B2451)</f>
        <v>se les pas un poco la mano con las cejas de azotador jaja</v>
      </c>
      <c r="D2451">
        <v>0</v>
      </c>
      <c r="E2451">
        <v>0</v>
      </c>
      <c r="F2451" t="s">
        <v>0</v>
      </c>
      <c r="G2451" t="str" cm="1">
        <f t="array" ref="G2451" xml:space="preserve"> FindCountryName(F2451)</f>
        <v>None</v>
      </c>
      <c r="H2451" s="1">
        <v>45270.421747685185</v>
      </c>
      <c r="I2451" s="1">
        <v>45270.421747685185</v>
      </c>
      <c r="J2451" s="1">
        <v>44041.486875000002</v>
      </c>
      <c r="K2451" cm="1">
        <f t="array" ref="K2451" xml:space="preserve"> sentimentCalc(C2451)</f>
        <v>0</v>
      </c>
      <c r="L2451" t="str" cm="1">
        <f t="array" ref="L2451" xml:space="preserve"> sentimentCategory(K2451)</f>
        <v>Neutral</v>
      </c>
    </row>
    <row r="2452" spans="1:12">
      <c r="A2452" t="s">
        <v>304</v>
      </c>
      <c r="B2452" t="s">
        <v>1663</v>
      </c>
      <c r="C2452" t="str" cm="1">
        <f t="array" ref="C2452" xml:space="preserve"> CleanText(B2452)</f>
        <v>hopefully this one is actually good</v>
      </c>
      <c r="D2452">
        <v>0</v>
      </c>
      <c r="E2452">
        <v>0</v>
      </c>
      <c r="F2452" t="s">
        <v>0</v>
      </c>
      <c r="G2452" t="str" cm="1">
        <f t="array" ref="G2452" xml:space="preserve"> FindCountryName(F2452)</f>
        <v>None</v>
      </c>
      <c r="H2452" s="1">
        <v>45270.419016203705</v>
      </c>
      <c r="I2452" s="1">
        <v>45270.419016203705</v>
      </c>
      <c r="J2452" s="1">
        <v>41635.480023148149</v>
      </c>
      <c r="K2452" cm="1">
        <f t="array" ref="K2452" xml:space="preserve"> sentimentCalc(C2452)</f>
        <v>5</v>
      </c>
      <c r="L2452" t="str" cm="1">
        <f t="array" ref="L2452" xml:space="preserve"> sentimentCategory(K2452)</f>
        <v>Positive</v>
      </c>
    </row>
    <row r="2453" spans="1:12">
      <c r="A2453" t="s">
        <v>1662</v>
      </c>
      <c r="B2453" t="s">
        <v>1661</v>
      </c>
      <c r="C2453" t="str" cm="1">
        <f t="array" ref="C2453" xml:space="preserve"> CleanText(B2453)</f>
        <v>i think netflix really dropped the ball here aang should have been black what a missed opportunity</v>
      </c>
      <c r="D2453">
        <v>0</v>
      </c>
      <c r="E2453">
        <v>0</v>
      </c>
      <c r="F2453" t="s">
        <v>0</v>
      </c>
      <c r="G2453" t="str" cm="1">
        <f t="array" ref="G2453" xml:space="preserve"> FindCountryName(F2453)</f>
        <v>None</v>
      </c>
      <c r="H2453" s="1">
        <v>45270.411099537036</v>
      </c>
      <c r="I2453" s="1">
        <v>45270.411099537036</v>
      </c>
      <c r="J2453" s="1">
        <v>40098.674004629633</v>
      </c>
      <c r="K2453" cm="1">
        <f t="array" ref="K2453" xml:space="preserve"> sentimentCalc(C2453)</f>
        <v>0</v>
      </c>
      <c r="L2453" t="str" cm="1">
        <f t="array" ref="L2453" xml:space="preserve"> sentimentCategory(K2453)</f>
        <v>Neutral</v>
      </c>
    </row>
    <row r="2454" spans="1:12">
      <c r="A2454" t="s">
        <v>508</v>
      </c>
      <c r="B2454" t="s">
        <v>1660</v>
      </c>
      <c r="C2454" t="str" cm="1">
        <f t="array" ref="C2454" xml:space="preserve"> CleanText(B2454)</f>
        <v>yall are making it happen good luck im so hype</v>
      </c>
      <c r="D2454">
        <v>0</v>
      </c>
      <c r="E2454">
        <v>0</v>
      </c>
      <c r="F2454" t="s">
        <v>0</v>
      </c>
      <c r="G2454" t="str" cm="1">
        <f t="array" ref="G2454" xml:space="preserve"> FindCountryName(F2454)</f>
        <v>None</v>
      </c>
      <c r="H2454" s="1">
        <v>45270.404062499998</v>
      </c>
      <c r="I2454" s="1">
        <v>45270.404062499998</v>
      </c>
      <c r="J2454" s="1">
        <v>41524.479849537034</v>
      </c>
      <c r="K2454" cm="1">
        <f t="array" ref="K2454" xml:space="preserve"> sentimentCalc(C2454)</f>
        <v>6</v>
      </c>
      <c r="L2454" t="str" cm="1">
        <f t="array" ref="L2454" xml:space="preserve"> sentimentCategory(K2454)</f>
        <v>Positive</v>
      </c>
    </row>
    <row r="2455" spans="1:12">
      <c r="A2455" t="s">
        <v>76</v>
      </c>
      <c r="B2455" t="s">
        <v>1659</v>
      </c>
      <c r="C2455" t="str" cm="1">
        <f t="array" ref="C2455" xml:space="preserve"> CleanText(B2455)</f>
        <v>lets jst accept netflix fuckdup nd ruining the nostalgia _xDE11_ one piece successfully ruinednow avatar atleast they could have tried animeand alot other content</v>
      </c>
      <c r="D2455">
        <v>0</v>
      </c>
      <c r="E2455">
        <v>0</v>
      </c>
      <c r="F2455" t="s">
        <v>0</v>
      </c>
      <c r="G2455" t="str" cm="1">
        <f t="array" ref="G2455" xml:space="preserve"> FindCountryName(F2455)</f>
        <v>None</v>
      </c>
      <c r="H2455" s="1">
        <v>45270.398472222223</v>
      </c>
      <c r="I2455" s="1">
        <v>45270.398472222223</v>
      </c>
      <c r="J2455" s="1">
        <v>44192.228564814817</v>
      </c>
      <c r="K2455" cm="1">
        <f t="array" ref="K2455" xml:space="preserve"> sentimentCalc(C2455)</f>
        <v>-1</v>
      </c>
      <c r="L2455" t="str" cm="1">
        <f t="array" ref="L2455" xml:space="preserve"> sentimentCategory(K2455)</f>
        <v>Negative</v>
      </c>
    </row>
    <row r="2456" spans="1:12">
      <c r="A2456" t="s">
        <v>1636</v>
      </c>
      <c r="B2456" t="s">
        <v>1658</v>
      </c>
      <c r="C2456" t="str" cm="1">
        <f t="array" ref="C2456" xml:space="preserve"> CleanText(B2456)</f>
        <v>is this gonna be a movie or a show</v>
      </c>
      <c r="D2456">
        <v>0</v>
      </c>
      <c r="E2456">
        <v>0</v>
      </c>
      <c r="F2456" t="s">
        <v>0</v>
      </c>
      <c r="G2456" t="str" cm="1">
        <f t="array" ref="G2456" xml:space="preserve"> FindCountryName(F2456)</f>
        <v>None</v>
      </c>
      <c r="H2456" s="1">
        <v>45270.384664351855</v>
      </c>
      <c r="I2456" s="1">
        <v>45270.384664351855</v>
      </c>
      <c r="J2456" s="1">
        <v>45161.882407407407</v>
      </c>
      <c r="K2456" cm="1">
        <f t="array" ref="K2456" xml:space="preserve"> sentimentCalc(C2456)</f>
        <v>0</v>
      </c>
      <c r="L2456" t="str" cm="1">
        <f t="array" ref="L2456" xml:space="preserve"> sentimentCategory(K2456)</f>
        <v>Neutral</v>
      </c>
    </row>
    <row r="2457" spans="1:12">
      <c r="A2457" t="s">
        <v>231</v>
      </c>
      <c r="B2457" t="s">
        <v>1657</v>
      </c>
      <c r="C2457" t="str" cm="1">
        <f t="array" ref="C2457" xml:space="preserve"> CleanText(B2457)</f>
        <v>please dont im scared i love this show too much for this to be bad</v>
      </c>
      <c r="D2457">
        <v>0</v>
      </c>
      <c r="E2457">
        <v>0</v>
      </c>
      <c r="F2457" t="s">
        <v>0</v>
      </c>
      <c r="G2457" t="str" cm="1">
        <f t="array" ref="G2457" xml:space="preserve"> FindCountryName(F2457)</f>
        <v>None</v>
      </c>
      <c r="H2457" s="1">
        <v>45270.344583333332</v>
      </c>
      <c r="I2457" s="1">
        <v>45270.344583333332</v>
      </c>
      <c r="J2457" s="1">
        <v>41976.452881944446</v>
      </c>
      <c r="K2457" cm="1">
        <f t="array" ref="K2457" xml:space="preserve"> sentimentCalc(C2457)</f>
        <v>-1</v>
      </c>
      <c r="L2457" t="str" cm="1">
        <f t="array" ref="L2457" xml:space="preserve"> sentimentCategory(K2457)</f>
        <v>Negative</v>
      </c>
    </row>
    <row r="2458" spans="1:12">
      <c r="A2458" t="s">
        <v>18</v>
      </c>
      <c r="B2458" t="s">
        <v>1656</v>
      </c>
      <c r="C2458" t="str" cm="1">
        <f t="array" ref="C2458" xml:space="preserve"> CleanText(B2458)</f>
        <v>my god even the details in appas fur when flying the details alone make it worth watching</v>
      </c>
      <c r="D2458">
        <v>35</v>
      </c>
      <c r="E2458">
        <v>1</v>
      </c>
      <c r="F2458" t="s">
        <v>0</v>
      </c>
      <c r="G2458" t="str" cm="1">
        <f t="array" ref="G2458" xml:space="preserve"> FindCountryName(F2458)</f>
        <v>None</v>
      </c>
      <c r="H2458" s="1">
        <v>45270.343634259261</v>
      </c>
      <c r="I2458" s="1">
        <v>45270.343634259261</v>
      </c>
      <c r="J2458" s="1">
        <v>42862.651747685188</v>
      </c>
      <c r="K2458" cm="1">
        <f t="array" ref="K2458" xml:space="preserve"> sentimentCalc(C2458)</f>
        <v>1</v>
      </c>
      <c r="L2458" t="str" cm="1">
        <f t="array" ref="L2458" xml:space="preserve"> sentimentCategory(K2458)</f>
        <v>Positive</v>
      </c>
    </row>
    <row r="2459" spans="1:12">
      <c r="A2459" t="s">
        <v>291</v>
      </c>
      <c r="B2459" t="s">
        <v>1655</v>
      </c>
      <c r="C2459" t="str" cm="1">
        <f t="array" ref="C2459" xml:space="preserve"> CleanText(B2459)</f>
        <v>equally going to suck</v>
      </c>
      <c r="D2459">
        <v>0</v>
      </c>
      <c r="E2459">
        <v>0</v>
      </c>
      <c r="F2459" t="s">
        <v>0</v>
      </c>
      <c r="G2459" t="str" cm="1">
        <f t="array" ref="G2459" xml:space="preserve"> FindCountryName(F2459)</f>
        <v>None</v>
      </c>
      <c r="H2459" s="1">
        <v>45270.338043981479</v>
      </c>
      <c r="I2459" s="1">
        <v>45270.338043981479</v>
      </c>
      <c r="J2459" s="1">
        <v>41504.86204861111</v>
      </c>
      <c r="K2459" cm="1">
        <f t="array" ref="K2459" xml:space="preserve"> sentimentCalc(C2459)</f>
        <v>-3</v>
      </c>
      <c r="L2459" t="str" cm="1">
        <f t="array" ref="L2459" xml:space="preserve"> sentimentCategory(K2459)</f>
        <v>Negative</v>
      </c>
    </row>
    <row r="2460" spans="1:12">
      <c r="A2460" t="s">
        <v>564</v>
      </c>
      <c r="B2460" t="s">
        <v>1654</v>
      </c>
      <c r="C2460" t="str" cm="1">
        <f t="array" ref="C2460" xml:space="preserve"> CleanText(B2460)</f>
        <v>the difference between this and it the dumpster fire is this is actually made by the actual creators of avatar</v>
      </c>
      <c r="D2460">
        <v>0</v>
      </c>
      <c r="E2460">
        <v>0</v>
      </c>
      <c r="F2460" t="s">
        <v>0</v>
      </c>
      <c r="G2460" t="str" cm="1">
        <f t="array" ref="G2460" xml:space="preserve"> FindCountryName(F2460)</f>
        <v>None</v>
      </c>
      <c r="H2460" s="1">
        <v>45270.321296296293</v>
      </c>
      <c r="I2460" s="1">
        <v>45270.321296296293</v>
      </c>
      <c r="J2460" s="1">
        <v>41231.417187500003</v>
      </c>
      <c r="K2460" cm="1">
        <f t="array" ref="K2460" xml:space="preserve"> sentimentCalc(C2460)</f>
        <v>-2</v>
      </c>
      <c r="L2460" t="str" cm="1">
        <f t="array" ref="L2460" xml:space="preserve"> sentimentCategory(K2460)</f>
        <v>Negative</v>
      </c>
    </row>
    <row r="2461" spans="1:12">
      <c r="A2461" t="s">
        <v>1653</v>
      </c>
      <c r="B2461" t="s">
        <v>1652</v>
      </c>
      <c r="C2461" t="str" cm="1">
        <f t="array" ref="C2461" xml:space="preserve"> CleanText(B2461)</f>
        <v>for everyone whining over the movie suck it up go rewatch the movie and only start comparing it to the show after its done yes some bits are cut out when a show gets turned into a movie some filler would get cut out even if it did help with worldbuilding however if it was given the chance at a sequel or trilogy it wouldnt be seen as the horrid memory you claim it to beand from the looks of this teaser it looks a bit too fake as if its a play where the actors have perfect makeup and their costumes have never even had a spec of dust on them before if that sounds familiar congratulations youve watched the show</v>
      </c>
      <c r="D2461">
        <v>0</v>
      </c>
      <c r="E2461">
        <v>1</v>
      </c>
      <c r="F2461" t="s">
        <v>0</v>
      </c>
      <c r="G2461" t="str" cm="1">
        <f t="array" ref="G2461" xml:space="preserve"> FindCountryName(F2461)</f>
        <v>None</v>
      </c>
      <c r="H2461" s="1">
        <v>45270.312511574077</v>
      </c>
      <c r="I2461" s="1">
        <v>45270.312511574077</v>
      </c>
      <c r="J2461" s="1">
        <v>41831.505856481483</v>
      </c>
      <c r="K2461" cm="1">
        <f t="array" ref="K2461" xml:space="preserve"> sentimentCalc(C2461)</f>
        <v>2</v>
      </c>
      <c r="L2461" t="str" cm="1">
        <f t="array" ref="L2461" xml:space="preserve"> sentimentCategory(K2461)</f>
        <v>Positive</v>
      </c>
    </row>
    <row r="2462" spans="1:12">
      <c r="A2462" t="s">
        <v>47</v>
      </c>
      <c r="B2462" t="s">
        <v>1651</v>
      </c>
      <c r="C2462" t="str" cm="1">
        <f t="array" ref="C2462" xml:space="preserve"> CleanText(B2462)</f>
        <v>live action of anime always feel so terrible the characters just never translate over to real life looks terrible</v>
      </c>
      <c r="D2462">
        <v>0</v>
      </c>
      <c r="E2462">
        <v>0</v>
      </c>
      <c r="F2462" t="s">
        <v>0</v>
      </c>
      <c r="G2462" t="str" cm="1">
        <f t="array" ref="G2462" xml:space="preserve"> FindCountryName(F2462)</f>
        <v>None</v>
      </c>
      <c r="H2462" s="1">
        <v>45270.3049537037</v>
      </c>
      <c r="I2462" s="1">
        <v>45270.3049537037</v>
      </c>
      <c r="J2462" s="1">
        <v>44672.089918981481</v>
      </c>
      <c r="K2462" cm="1">
        <f t="array" ref="K2462" xml:space="preserve"> sentimentCalc(C2462)</f>
        <v>-6</v>
      </c>
      <c r="L2462" t="str" cm="1">
        <f t="array" ref="L2462" xml:space="preserve"> sentimentCategory(K2462)</f>
        <v>Negative</v>
      </c>
    </row>
    <row r="2463" spans="1:12">
      <c r="A2463" t="s">
        <v>697</v>
      </c>
      <c r="B2463" t="s">
        <v>1650</v>
      </c>
      <c r="C2463" t="str" cm="1">
        <f t="array" ref="C2463" xml:space="preserve"> CleanText(B2463)</f>
        <v>how do you even put  seasons worth of material into a movie</v>
      </c>
      <c r="D2463">
        <v>0</v>
      </c>
      <c r="E2463">
        <v>1</v>
      </c>
      <c r="F2463" t="s">
        <v>0</v>
      </c>
      <c r="G2463" t="str" cm="1">
        <f t="array" ref="G2463" xml:space="preserve"> FindCountryName(F2463)</f>
        <v>None</v>
      </c>
      <c r="H2463" s="1">
        <v>45270.270671296297</v>
      </c>
      <c r="I2463" s="1">
        <v>45270.270671296297</v>
      </c>
      <c r="J2463" s="1">
        <v>41752.092615740738</v>
      </c>
      <c r="K2463" cm="1">
        <f t="array" ref="K2463" xml:space="preserve"> sentimentCalc(C2463)</f>
        <v>2</v>
      </c>
      <c r="L2463" t="str" cm="1">
        <f t="array" ref="L2463" xml:space="preserve"> sentimentCategory(K2463)</f>
        <v>Positive</v>
      </c>
    </row>
    <row r="2464" spans="1:12">
      <c r="A2464" t="s">
        <v>1140</v>
      </c>
      <c r="B2464" t="s">
        <v>1649</v>
      </c>
      <c r="C2464" t="str" cm="1">
        <f t="array" ref="C2464" xml:space="preserve"> CleanText(B2464)</f>
        <v>characters look like trash</v>
      </c>
      <c r="D2464">
        <v>0</v>
      </c>
      <c r="E2464">
        <v>0</v>
      </c>
      <c r="F2464" t="s">
        <v>0</v>
      </c>
      <c r="G2464" t="str" cm="1">
        <f t="array" ref="G2464" xml:space="preserve"> FindCountryName(F2464)</f>
        <v>None</v>
      </c>
      <c r="H2464" s="1">
        <v>45270.26898148148</v>
      </c>
      <c r="I2464" s="1">
        <v>45270.26898148148</v>
      </c>
      <c r="J2464" s="1">
        <v>39343.023472222223</v>
      </c>
      <c r="K2464" cm="1">
        <f t="array" ref="K2464" xml:space="preserve"> sentimentCalc(C2464)</f>
        <v>2</v>
      </c>
      <c r="L2464" t="str" cm="1">
        <f t="array" ref="L2464" xml:space="preserve"> sentimentCategory(K2464)</f>
        <v>Positive</v>
      </c>
    </row>
    <row r="2465" spans="1:12">
      <c r="A2465" t="s">
        <v>1648</v>
      </c>
      <c r="B2465" t="s">
        <v>1647</v>
      </c>
      <c r="C2465" t="str" cm="1">
        <f t="array" ref="C2465" xml:space="preserve"> CleanText(B2465)</f>
        <v>bald lul</v>
      </c>
      <c r="D2465">
        <v>0</v>
      </c>
      <c r="E2465">
        <v>0</v>
      </c>
      <c r="F2465" t="s">
        <v>0</v>
      </c>
      <c r="G2465" t="str" cm="1">
        <f t="array" ref="G2465" xml:space="preserve"> FindCountryName(F2465)</f>
        <v>None</v>
      </c>
      <c r="H2465" s="1">
        <v>45270.209606481483</v>
      </c>
      <c r="I2465" s="1">
        <v>45270.209606481483</v>
      </c>
      <c r="J2465" s="1">
        <v>41020.486979166664</v>
      </c>
      <c r="K2465" cm="1">
        <f t="array" ref="K2465" xml:space="preserve"> sentimentCalc(C2465)</f>
        <v>0</v>
      </c>
      <c r="L2465" t="str" cm="1">
        <f t="array" ref="L2465" xml:space="preserve"> sentimentCategory(K2465)</f>
        <v>Neutral</v>
      </c>
    </row>
    <row r="2466" spans="1:12">
      <c r="A2466" t="s">
        <v>1646</v>
      </c>
      <c r="B2466" t="s">
        <v>1645</v>
      </c>
      <c r="C2466" t="str" cm="1">
        <f t="array" ref="C2466" xml:space="preserve"> CleanText(B2466)</f>
        <v>if they introduce a gay couple imma be real mad</v>
      </c>
      <c r="D2466">
        <v>0</v>
      </c>
      <c r="E2466">
        <v>0</v>
      </c>
      <c r="F2466" t="s">
        <v>768</v>
      </c>
      <c r="G2466" t="str" cm="1">
        <f t="array" ref="G2466" xml:space="preserve"> FindCountryName(F2466)</f>
        <v>Romania</v>
      </c>
      <c r="H2466" s="1">
        <v>45270.205324074072</v>
      </c>
      <c r="I2466" s="1">
        <v>45270.205324074072</v>
      </c>
      <c r="J2466" s="1">
        <v>42191.540821759256</v>
      </c>
      <c r="K2466" cm="1">
        <f t="array" ref="K2466" xml:space="preserve"> sentimentCalc(C2466)</f>
        <v>-3</v>
      </c>
      <c r="L2466" t="str" cm="1">
        <f t="array" ref="L2466" xml:space="preserve"> sentimentCategory(K2466)</f>
        <v>Negative</v>
      </c>
    </row>
    <row r="2467" spans="1:12">
      <c r="A2467" t="s">
        <v>1644</v>
      </c>
      <c r="B2467" t="s">
        <v>1643</v>
      </c>
      <c r="C2467" t="str" cm="1">
        <f t="array" ref="C2467" xml:space="preserve"> CleanText(B2467)</f>
        <v>the voice behind is avatar roku</v>
      </c>
      <c r="D2467">
        <v>0</v>
      </c>
      <c r="E2467">
        <v>0</v>
      </c>
      <c r="F2467" t="s">
        <v>0</v>
      </c>
      <c r="G2467" t="str" cm="1">
        <f t="array" ref="G2467" xml:space="preserve"> FindCountryName(F2467)</f>
        <v>None</v>
      </c>
      <c r="H2467" s="1">
        <v>45270.16673611111</v>
      </c>
      <c r="I2467" s="1">
        <v>45270.16673611111</v>
      </c>
      <c r="J2467" s="1">
        <v>44214.289849537039</v>
      </c>
      <c r="K2467" cm="1">
        <f t="array" ref="K2467" xml:space="preserve"> sentimentCalc(C2467)</f>
        <v>0</v>
      </c>
      <c r="L2467" t="str" cm="1">
        <f t="array" ref="L2467" xml:space="preserve"> sentimentCategory(K2467)</f>
        <v>Neutral</v>
      </c>
    </row>
    <row r="2468" spans="1:12">
      <c r="A2468" t="s">
        <v>255</v>
      </c>
      <c r="B2468" t="s">
        <v>1642</v>
      </c>
      <c r="C2468" t="str" cm="1">
        <f t="array" ref="C2468" xml:space="preserve"> CleanText(B2468)</f>
        <v>please netflix dont ruin this one</v>
      </c>
      <c r="D2468">
        <v>0</v>
      </c>
      <c r="E2468">
        <v>0</v>
      </c>
      <c r="F2468" t="s">
        <v>0</v>
      </c>
      <c r="G2468" t="str" cm="1">
        <f t="array" ref="G2468" xml:space="preserve"> FindCountryName(F2468)</f>
        <v>None</v>
      </c>
      <c r="H2468" s="1">
        <v>45270.146909722222</v>
      </c>
      <c r="I2468" s="1">
        <v>45270.146909722222</v>
      </c>
      <c r="J2468" s="1">
        <v>42468.957615740743</v>
      </c>
      <c r="K2468" cm="1">
        <f t="array" ref="K2468" xml:space="preserve"> sentimentCalc(C2468)</f>
        <v>-1</v>
      </c>
      <c r="L2468" t="str" cm="1">
        <f t="array" ref="L2468" xml:space="preserve"> sentimentCategory(K2468)</f>
        <v>Negative</v>
      </c>
    </row>
    <row r="2469" spans="1:12">
      <c r="A2469" t="s">
        <v>1200</v>
      </c>
      <c r="B2469" t="s">
        <v>1641</v>
      </c>
      <c r="C2469" t="str" cm="1">
        <f t="array" ref="C2469" xml:space="preserve"> CleanText(B2469)</f>
        <v>looks promising but im scared to get my hopes up</v>
      </c>
      <c r="D2469">
        <v>0</v>
      </c>
      <c r="E2469">
        <v>0</v>
      </c>
      <c r="F2469" t="s">
        <v>0</v>
      </c>
      <c r="G2469" t="str" cm="1">
        <f t="array" ref="G2469" xml:space="preserve"> FindCountryName(F2469)</f>
        <v>None</v>
      </c>
      <c r="H2469" s="1">
        <v>45270.080428240741</v>
      </c>
      <c r="I2469" s="1">
        <v>45270.080428240741</v>
      </c>
      <c r="J2469" s="1">
        <v>41650.620381944442</v>
      </c>
      <c r="K2469" cm="1">
        <f t="array" ref="K2469" xml:space="preserve"> sentimentCalc(C2469)</f>
        <v>0</v>
      </c>
      <c r="L2469" t="str" cm="1">
        <f t="array" ref="L2469" xml:space="preserve"> sentimentCategory(K2469)</f>
        <v>Neutral</v>
      </c>
    </row>
    <row r="2470" spans="1:12">
      <c r="A2470" t="s">
        <v>221</v>
      </c>
      <c r="B2470" t="s">
        <v>1640</v>
      </c>
      <c r="C2470" t="str" cm="1">
        <f t="array" ref="C2470" xml:space="preserve"> CleanText(B2470)</f>
        <v>hopefully the makes trilogies _xDD25_  now  later</v>
      </c>
      <c r="D2470">
        <v>0</v>
      </c>
      <c r="E2470">
        <v>0</v>
      </c>
      <c r="F2470" t="s">
        <v>0</v>
      </c>
      <c r="G2470" t="str" cm="1">
        <f t="array" ref="G2470" xml:space="preserve"> FindCountryName(F2470)</f>
        <v>None</v>
      </c>
      <c r="H2470" s="1">
        <v>45270.049224537041</v>
      </c>
      <c r="I2470" s="1">
        <v>45270.049224537041</v>
      </c>
      <c r="J2470" s="1">
        <v>40556.917731481481</v>
      </c>
      <c r="K2470" cm="1">
        <f t="array" ref="K2470" xml:space="preserve"> sentimentCalc(C2470)</f>
        <v>2</v>
      </c>
      <c r="L2470" t="str" cm="1">
        <f t="array" ref="L2470" xml:space="preserve"> sentimentCategory(K2470)</f>
        <v>Positive</v>
      </c>
    </row>
    <row r="2471" spans="1:12">
      <c r="A2471" t="s">
        <v>619</v>
      </c>
      <c r="B2471" t="s">
        <v>1639</v>
      </c>
      <c r="C2471" t="str" cm="1">
        <f t="array" ref="C2471" xml:space="preserve"> CleanText(B2471)</f>
        <v>appa he looks so awesome yaaaaaaaaaaay</v>
      </c>
      <c r="D2471">
        <v>0</v>
      </c>
      <c r="E2471">
        <v>0</v>
      </c>
      <c r="F2471" t="s">
        <v>0</v>
      </c>
      <c r="G2471" t="str" cm="1">
        <f t="array" ref="G2471" xml:space="preserve"> FindCountryName(F2471)</f>
        <v>None</v>
      </c>
      <c r="H2471" s="1">
        <v>45270.045138888891</v>
      </c>
      <c r="I2471" s="1">
        <v>45270.045138888891</v>
      </c>
      <c r="J2471" s="1">
        <v>40393.490057870367</v>
      </c>
      <c r="K2471" cm="1">
        <f t="array" ref="K2471" xml:space="preserve"> sentimentCalc(C2471)</f>
        <v>4</v>
      </c>
      <c r="L2471" t="str" cm="1">
        <f t="array" ref="L2471" xml:space="preserve"> sentimentCategory(K2471)</f>
        <v>Positive</v>
      </c>
    </row>
    <row r="2472" spans="1:12">
      <c r="A2472" t="s">
        <v>1638</v>
      </c>
      <c r="B2472" t="s">
        <v>1637</v>
      </c>
      <c r="C2472" t="str" cm="1">
        <f t="array" ref="C2472" xml:space="preserve"> CleanText(B2472)</f>
        <v>where are all of the eastern indians</v>
      </c>
      <c r="D2472">
        <v>0</v>
      </c>
      <c r="E2472">
        <v>0</v>
      </c>
      <c r="F2472" t="s">
        <v>0</v>
      </c>
      <c r="G2472" t="str" cm="1">
        <f t="array" ref="G2472" xml:space="preserve"> FindCountryName(F2472)</f>
        <v>None</v>
      </c>
      <c r="H2472" s="1">
        <v>45270.020844907405</v>
      </c>
      <c r="I2472" s="1">
        <v>45270.020844907405</v>
      </c>
      <c r="J2472" s="1">
        <v>39255.691666666666</v>
      </c>
      <c r="K2472" cm="1">
        <f t="array" ref="K2472" xml:space="preserve"> sentimentCalc(C2472)</f>
        <v>0</v>
      </c>
      <c r="L2472" t="str" cm="1">
        <f t="array" ref="L2472" xml:space="preserve"> sentimentCategory(K2472)</f>
        <v>Neutral</v>
      </c>
    </row>
    <row r="2473" spans="1:12">
      <c r="A2473" t="s">
        <v>1636</v>
      </c>
      <c r="B2473" t="s">
        <v>1635</v>
      </c>
      <c r="C2473" t="str" cm="1">
        <f t="array" ref="C2473" xml:space="preserve"> CleanText(B2473)</f>
        <v>i never understood why people say netflix is washed they actually got some of the best originalsexclusives of any streaming platform cyberpunk arcane nimona blue eye samurai castlevania one piece now avatar</v>
      </c>
      <c r="D2473">
        <v>0</v>
      </c>
      <c r="E2473">
        <v>0</v>
      </c>
      <c r="F2473" t="s">
        <v>0</v>
      </c>
      <c r="G2473" t="str" cm="1">
        <f t="array" ref="G2473" xml:space="preserve"> FindCountryName(F2473)</f>
        <v>None</v>
      </c>
      <c r="H2473" s="1">
        <v>45269.987800925926</v>
      </c>
      <c r="I2473" s="1">
        <v>45269.988923611112</v>
      </c>
      <c r="J2473" s="1">
        <v>45136.735752314817</v>
      </c>
      <c r="K2473" cm="1">
        <f t="array" ref="K2473" xml:space="preserve"> sentimentCalc(C2473)</f>
        <v>3</v>
      </c>
      <c r="L2473" t="str" cm="1">
        <f t="array" ref="L2473" xml:space="preserve"> sentimentCategory(K2473)</f>
        <v>Positive</v>
      </c>
    </row>
    <row r="2474" spans="1:12">
      <c r="A2474" t="s">
        <v>1634</v>
      </c>
      <c r="B2474" t="s">
        <v>1633</v>
      </c>
      <c r="C2474" t="str" cm="1">
        <f t="array" ref="C2474" xml:space="preserve"> CleanText(B2474)</f>
        <v>amazing how great it looks super pumped for it feb , 4 lets gooooo</v>
      </c>
      <c r="D2474">
        <v>0</v>
      </c>
      <c r="E2474">
        <v>0</v>
      </c>
      <c r="F2474" t="s">
        <v>0</v>
      </c>
      <c r="G2474" t="str" cm="1">
        <f t="array" ref="G2474" xml:space="preserve"> FindCountryName(F2474)</f>
        <v>None</v>
      </c>
      <c r="H2474" s="1">
        <v>45269.912858796299</v>
      </c>
      <c r="I2474" s="1">
        <v>45269.912858796299</v>
      </c>
      <c r="J2474" s="1">
        <v>42094.868831018517</v>
      </c>
      <c r="K2474" cm="1">
        <f t="array" ref="K2474" xml:space="preserve"> sentimentCalc(C2474)</f>
        <v>10</v>
      </c>
      <c r="L2474" t="str" cm="1">
        <f t="array" ref="L2474" xml:space="preserve"> sentimentCategory(K2474)</f>
        <v>Positive</v>
      </c>
    </row>
    <row r="2475" spans="1:12">
      <c r="A2475" t="s">
        <v>263</v>
      </c>
      <c r="B2475" t="s">
        <v>1632</v>
      </c>
      <c r="C2475" t="str" cm="1">
        <f t="array" ref="C2475" xml:space="preserve"> CleanText(B2475)</f>
        <v>they better not mess up this movie again_xD83D_</v>
      </c>
      <c r="D2475">
        <v>0</v>
      </c>
      <c r="E2475">
        <v>0</v>
      </c>
      <c r="F2475" t="s">
        <v>0</v>
      </c>
      <c r="G2475" t="str" cm="1">
        <f t="array" ref="G2475" xml:space="preserve"> FindCountryName(F2475)</f>
        <v>None</v>
      </c>
      <c r="H2475" s="1">
        <v>45269.906099537038</v>
      </c>
      <c r="I2475" s="1">
        <v>45269.906099537038</v>
      </c>
      <c r="J2475" s="1">
        <v>43000.998541666668</v>
      </c>
      <c r="K2475" cm="1">
        <f t="array" ref="K2475" xml:space="preserve"> sentimentCalc(C2475)</f>
        <v>0</v>
      </c>
      <c r="L2475" t="str" cm="1">
        <f t="array" ref="L2475" xml:space="preserve"> sentimentCategory(K2475)</f>
        <v>Neutral</v>
      </c>
    </row>
    <row r="2476" spans="1:12">
      <c r="A2476" t="s">
        <v>1631</v>
      </c>
      <c r="B2476" t="s">
        <v>1630</v>
      </c>
      <c r="C2476" t="str" cm="1">
        <f t="array" ref="C2476" xml:space="preserve"> CleanText(B2476)</f>
        <v>looks like absolute shit</v>
      </c>
      <c r="D2476">
        <v>0</v>
      </c>
      <c r="E2476">
        <v>0</v>
      </c>
      <c r="F2476" t="s">
        <v>0</v>
      </c>
      <c r="G2476" t="str" cm="1">
        <f t="array" ref="G2476" xml:space="preserve"> FindCountryName(F2476)</f>
        <v>None</v>
      </c>
      <c r="H2476" s="1">
        <v>45269.857164351852</v>
      </c>
      <c r="I2476" s="1">
        <v>45269.857164351852</v>
      </c>
      <c r="J2476" s="1">
        <v>42952.679155092592</v>
      </c>
      <c r="K2476" cm="1">
        <f t="array" ref="K2476" xml:space="preserve"> sentimentCalc(C2476)</f>
        <v>2</v>
      </c>
      <c r="L2476" t="str" cm="1">
        <f t="array" ref="L2476" xml:space="preserve"> sentimentCategory(K2476)</f>
        <v>Positive</v>
      </c>
    </row>
    <row r="2477" spans="1:12">
      <c r="A2477" t="s">
        <v>1629</v>
      </c>
      <c r="B2477" t="s">
        <v>1628</v>
      </c>
      <c r="C2477" t="str" cm="1">
        <f t="array" ref="C2477" xml:space="preserve"> CleanText(B2477)</f>
        <v>this is what we should have gotten all along</v>
      </c>
      <c r="D2477">
        <v>0</v>
      </c>
      <c r="E2477">
        <v>0</v>
      </c>
      <c r="F2477" t="s">
        <v>0</v>
      </c>
      <c r="G2477" t="str" cm="1">
        <f t="array" ref="G2477" xml:space="preserve"> FindCountryName(F2477)</f>
        <v>None</v>
      </c>
      <c r="H2477" s="1">
        <v>45269.851157407407</v>
      </c>
      <c r="I2477" s="1">
        <v>45269.851157407407</v>
      </c>
      <c r="J2477" s="1">
        <v>40897.515613425923</v>
      </c>
      <c r="K2477" cm="1">
        <f t="array" ref="K2477" xml:space="preserve"> sentimentCalc(C2477)</f>
        <v>0</v>
      </c>
      <c r="L2477" t="str" cm="1">
        <f t="array" ref="L2477" xml:space="preserve"> sentimentCategory(K2477)</f>
        <v>Neutral</v>
      </c>
    </row>
    <row r="2478" spans="1:12">
      <c r="A2478" t="s">
        <v>1627</v>
      </c>
      <c r="B2478" t="s">
        <v>1626</v>
      </c>
      <c r="C2478" t="str" cm="1">
        <f t="array" ref="C2478" xml:space="preserve"> CleanText(B2478)</f>
        <v>i cant focus on anything but sokka having forehead wrinkles at the age of like 5</v>
      </c>
      <c r="D2478">
        <v>0</v>
      </c>
      <c r="E2478">
        <v>0</v>
      </c>
      <c r="F2478" t="s">
        <v>0</v>
      </c>
      <c r="G2478" t="str" cm="1">
        <f t="array" ref="G2478" xml:space="preserve"> FindCountryName(F2478)</f>
        <v>None</v>
      </c>
      <c r="H2478" s="1">
        <v>45269.84375</v>
      </c>
      <c r="I2478" s="1">
        <v>45269.84375</v>
      </c>
      <c r="J2478" s="1">
        <v>41995.464398148149</v>
      </c>
      <c r="K2478" cm="1">
        <f t="array" ref="K2478" xml:space="preserve"> sentimentCalc(C2478)</f>
        <v>2</v>
      </c>
      <c r="L2478" t="str" cm="1">
        <f t="array" ref="L2478" xml:space="preserve"> sentimentCategory(K2478)</f>
        <v>Positive</v>
      </c>
    </row>
    <row r="2479" spans="1:12">
      <c r="A2479" t="s">
        <v>141</v>
      </c>
      <c r="B2479" t="s">
        <v>1625</v>
      </c>
      <c r="C2479" t="str" cm="1">
        <f t="array" ref="C2479" xml:space="preserve"> CleanText(B2479)</f>
        <v>we didnt need this it doesnt work in live action either stop trying please</v>
      </c>
      <c r="D2479">
        <v>0</v>
      </c>
      <c r="E2479">
        <v>0</v>
      </c>
      <c r="F2479" t="s">
        <v>0</v>
      </c>
      <c r="G2479" t="str" cm="1">
        <f t="array" ref="G2479" xml:space="preserve"> FindCountryName(F2479)</f>
        <v>None</v>
      </c>
      <c r="H2479" s="1">
        <v>45269.821585648147</v>
      </c>
      <c r="I2479" s="1">
        <v>45269.821585648147</v>
      </c>
      <c r="J2479" s="1">
        <v>43336.827546296299</v>
      </c>
      <c r="K2479" cm="1">
        <f t="array" ref="K2479" xml:space="preserve"> sentimentCalc(C2479)</f>
        <v>0</v>
      </c>
      <c r="L2479" t="str" cm="1">
        <f t="array" ref="L2479" xml:space="preserve"> sentimentCategory(K2479)</f>
        <v>Neutral</v>
      </c>
    </row>
    <row r="2480" spans="1:12">
      <c r="A2480" t="s">
        <v>269</v>
      </c>
      <c r="B2480" t="s">
        <v>1624</v>
      </c>
      <c r="C2480" t="str" cm="1">
        <f t="array" ref="C2480" xml:space="preserve"> CleanText(B2480)</f>
        <v>imma call it i think its gonna be bad not as bad as the first live action one but still bad</v>
      </c>
      <c r="D2480">
        <v>0</v>
      </c>
      <c r="E2480">
        <v>0</v>
      </c>
      <c r="F2480" t="s">
        <v>0</v>
      </c>
      <c r="G2480" t="str" cm="1">
        <f t="array" ref="G2480" xml:space="preserve"> FindCountryName(F2480)</f>
        <v>None</v>
      </c>
      <c r="H2480" s="1">
        <v>45269.774953703702</v>
      </c>
      <c r="I2480" s="1">
        <v>45269.774953703702</v>
      </c>
      <c r="J2480" s="1">
        <v>42933.826574074075</v>
      </c>
      <c r="K2480" cm="1">
        <f t="array" ref="K2480" xml:space="preserve"> sentimentCalc(C2480)</f>
        <v>-9</v>
      </c>
      <c r="L2480" t="str" cm="1">
        <f t="array" ref="L2480" xml:space="preserve"> sentimentCategory(K2480)</f>
        <v>Negative</v>
      </c>
    </row>
    <row r="2481" spans="1:12">
      <c r="A2481" t="s">
        <v>1623</v>
      </c>
      <c r="B2481" t="s">
        <v>1622</v>
      </c>
      <c r="C2481" t="str" cm="1">
        <f t="array" ref="C2481" xml:space="preserve"> CleanText(B2481)</f>
        <v>please netflix this time do it right</v>
      </c>
      <c r="D2481">
        <v>0</v>
      </c>
      <c r="E2481">
        <v>0</v>
      </c>
      <c r="F2481" t="s">
        <v>0</v>
      </c>
      <c r="G2481" t="str" cm="1">
        <f t="array" ref="G2481" xml:space="preserve"> FindCountryName(F2481)</f>
        <v>None</v>
      </c>
      <c r="H2481" s="1">
        <v>45269.755671296298</v>
      </c>
      <c r="I2481" s="1">
        <v>45269.755671296298</v>
      </c>
      <c r="J2481" s="1">
        <v>41467.14340277778</v>
      </c>
      <c r="K2481" cm="1">
        <f t="array" ref="K2481" xml:space="preserve"> sentimentCalc(C2481)</f>
        <v>1</v>
      </c>
      <c r="L2481" t="str" cm="1">
        <f t="array" ref="L2481" xml:space="preserve"> sentimentCategory(K2481)</f>
        <v>Positive</v>
      </c>
    </row>
    <row r="2482" spans="1:12">
      <c r="A2482" t="s">
        <v>1525</v>
      </c>
      <c r="B2482" t="s">
        <v>1621</v>
      </c>
      <c r="C2482" t="str" cm="1">
        <f t="array" ref="C2482" xml:space="preserve"> CleanText(B2482)</f>
        <v>is that real netflix i cant believe it but i want to see it</v>
      </c>
      <c r="D2482">
        <v>0</v>
      </c>
      <c r="E2482">
        <v>1</v>
      </c>
      <c r="F2482" t="s">
        <v>0</v>
      </c>
      <c r="G2482" t="str" cm="1">
        <f t="array" ref="G2482" xml:space="preserve"> FindCountryName(F2482)</f>
        <v>None</v>
      </c>
      <c r="H2482" s="1">
        <v>45269.726539351854</v>
      </c>
      <c r="I2482" s="1">
        <v>45269.726539351854</v>
      </c>
      <c r="J2482" s="1">
        <v>43382.326180555552</v>
      </c>
      <c r="K2482" cm="1">
        <f t="array" ref="K2482" xml:space="preserve"> sentimentCalc(C2482)</f>
        <v>1</v>
      </c>
      <c r="L2482" t="str" cm="1">
        <f t="array" ref="L2482" xml:space="preserve"> sentimentCategory(K2482)</f>
        <v>Positive</v>
      </c>
    </row>
    <row r="2483" spans="1:12">
      <c r="A2483" t="s">
        <v>1525</v>
      </c>
      <c r="B2483" t="s">
        <v>1620</v>
      </c>
      <c r="C2483" t="str" cm="1">
        <f t="array" ref="C2483" xml:space="preserve"> CleanText(B2483)</f>
        <v>danke gute film bitte mit file sprachen dise film mahen_xDE0A_</v>
      </c>
      <c r="D2483">
        <v>0</v>
      </c>
      <c r="E2483">
        <v>0</v>
      </c>
      <c r="F2483" t="s">
        <v>0</v>
      </c>
      <c r="G2483" t="str" cm="1">
        <f t="array" ref="G2483" xml:space="preserve"> FindCountryName(F2483)</f>
        <v>None</v>
      </c>
      <c r="H2483" s="1">
        <v>45269.715358796297</v>
      </c>
      <c r="I2483" s="1">
        <v>45269.715358796297</v>
      </c>
      <c r="J2483" s="1">
        <v>44379.776284722226</v>
      </c>
      <c r="K2483" cm="1">
        <f t="array" ref="K2483" xml:space="preserve"> sentimentCalc(C2483)</f>
        <v>0</v>
      </c>
      <c r="L2483" t="str" cm="1">
        <f t="array" ref="L2483" xml:space="preserve"> sentimentCategory(K2483)</f>
        <v>Neutral</v>
      </c>
    </row>
    <row r="2484" spans="1:12">
      <c r="A2484" t="s">
        <v>1619</v>
      </c>
      <c r="B2484" t="s">
        <v>1618</v>
      </c>
      <c r="C2484" t="str" cm="1">
        <f t="array" ref="C2484" xml:space="preserve"> CleanText(B2484)</f>
        <v>the moment when grown men cried _xDE22_</v>
      </c>
      <c r="D2484">
        <v>1</v>
      </c>
      <c r="E2484">
        <v>0</v>
      </c>
      <c r="F2484" t="s">
        <v>0</v>
      </c>
      <c r="G2484" t="str" cm="1">
        <f t="array" ref="G2484" xml:space="preserve"> FindCountryName(F2484)</f>
        <v>None</v>
      </c>
      <c r="H2484" s="1">
        <v>45269.705671296295</v>
      </c>
      <c r="I2484" s="1">
        <v>45269.705671296295</v>
      </c>
      <c r="J2484" s="1">
        <v>45012.700729166667</v>
      </c>
      <c r="K2484" cm="1">
        <f t="array" ref="K2484" xml:space="preserve"> sentimentCalc(C2484)</f>
        <v>-2</v>
      </c>
      <c r="L2484" t="str" cm="1">
        <f t="array" ref="L2484" xml:space="preserve"> sentimentCategory(K2484)</f>
        <v>Negative</v>
      </c>
    </row>
    <row r="2485" spans="1:12">
      <c r="A2485" t="s">
        <v>180</v>
      </c>
      <c r="B2485" t="s">
        <v>1617</v>
      </c>
      <c r="C2485" t="str" cm="1">
        <f t="array" ref="C2485" xml:space="preserve"> CleanText(B2485)</f>
        <v>cant wait for this to be cancelled after  seasons</v>
      </c>
      <c r="D2485">
        <v>0</v>
      </c>
      <c r="E2485">
        <v>0</v>
      </c>
      <c r="F2485" t="s">
        <v>1616</v>
      </c>
      <c r="G2485" t="str" cm="1">
        <f t="array" ref="G2485" xml:space="preserve"> FindCountryName(F2485)</f>
        <v>Portugal</v>
      </c>
      <c r="H2485" s="1">
        <v>45269.702696759261</v>
      </c>
      <c r="I2485" s="1">
        <v>45269.702696759261</v>
      </c>
      <c r="J2485" s="1">
        <v>40774.49322916667</v>
      </c>
      <c r="K2485" cm="1">
        <f t="array" ref="K2485" xml:space="preserve"> sentimentCalc(C2485)</f>
        <v>-1</v>
      </c>
      <c r="L2485" t="str" cm="1">
        <f t="array" ref="L2485" xml:space="preserve"> sentimentCategory(K2485)</f>
        <v>Negative</v>
      </c>
    </row>
    <row r="2486" spans="1:12">
      <c r="A2486" t="s">
        <v>56</v>
      </c>
      <c r="B2486" t="s">
        <v>1615</v>
      </c>
      <c r="C2486" t="str" cm="1">
        <f t="array" ref="C2486" xml:space="preserve"> CleanText(B2486)</f>
        <v>will renew my netflix subscription just for this _xDE06_</v>
      </c>
      <c r="D2486">
        <v>2</v>
      </c>
      <c r="E2486">
        <v>0</v>
      </c>
      <c r="F2486" t="s">
        <v>0</v>
      </c>
      <c r="G2486" t="str" cm="1">
        <f t="array" ref="G2486" xml:space="preserve"> FindCountryName(F2486)</f>
        <v>None</v>
      </c>
      <c r="H2486" s="1">
        <v>45269.616840277777</v>
      </c>
      <c r="I2486" s="1">
        <v>45269.616840277777</v>
      </c>
      <c r="J2486" s="1">
        <v>41886.806875000002</v>
      </c>
      <c r="K2486" cm="1">
        <f t="array" ref="K2486" xml:space="preserve"> sentimentCalc(C2486)</f>
        <v>0</v>
      </c>
      <c r="L2486" t="str" cm="1">
        <f t="array" ref="L2486" xml:space="preserve"> sentimentCategory(K2486)</f>
        <v>Neutral</v>
      </c>
    </row>
    <row r="2487" spans="1:12">
      <c r="A2487" t="s">
        <v>460</v>
      </c>
      <c r="B2487" t="s">
        <v>1614</v>
      </c>
      <c r="C2487" t="str" cm="1">
        <f t="array" ref="C2487" xml:space="preserve"> CleanText(B2487)</f>
        <v>bi eyin bkunu karmadan duramyosunuz yeni eyler bulun artk zaten gzel olan eyleri kirletmeyin</v>
      </c>
      <c r="D2487">
        <v>0</v>
      </c>
      <c r="E2487">
        <v>0</v>
      </c>
      <c r="F2487" t="s">
        <v>0</v>
      </c>
      <c r="G2487" t="str" cm="1">
        <f t="array" ref="G2487" xml:space="preserve"> FindCountryName(F2487)</f>
        <v>None</v>
      </c>
      <c r="H2487" s="1">
        <v>45269.603506944448</v>
      </c>
      <c r="I2487" s="1">
        <v>45269.603506944448</v>
      </c>
      <c r="J2487" s="1">
        <v>42748.665578703702</v>
      </c>
      <c r="K2487" cm="1">
        <f t="array" ref="K2487" xml:space="preserve"> sentimentCalc(C2487)</f>
        <v>0</v>
      </c>
      <c r="L2487" t="str" cm="1">
        <f t="array" ref="L2487" xml:space="preserve"> sentimentCategory(K2487)</f>
        <v>Neutral</v>
      </c>
    </row>
    <row r="2488" spans="1:12">
      <c r="A2488" t="s">
        <v>1613</v>
      </c>
      <c r="B2488" t="s">
        <v>1612</v>
      </c>
      <c r="C2488" t="str" cm="1">
        <f t="array" ref="C2488" xml:space="preserve"> CleanText(B2488)</f>
        <v>finally the live action that we deserve</v>
      </c>
      <c r="D2488">
        <v>0</v>
      </c>
      <c r="E2488">
        <v>0</v>
      </c>
      <c r="F2488" t="s">
        <v>0</v>
      </c>
      <c r="G2488" t="str" cm="1">
        <f t="array" ref="G2488" xml:space="preserve"> FindCountryName(F2488)</f>
        <v>None</v>
      </c>
      <c r="H2488" s="1">
        <v>45269.593449074076</v>
      </c>
      <c r="I2488" s="1">
        <v>45269.593449074076</v>
      </c>
      <c r="J2488" s="1">
        <v>45227.328842592593</v>
      </c>
      <c r="K2488" cm="1">
        <f t="array" ref="K2488" xml:space="preserve"> sentimentCalc(C2488)</f>
        <v>0</v>
      </c>
      <c r="L2488" t="str" cm="1">
        <f t="array" ref="L2488" xml:space="preserve"> sentimentCategory(K2488)</f>
        <v>Neutral</v>
      </c>
    </row>
    <row r="2489" spans="1:12">
      <c r="A2489" t="s">
        <v>1611</v>
      </c>
      <c r="B2489" t="s">
        <v>1610</v>
      </c>
      <c r="C2489" t="str" cm="1">
        <f t="array" ref="C2489" xml:space="preserve"> CleanText(B2489)</f>
        <v>that looks promising</v>
      </c>
      <c r="D2489">
        <v>0</v>
      </c>
      <c r="E2489">
        <v>0</v>
      </c>
      <c r="F2489" t="s">
        <v>0</v>
      </c>
      <c r="G2489" t="str" cm="1">
        <f t="array" ref="G2489" xml:space="preserve"> FindCountryName(F2489)</f>
        <v>None</v>
      </c>
      <c r="H2489" s="1">
        <v>45269.562013888892</v>
      </c>
      <c r="I2489" s="1">
        <v>45269.562013888892</v>
      </c>
      <c r="J2489" s="1">
        <v>45244.354016203702</v>
      </c>
      <c r="K2489" cm="1">
        <f t="array" ref="K2489" xml:space="preserve"> sentimentCalc(C2489)</f>
        <v>0</v>
      </c>
      <c r="L2489" t="str" cm="1">
        <f t="array" ref="L2489" xml:space="preserve"> sentimentCategory(K2489)</f>
        <v>Neutral</v>
      </c>
    </row>
    <row r="2490" spans="1:12">
      <c r="A2490" t="s">
        <v>1067</v>
      </c>
      <c r="B2490" t="s">
        <v>1609</v>
      </c>
      <c r="C2490" t="str" cm="1">
        <f t="array" ref="C2490" xml:space="preserve"> CleanText(B2490)</f>
        <v>uuuyyyy por fin sali algo mejor</v>
      </c>
      <c r="D2490">
        <v>0</v>
      </c>
      <c r="E2490">
        <v>0</v>
      </c>
      <c r="F2490" t="s">
        <v>0</v>
      </c>
      <c r="G2490" t="str" cm="1">
        <f t="array" ref="G2490" xml:space="preserve"> FindCountryName(F2490)</f>
        <v>None</v>
      </c>
      <c r="H2490" s="1">
        <v>45269.547233796293</v>
      </c>
      <c r="I2490" s="1">
        <v>45269.547233796293</v>
      </c>
      <c r="J2490" s="1">
        <v>42300.046585648146</v>
      </c>
      <c r="K2490" cm="1">
        <f t="array" ref="K2490" xml:space="preserve"> sentimentCalc(C2490)</f>
        <v>0</v>
      </c>
      <c r="L2490" t="str" cm="1">
        <f t="array" ref="L2490" xml:space="preserve"> sentimentCategory(K2490)</f>
        <v>Neutral</v>
      </c>
    </row>
    <row r="2491" spans="1:12">
      <c r="A2491" t="s">
        <v>43</v>
      </c>
      <c r="B2491" t="s">
        <v>1608</v>
      </c>
      <c r="C2491" t="str" cm="1">
        <f t="array" ref="C2491" xml:space="preserve"> CleanText(B2491)</f>
        <v>lets gooooooo</v>
      </c>
      <c r="D2491">
        <v>1</v>
      </c>
      <c r="E2491">
        <v>1</v>
      </c>
      <c r="F2491" t="s">
        <v>0</v>
      </c>
      <c r="G2491" t="str" cm="1">
        <f t="array" ref="G2491" xml:space="preserve"> FindCountryName(F2491)</f>
        <v>None</v>
      </c>
      <c r="H2491" s="1">
        <v>45269.525254629632</v>
      </c>
      <c r="I2491" s="1">
        <v>45269.525254629632</v>
      </c>
      <c r="J2491" s="1">
        <v>42325.082546296297</v>
      </c>
      <c r="K2491" cm="1">
        <f t="array" ref="K2491" xml:space="preserve"> sentimentCalc(C2491)</f>
        <v>0</v>
      </c>
      <c r="L2491" t="str" cm="1">
        <f t="array" ref="L2491" xml:space="preserve"> sentimentCategory(K2491)</f>
        <v>Neutral</v>
      </c>
    </row>
    <row r="2492" spans="1:12">
      <c r="A2492" t="s">
        <v>249</v>
      </c>
      <c r="B2492" t="s">
        <v>1607</v>
      </c>
      <c r="C2492" t="str" cm="1">
        <f t="array" ref="C2492" xml:space="preserve"> CleanText(B2492)</f>
        <v>gta , budokai tenkaichi , and another avatar</v>
      </c>
      <c r="D2492">
        <v>0</v>
      </c>
      <c r="E2492">
        <v>1</v>
      </c>
      <c r="F2492" t="s">
        <v>0</v>
      </c>
      <c r="G2492" t="str" cm="1">
        <f t="array" ref="G2492" xml:space="preserve"> FindCountryName(F2492)</f>
        <v>None</v>
      </c>
      <c r="H2492" s="1">
        <v>45269.486817129633</v>
      </c>
      <c r="I2492" s="1">
        <v>45269.486817129633</v>
      </c>
      <c r="J2492" s="1">
        <v>44639.926412037035</v>
      </c>
      <c r="K2492" cm="1">
        <f t="array" ref="K2492" xml:space="preserve"> sentimentCalc(C2492)</f>
        <v>0</v>
      </c>
      <c r="L2492" t="str" cm="1">
        <f t="array" ref="L2492" xml:space="preserve"> sentimentCategory(K2492)</f>
        <v>Neutral</v>
      </c>
    </row>
    <row r="2493" spans="1:12">
      <c r="A2493" t="s">
        <v>1606</v>
      </c>
      <c r="B2493" t="s">
        <v>1605</v>
      </c>
      <c r="C2493" t="str" cm="1">
        <f t="array" ref="C2493" xml:space="preserve"> CleanText(B2493)</f>
        <v>the last airbender cartoon is one of the greatest stories of all time it deserves a great tribute</v>
      </c>
      <c r="D2493">
        <v>2</v>
      </c>
      <c r="E2493">
        <v>1</v>
      </c>
      <c r="F2493" t="s">
        <v>0</v>
      </c>
      <c r="G2493" t="str" cm="1">
        <f t="array" ref="G2493" xml:space="preserve"> FindCountryName(F2493)</f>
        <v>None</v>
      </c>
      <c r="H2493" s="1">
        <v>45269.475601851853</v>
      </c>
      <c r="I2493" s="1">
        <v>45269.475601851853</v>
      </c>
      <c r="J2493" s="1">
        <v>41748.430196759262</v>
      </c>
      <c r="K2493" cm="1">
        <f t="array" ref="K2493" xml:space="preserve"> sentimentCalc(C2493)</f>
        <v>6</v>
      </c>
      <c r="L2493" t="str" cm="1">
        <f t="array" ref="L2493" xml:space="preserve"> sentimentCategory(K2493)</f>
        <v>Positive</v>
      </c>
    </row>
    <row r="2494" spans="1:12">
      <c r="A2494" t="s">
        <v>1604</v>
      </c>
      <c r="B2494" t="s">
        <v>1603</v>
      </c>
      <c r="C2494" t="str" cm="1">
        <f t="array" ref="C2494" xml:space="preserve"> CleanText(B2494)</f>
        <v>the casting is on point and the music choice gives me hope that this will indeed be a faithful adaptation</v>
      </c>
      <c r="D2494">
        <v>669</v>
      </c>
      <c r="E2494">
        <v>22</v>
      </c>
      <c r="F2494" t="s">
        <v>0</v>
      </c>
      <c r="G2494" t="str" cm="1">
        <f t="array" ref="G2494" xml:space="preserve"> FindCountryName(F2494)</f>
        <v>None</v>
      </c>
      <c r="H2494" s="1">
        <v>45269.433078703703</v>
      </c>
      <c r="I2494" s="1">
        <v>45269.433078703703</v>
      </c>
      <c r="J2494" s="1">
        <v>43626.394930555558</v>
      </c>
      <c r="K2494" cm="1">
        <f t="array" ref="K2494" xml:space="preserve"> sentimentCalc(C2494)</f>
        <v>5</v>
      </c>
      <c r="L2494" t="str" cm="1">
        <f t="array" ref="L2494" xml:space="preserve"> sentimentCategory(K2494)</f>
        <v>Positive</v>
      </c>
    </row>
    <row r="2495" spans="1:12">
      <c r="A2495" t="s">
        <v>680</v>
      </c>
      <c r="B2495" t="s">
        <v>1602</v>
      </c>
      <c r="C2495" t="str" cm="1">
        <f t="array" ref="C2495" xml:space="preserve"> CleanText(B2495)</f>
        <v>its going to be as shit at the last movie they cant do it right</v>
      </c>
      <c r="D2495">
        <v>0</v>
      </c>
      <c r="E2495">
        <v>0</v>
      </c>
      <c r="F2495" t="s">
        <v>0</v>
      </c>
      <c r="G2495" t="str" cm="1">
        <f t="array" ref="G2495" xml:space="preserve"> FindCountryName(F2495)</f>
        <v>None</v>
      </c>
      <c r="H2495" s="1">
        <v>45269.428576388891</v>
      </c>
      <c r="I2495" s="1">
        <v>45269.428576388891</v>
      </c>
      <c r="J2495" s="1">
        <v>45117.424456018518</v>
      </c>
      <c r="K2495" cm="1">
        <f t="array" ref="K2495" xml:space="preserve"> sentimentCalc(C2495)</f>
        <v>0</v>
      </c>
      <c r="L2495" t="str" cm="1">
        <f t="array" ref="L2495" xml:space="preserve"> sentimentCategory(K2495)</f>
        <v>Neutral</v>
      </c>
    </row>
    <row r="2496" spans="1:12">
      <c r="A2496" t="s">
        <v>1601</v>
      </c>
      <c r="B2496" t="s">
        <v>1600</v>
      </c>
      <c r="C2496" t="str" cm="1">
        <f t="array" ref="C2496" xml:space="preserve"> CleanText(B2496)</f>
        <v>oh momo</v>
      </c>
      <c r="D2496">
        <v>0</v>
      </c>
      <c r="E2496">
        <v>0</v>
      </c>
      <c r="F2496" t="s">
        <v>1599</v>
      </c>
      <c r="G2496" t="str" cm="1">
        <f t="array" ref="G2496" xml:space="preserve"> FindCountryName(F2496)</f>
        <v>Uganda</v>
      </c>
      <c r="H2496" s="1">
        <v>45269.408645833333</v>
      </c>
      <c r="I2496" s="1">
        <v>45269.408645833333</v>
      </c>
      <c r="J2496" s="1">
        <v>41882.135937500003</v>
      </c>
      <c r="K2496" cm="1">
        <f t="array" ref="K2496" xml:space="preserve"> sentimentCalc(C2496)</f>
        <v>0</v>
      </c>
      <c r="L2496" t="str" cm="1">
        <f t="array" ref="L2496" xml:space="preserve"> sentimentCategory(K2496)</f>
        <v>Neutral</v>
      </c>
    </row>
    <row r="2497" spans="1:12">
      <c r="A2497" t="s">
        <v>1112</v>
      </c>
      <c r="B2497" t="s">
        <v>1598</v>
      </c>
      <c r="C2497" t="str" cm="1">
        <f t="array" ref="C2497" xml:space="preserve"> CleanText(B2497)</f>
        <v>im so happy that avatar community is supporting this one</v>
      </c>
      <c r="D2497">
        <v>0</v>
      </c>
      <c r="E2497">
        <v>0</v>
      </c>
      <c r="F2497" t="s">
        <v>0</v>
      </c>
      <c r="G2497" t="str" cm="1">
        <f t="array" ref="G2497" xml:space="preserve"> FindCountryName(F2497)</f>
        <v>None</v>
      </c>
      <c r="H2497" s="1">
        <v>45269.405277777776</v>
      </c>
      <c r="I2497" s="1">
        <v>45269.405277777776</v>
      </c>
      <c r="J2497" s="1">
        <v>44780.166967592595</v>
      </c>
      <c r="K2497" cm="1">
        <f t="array" ref="K2497" xml:space="preserve"> sentimentCalc(C2497)</f>
        <v>4</v>
      </c>
      <c r="L2497" t="str" cm="1">
        <f t="array" ref="L2497" xml:space="preserve"> sentimentCategory(K2497)</f>
        <v>Positive</v>
      </c>
    </row>
    <row r="2498" spans="1:12">
      <c r="A2498" t="s">
        <v>1112</v>
      </c>
      <c r="B2498" t="s">
        <v>1597</v>
      </c>
      <c r="C2498" t="str" cm="1">
        <f t="array" ref="C2498" xml:space="preserve"> CleanText(B2498)</f>
        <v>cant wait to see aang becomes ocean spirit in the live action</v>
      </c>
      <c r="D2498">
        <v>0</v>
      </c>
      <c r="E2498">
        <v>0</v>
      </c>
      <c r="F2498" t="s">
        <v>0</v>
      </c>
      <c r="G2498" t="str" cm="1">
        <f t="array" ref="G2498" xml:space="preserve"> FindCountryName(F2498)</f>
        <v>None</v>
      </c>
      <c r="H2498" s="1">
        <v>45269.40179398148</v>
      </c>
      <c r="I2498" s="1">
        <v>45269.40179398148</v>
      </c>
      <c r="J2498" s="1">
        <v>44780.166967592595</v>
      </c>
      <c r="K2498" cm="1">
        <f t="array" ref="K2498" xml:space="preserve"> sentimentCalc(C2498)</f>
        <v>1</v>
      </c>
      <c r="L2498" t="str" cm="1">
        <f t="array" ref="L2498" xml:space="preserve"> sentimentCategory(K2498)</f>
        <v>Positive</v>
      </c>
    </row>
    <row r="2499" spans="1:12">
      <c r="A2499" t="s">
        <v>1596</v>
      </c>
      <c r="B2499" t="s">
        <v>1595</v>
      </c>
      <c r="C2499" t="str" cm="1">
        <f t="array" ref="C2499" xml:space="preserve"> CleanText(B2499)</f>
        <v>toph</v>
      </c>
      <c r="D2499">
        <v>0</v>
      </c>
      <c r="E2499">
        <v>1</v>
      </c>
      <c r="F2499" t="s">
        <v>0</v>
      </c>
      <c r="G2499" t="str" cm="1">
        <f t="array" ref="G2499" xml:space="preserve"> FindCountryName(F2499)</f>
        <v>None</v>
      </c>
      <c r="H2499" s="1">
        <v>45269.358854166669</v>
      </c>
      <c r="I2499" s="1">
        <v>45269.358854166669</v>
      </c>
      <c r="J2499" s="1">
        <v>44097.976770833331</v>
      </c>
      <c r="K2499" cm="1">
        <f t="array" ref="K2499" xml:space="preserve"> sentimentCalc(C2499)</f>
        <v>0</v>
      </c>
      <c r="L2499" t="str" cm="1">
        <f t="array" ref="L2499" xml:space="preserve"> sentimentCategory(K2499)</f>
        <v>Neutral</v>
      </c>
    </row>
    <row r="2500" spans="1:12">
      <c r="A2500" t="s">
        <v>1594</v>
      </c>
      <c r="B2500" t="s">
        <v>1593</v>
      </c>
      <c r="C2500" t="str" cm="1">
        <f t="array" ref="C2500" xml:space="preserve"> CleanText(B2500)</f>
        <v>feels mehh</v>
      </c>
      <c r="D2500">
        <v>0</v>
      </c>
      <c r="E2500">
        <v>0</v>
      </c>
      <c r="F2500" t="s">
        <v>0</v>
      </c>
      <c r="G2500" t="str" cm="1">
        <f t="array" ref="G2500" xml:space="preserve"> FindCountryName(F2500)</f>
        <v>None</v>
      </c>
      <c r="H2500" s="1">
        <v>45269.311006944445</v>
      </c>
      <c r="I2500" s="1">
        <v>45269.311006944445</v>
      </c>
      <c r="J2500" s="1">
        <v>38914.551516203705</v>
      </c>
      <c r="K2500" cm="1">
        <f t="array" ref="K2500" xml:space="preserve"> sentimentCalc(C2500)</f>
        <v>0</v>
      </c>
      <c r="L2500" t="str" cm="1">
        <f t="array" ref="L2500" xml:space="preserve"> sentimentCategory(K2500)</f>
        <v>Neutral</v>
      </c>
    </row>
    <row r="2501" spans="1:12">
      <c r="A2501" t="s">
        <v>653</v>
      </c>
      <c r="B2501" t="s">
        <v>1592</v>
      </c>
      <c r="C2501" t="str" cm="1">
        <f t="array" ref="C2501" xml:space="preserve"> CleanText(B2501)</f>
        <v>lion king adaptation in the mud 🤟</v>
      </c>
      <c r="D2501">
        <v>0</v>
      </c>
      <c r="E2501">
        <v>0</v>
      </c>
      <c r="F2501" t="s">
        <v>0</v>
      </c>
      <c r="G2501" t="str" cm="1">
        <f t="array" ref="G2501" xml:space="preserve"> FindCountryName(F2501)</f>
        <v>None</v>
      </c>
      <c r="H2501" s="1">
        <v>45269.301076388889</v>
      </c>
      <c r="I2501" s="1">
        <v>45269.301076388889</v>
      </c>
      <c r="J2501" s="1">
        <v>42374.384189814817</v>
      </c>
      <c r="K2501" cm="1">
        <f t="array" ref="K2501" xml:space="preserve"> sentimentCalc(C2501)</f>
        <v>0</v>
      </c>
      <c r="L2501" t="str" cm="1">
        <f t="array" ref="L2501" xml:space="preserve"> sentimentCategory(K2501)</f>
        <v>Neutral</v>
      </c>
    </row>
    <row r="2502" spans="1:12">
      <c r="A2502" t="s">
        <v>317</v>
      </c>
      <c r="B2502" t="s">
        <v>1591</v>
      </c>
      <c r="C2502" t="str" cm="1">
        <f t="array" ref="C2502" xml:space="preserve"> CleanText(B2502)</f>
        <v>уво оорн р n</v>
      </c>
      <c r="D2502">
        <v>0</v>
      </c>
      <c r="E2502">
        <v>0</v>
      </c>
      <c r="F2502" t="s">
        <v>0</v>
      </c>
      <c r="G2502" t="str" cm="1">
        <f t="array" ref="G2502" xml:space="preserve"> FindCountryName(F2502)</f>
        <v>None</v>
      </c>
      <c r="H2502" s="1">
        <v>45269.238541666666</v>
      </c>
      <c r="I2502" s="1">
        <v>45269.238541666666</v>
      </c>
      <c r="J2502" s="1">
        <v>43541.448576388888</v>
      </c>
      <c r="K2502" cm="1">
        <f t="array" ref="K2502" xml:space="preserve"> sentimentCalc(C2502)</f>
        <v>0</v>
      </c>
      <c r="L2502" t="str" cm="1">
        <f t="array" ref="L2502" xml:space="preserve"> sentimentCategory(K2502)</f>
        <v>Neutral</v>
      </c>
    </row>
    <row r="2503" spans="1:12">
      <c r="A2503" t="s">
        <v>144</v>
      </c>
      <c r="B2503" t="s">
        <v>1590</v>
      </c>
      <c r="C2503" t="str" cm="1">
        <f t="array" ref="C2503" xml:space="preserve"> CleanText(B2503)</f>
        <v>hopefully theyll add the iconic opening</v>
      </c>
      <c r="D2503">
        <v>0</v>
      </c>
      <c r="E2503">
        <v>0</v>
      </c>
      <c r="F2503" t="s">
        <v>0</v>
      </c>
      <c r="G2503" t="str" cm="1">
        <f t="array" ref="G2503" xml:space="preserve"> FindCountryName(F2503)</f>
        <v>None</v>
      </c>
      <c r="H2503" s="1">
        <v>45269.205300925925</v>
      </c>
      <c r="I2503" s="1">
        <v>45269.205300925925</v>
      </c>
      <c r="J2503" s="1">
        <v>43857.430787037039</v>
      </c>
      <c r="K2503" cm="1">
        <f t="array" ref="K2503" xml:space="preserve"> sentimentCalc(C2503)</f>
        <v>2</v>
      </c>
      <c r="L2503" t="str" cm="1">
        <f t="array" ref="L2503" xml:space="preserve"> sentimentCategory(K2503)</f>
        <v>Positive</v>
      </c>
    </row>
    <row r="2504" spans="1:12">
      <c r="A2504" t="s">
        <v>929</v>
      </c>
      <c r="B2504" t="s">
        <v>1589</v>
      </c>
      <c r="C2504" t="str" cm="1">
        <f t="array" ref="C2504" xml:space="preserve"> CleanText(B2504)</f>
        <v>the last white wash</v>
      </c>
      <c r="D2504">
        <v>0</v>
      </c>
      <c r="E2504">
        <v>2</v>
      </c>
      <c r="F2504" t="s">
        <v>0</v>
      </c>
      <c r="G2504" t="str" cm="1">
        <f t="array" ref="G2504" xml:space="preserve"> FindCountryName(F2504)</f>
        <v>None</v>
      </c>
      <c r="H2504" s="1">
        <v>45269.203738425924</v>
      </c>
      <c r="I2504" s="1">
        <v>45269.203738425924</v>
      </c>
      <c r="J2504" s="1">
        <v>44181.134918981479</v>
      </c>
      <c r="K2504" cm="1">
        <f t="array" ref="K2504" xml:space="preserve"> sentimentCalc(C2504)</f>
        <v>0</v>
      </c>
      <c r="L2504" t="str" cm="1">
        <f t="array" ref="L2504" xml:space="preserve"> sentimentCategory(K2504)</f>
        <v>Neutral</v>
      </c>
    </row>
    <row r="2505" spans="1:12">
      <c r="A2505" t="s">
        <v>1588</v>
      </c>
      <c r="B2505" t="s">
        <v>1587</v>
      </c>
      <c r="C2505" t="str" cm="1">
        <f t="array" ref="C2505" xml:space="preserve"> CleanText(B2505)</f>
        <v>i am so very on the fence with this i am not convinced this will be better than shamalamadingdongs version and even if it is theres no way its better than the original i already have netflix but im not sure im going to watch it i will probably wait to here what people have to say first</v>
      </c>
      <c r="D2505">
        <v>0</v>
      </c>
      <c r="E2505">
        <v>0</v>
      </c>
      <c r="F2505" t="s">
        <v>0</v>
      </c>
      <c r="G2505" t="str" cm="1">
        <f t="array" ref="G2505" xml:space="preserve"> FindCountryName(F2505)</f>
        <v>None</v>
      </c>
      <c r="H2505" s="1">
        <v>45269.118726851855</v>
      </c>
      <c r="I2505" s="1">
        <v>45269.118726851855</v>
      </c>
      <c r="J2505" s="1">
        <v>42450.554502314815</v>
      </c>
      <c r="K2505" cm="1">
        <f t="array" ref="K2505" xml:space="preserve"> sentimentCalc(C2505)</f>
        <v>4</v>
      </c>
      <c r="L2505" t="str" cm="1">
        <f t="array" ref="L2505" xml:space="preserve"> sentimentCategory(K2505)</f>
        <v>Positive</v>
      </c>
    </row>
    <row r="2506" spans="1:12">
      <c r="A2506" t="s">
        <v>1586</v>
      </c>
      <c r="B2506" t="s">
        <v>1585</v>
      </c>
      <c r="C2506" t="str" cm="1">
        <f t="array" ref="C2506" xml:space="preserve"> CleanText(B2506)</f>
        <v>if they can one piece justice they can do avatar well</v>
      </c>
      <c r="D2506">
        <v>1</v>
      </c>
      <c r="E2506">
        <v>1</v>
      </c>
      <c r="F2506" t="s">
        <v>0</v>
      </c>
      <c r="G2506" t="str" cm="1">
        <f t="array" ref="G2506" xml:space="preserve"> FindCountryName(F2506)</f>
        <v>None</v>
      </c>
      <c r="H2506" s="1">
        <v>45269.111030092594</v>
      </c>
      <c r="I2506" s="1">
        <v>45269.111030092594</v>
      </c>
      <c r="J2506" s="1">
        <v>40996.480636574073</v>
      </c>
      <c r="K2506" cm="1">
        <f t="array" ref="K2506" xml:space="preserve"> sentimentCalc(C2506)</f>
        <v>2</v>
      </c>
      <c r="L2506" t="str" cm="1">
        <f t="array" ref="L2506" xml:space="preserve"> sentimentCategory(K2506)</f>
        <v>Positive</v>
      </c>
    </row>
    <row r="2507" spans="1:12">
      <c r="A2507" t="s">
        <v>566</v>
      </c>
      <c r="B2507" t="s">
        <v>1584</v>
      </c>
      <c r="C2507" t="str" cm="1">
        <f t="array" ref="C2507" xml:space="preserve"> CleanText(B2507)</f>
        <v>doesnt look bad</v>
      </c>
      <c r="D2507">
        <v>0</v>
      </c>
      <c r="E2507">
        <v>0</v>
      </c>
      <c r="F2507" t="s">
        <v>0</v>
      </c>
      <c r="G2507" t="str" cm="1">
        <f t="array" ref="G2507" xml:space="preserve"> FindCountryName(F2507)</f>
        <v>None</v>
      </c>
      <c r="H2507" s="1">
        <v>45269.095775462964</v>
      </c>
      <c r="I2507" s="1">
        <v>45269.095775462964</v>
      </c>
      <c r="J2507" s="1">
        <v>44178.650208333333</v>
      </c>
      <c r="K2507" cm="1">
        <f t="array" ref="K2507" xml:space="preserve"> sentimentCalc(C2507)</f>
        <v>-3</v>
      </c>
      <c r="L2507" t="str" cm="1">
        <f t="array" ref="L2507" xml:space="preserve"> sentimentCategory(K2507)</f>
        <v>Negative</v>
      </c>
    </row>
    <row r="2508" spans="1:12">
      <c r="A2508" t="s">
        <v>1582</v>
      </c>
      <c r="B2508" t="s">
        <v>1583</v>
      </c>
      <c r="C2508" t="str" cm="1">
        <f t="array" ref="C2508" xml:space="preserve"> CleanText(B2508)</f>
        <v>beautiful</v>
      </c>
      <c r="D2508">
        <v>1</v>
      </c>
      <c r="E2508">
        <v>0</v>
      </c>
      <c r="F2508" t="s">
        <v>0</v>
      </c>
      <c r="G2508" t="str" cm="1">
        <f t="array" ref="G2508" xml:space="preserve"> FindCountryName(F2508)</f>
        <v>None</v>
      </c>
      <c r="H2508" s="1">
        <v>45269.057060185187</v>
      </c>
      <c r="I2508" s="1">
        <v>45269.057060185187</v>
      </c>
      <c r="J2508" s="1">
        <v>42644.765370370369</v>
      </c>
      <c r="K2508" cm="1">
        <f t="array" ref="K2508" xml:space="preserve"> sentimentCalc(C2508)</f>
        <v>3</v>
      </c>
      <c r="L2508" t="str" cm="1">
        <f t="array" ref="L2508" xml:space="preserve"> sentimentCategory(K2508)</f>
        <v>Positive</v>
      </c>
    </row>
    <row r="2509" spans="1:12">
      <c r="A2509" t="s">
        <v>1582</v>
      </c>
      <c r="B2509" t="s">
        <v>1581</v>
      </c>
      <c r="C2509" t="str" cm="1">
        <f t="array" ref="C2509" xml:space="preserve"> CleanText(B2509)</f>
        <v>holy shiii</v>
      </c>
      <c r="D2509">
        <v>1</v>
      </c>
      <c r="E2509">
        <v>0</v>
      </c>
      <c r="F2509" t="s">
        <v>0</v>
      </c>
      <c r="G2509" t="str" cm="1">
        <f t="array" ref="G2509" xml:space="preserve"> FindCountryName(F2509)</f>
        <v>None</v>
      </c>
      <c r="H2509" s="1">
        <v>45269.056030092594</v>
      </c>
      <c r="I2509" s="1">
        <v>45269.056030092594</v>
      </c>
      <c r="J2509" s="1">
        <v>42644.765370370369</v>
      </c>
      <c r="K2509" cm="1">
        <f t="array" ref="K2509" xml:space="preserve"> sentimentCalc(C2509)</f>
        <v>0</v>
      </c>
      <c r="L2509" t="str" cm="1">
        <f t="array" ref="L2509" xml:space="preserve"> sentimentCategory(K2509)</f>
        <v>Neutral</v>
      </c>
    </row>
    <row r="2510" spans="1:12">
      <c r="A2510" t="s">
        <v>865</v>
      </c>
      <c r="B2510" t="s">
        <v>1580</v>
      </c>
      <c r="C2510" t="str" cm="1">
        <f t="array" ref="C2510" xml:space="preserve"> CleanText(B2510)</f>
        <v>epic the sound of  momo really made me homesick how weird is that</v>
      </c>
      <c r="D2510">
        <v>1</v>
      </c>
      <c r="E2510">
        <v>0</v>
      </c>
      <c r="F2510" t="s">
        <v>0</v>
      </c>
      <c r="G2510" t="str" cm="1">
        <f t="array" ref="G2510" xml:space="preserve"> FindCountryName(F2510)</f>
        <v>None</v>
      </c>
      <c r="H2510" s="1">
        <v>45269.044618055559</v>
      </c>
      <c r="I2510" s="1">
        <v>45269.046631944446</v>
      </c>
      <c r="J2510" s="1">
        <v>44441.578379629631</v>
      </c>
      <c r="K2510" cm="1">
        <f t="array" ref="K2510" xml:space="preserve"> sentimentCalc(C2510)</f>
        <v>-4</v>
      </c>
      <c r="L2510" t="str" cm="1">
        <f t="array" ref="L2510" xml:space="preserve"> sentimentCategory(K2510)</f>
        <v>Negative</v>
      </c>
    </row>
    <row r="2511" spans="1:12">
      <c r="A2511" t="s">
        <v>141</v>
      </c>
      <c r="B2511" t="s">
        <v>1579</v>
      </c>
      <c r="C2511" t="str" cm="1">
        <f t="array" ref="C2511" xml:space="preserve"> CleanText(B2511)</f>
        <v>i hope we get avatar aang and not avatar ong</v>
      </c>
      <c r="D2511">
        <v>1</v>
      </c>
      <c r="E2511">
        <v>1</v>
      </c>
      <c r="F2511" t="s">
        <v>0</v>
      </c>
      <c r="G2511" t="str" cm="1">
        <f t="array" ref="G2511" xml:space="preserve"> FindCountryName(F2511)</f>
        <v>None</v>
      </c>
      <c r="H2511" s="1">
        <v>45269.013055555559</v>
      </c>
      <c r="I2511" s="1">
        <v>45269.013055555559</v>
      </c>
      <c r="J2511" s="1">
        <v>43076.85664351852</v>
      </c>
      <c r="K2511" cm="1">
        <f t="array" ref="K2511" xml:space="preserve"> sentimentCalc(C2511)</f>
        <v>2</v>
      </c>
      <c r="L2511" t="str" cm="1">
        <f t="array" ref="L2511" xml:space="preserve"> sentimentCategory(K2511)</f>
        <v>Positive</v>
      </c>
    </row>
    <row r="2512" spans="1:12">
      <c r="A2512" t="s">
        <v>464</v>
      </c>
      <c r="B2512" t="s">
        <v>1578</v>
      </c>
      <c r="C2512" t="str" cm="1">
        <f t="array" ref="C2512" xml:space="preserve"> CleanText(B2512)</f>
        <v>one piece and now avatar i see netflix is learning from the witchers and their competitors failures</v>
      </c>
      <c r="D2512">
        <v>0</v>
      </c>
      <c r="E2512">
        <v>0</v>
      </c>
      <c r="F2512" t="s">
        <v>0</v>
      </c>
      <c r="G2512" t="str" cm="1">
        <f t="array" ref="G2512" xml:space="preserve"> FindCountryName(F2512)</f>
        <v>None</v>
      </c>
      <c r="H2512" s="1">
        <v>45268.962997685187</v>
      </c>
      <c r="I2512" s="1">
        <v>45268.962997685187</v>
      </c>
      <c r="J2512" s="1">
        <v>39083.845138888886</v>
      </c>
      <c r="K2512" cm="1">
        <f t="array" ref="K2512" xml:space="preserve"> sentimentCalc(C2512)</f>
        <v>-2</v>
      </c>
      <c r="L2512" t="str" cm="1">
        <f t="array" ref="L2512" xml:space="preserve"> sentimentCategory(K2512)</f>
        <v>Negative</v>
      </c>
    </row>
    <row r="2513" spans="1:12">
      <c r="A2513" t="s">
        <v>1577</v>
      </c>
      <c r="B2513" t="s">
        <v>1576</v>
      </c>
      <c r="C2513" t="str" cm="1">
        <f t="array" ref="C2513" xml:space="preserve"> CleanText(B2513)</f>
        <v>i am hoping this is going to be good trailer looks great apprehensive as michael dante dimartino and bryan konietzko leftwe shall see please be good</v>
      </c>
      <c r="D2513">
        <v>0</v>
      </c>
      <c r="E2513">
        <v>0</v>
      </c>
      <c r="F2513" t="s">
        <v>0</v>
      </c>
      <c r="G2513" t="str" cm="1">
        <f t="array" ref="G2513" xml:space="preserve"> FindCountryName(F2513)</f>
        <v>None</v>
      </c>
      <c r="H2513" s="1">
        <v>45268.958437499998</v>
      </c>
      <c r="I2513" s="1">
        <v>45268.958437499998</v>
      </c>
      <c r="J2513" s="1">
        <v>40196.658622685187</v>
      </c>
      <c r="K2513" cm="1">
        <f t="array" ref="K2513" xml:space="preserve"> sentimentCalc(C2513)</f>
        <v>10</v>
      </c>
      <c r="L2513" t="str" cm="1">
        <f t="array" ref="L2513" xml:space="preserve"> sentimentCategory(K2513)</f>
        <v>Positive</v>
      </c>
    </row>
    <row r="2514" spans="1:12">
      <c r="A2514" t="s">
        <v>966</v>
      </c>
      <c r="B2514" t="s">
        <v>1575</v>
      </c>
      <c r="C2514" t="str" cm="1">
        <f t="array" ref="C2514" xml:space="preserve"> CleanText(B2514)</f>
        <v>hopefully the cabbage guy gets more screen time  best running gag of the show</v>
      </c>
      <c r="D2514">
        <v>0</v>
      </c>
      <c r="E2514">
        <v>0</v>
      </c>
      <c r="F2514" t="s">
        <v>0</v>
      </c>
      <c r="G2514" t="str" cm="1">
        <f t="array" ref="G2514" xml:space="preserve"> FindCountryName(F2514)</f>
        <v>None</v>
      </c>
      <c r="H2514" s="1">
        <v>45268.945069444446</v>
      </c>
      <c r="I2514" s="1">
        <v>45268.945069444446</v>
      </c>
      <c r="J2514" s="1">
        <v>40972.906122685185</v>
      </c>
      <c r="K2514" cm="1">
        <f t="array" ref="K2514" xml:space="preserve"> sentimentCalc(C2514)</f>
        <v>3</v>
      </c>
      <c r="L2514" t="str" cm="1">
        <f t="array" ref="L2514" xml:space="preserve"> sentimentCategory(K2514)</f>
        <v>Positive</v>
      </c>
    </row>
    <row r="2515" spans="1:12">
      <c r="A2515" t="s">
        <v>789</v>
      </c>
      <c r="B2515" t="s">
        <v>1574</v>
      </c>
      <c r="C2515" t="str" cm="1">
        <f t="array" ref="C2515" xml:space="preserve"> CleanText(B2515)</f>
        <v>they could not live with their failure and where did that bring them back to me</v>
      </c>
      <c r="D2515">
        <v>0</v>
      </c>
      <c r="E2515">
        <v>0</v>
      </c>
      <c r="F2515" t="s">
        <v>0</v>
      </c>
      <c r="G2515" t="str" cm="1">
        <f t="array" ref="G2515" xml:space="preserve"> FindCountryName(F2515)</f>
        <v>None</v>
      </c>
      <c r="H2515" s="1">
        <v>45268.935694444444</v>
      </c>
      <c r="I2515" s="1">
        <v>45268.935694444444</v>
      </c>
      <c r="J2515" s="1">
        <v>44210.973055555558</v>
      </c>
      <c r="K2515" cm="1">
        <f t="array" ref="K2515" xml:space="preserve"> sentimentCalc(C2515)</f>
        <v>-2</v>
      </c>
      <c r="L2515" t="str" cm="1">
        <f t="array" ref="L2515" xml:space="preserve"> sentimentCategory(K2515)</f>
        <v>Negative</v>
      </c>
    </row>
    <row r="2516" spans="1:12">
      <c r="A2516" t="s">
        <v>1573</v>
      </c>
      <c r="B2516" t="s">
        <v>1572</v>
      </c>
      <c r="C2516" t="str" cm="1">
        <f t="array" ref="C2516" xml:space="preserve"> CleanText(B2516)</f>
        <v>given the creators left the live action series i wouldnt be surprised if this show was bad the original creators actually have some idea of how the vision should be</v>
      </c>
      <c r="D2516">
        <v>0</v>
      </c>
      <c r="E2516">
        <v>0</v>
      </c>
      <c r="F2516" t="s">
        <v>0</v>
      </c>
      <c r="G2516" t="str" cm="1">
        <f t="array" ref="G2516" xml:space="preserve"> FindCountryName(F2516)</f>
        <v>None</v>
      </c>
      <c r="H2516" s="1">
        <v>45268.915393518517</v>
      </c>
      <c r="I2516" s="1">
        <v>45268.915393518517</v>
      </c>
      <c r="J2516" s="1">
        <v>39930.390497685185</v>
      </c>
      <c r="K2516" cm="1">
        <f t="array" ref="K2516" xml:space="preserve"> sentimentCalc(C2516)</f>
        <v>-2</v>
      </c>
      <c r="L2516" t="str" cm="1">
        <f t="array" ref="L2516" xml:space="preserve"> sentimentCategory(K2516)</f>
        <v>Negative</v>
      </c>
    </row>
    <row r="2517" spans="1:12">
      <c r="A2517" t="s">
        <v>460</v>
      </c>
      <c r="B2517" t="s">
        <v>1571</v>
      </c>
      <c r="C2517" t="str" cm="1">
        <f t="array" ref="C2517" xml:space="preserve"> CleanText(B2517)</f>
        <v>tidak sabar menantikan carakter toph</v>
      </c>
      <c r="D2517">
        <v>0</v>
      </c>
      <c r="E2517">
        <v>0</v>
      </c>
      <c r="F2517" t="s">
        <v>0</v>
      </c>
      <c r="G2517" t="str" cm="1">
        <f t="array" ref="G2517" xml:space="preserve"> FindCountryName(F2517)</f>
        <v>None</v>
      </c>
      <c r="H2517" s="1">
        <v>45268.915173611109</v>
      </c>
      <c r="I2517" s="1">
        <v>45268.915173611109</v>
      </c>
      <c r="J2517" s="1">
        <v>43594.215775462966</v>
      </c>
      <c r="K2517" cm="1">
        <f t="array" ref="K2517" xml:space="preserve"> sentimentCalc(C2517)</f>
        <v>0</v>
      </c>
      <c r="L2517" t="str" cm="1">
        <f t="array" ref="L2517" xml:space="preserve"> sentimentCategory(K2517)</f>
        <v>Neutral</v>
      </c>
    </row>
    <row r="2518" spans="1:12">
      <c r="A2518" t="s">
        <v>1570</v>
      </c>
      <c r="B2518" t="s">
        <v>1569</v>
      </c>
      <c r="C2518" t="str" cm="1">
        <f t="array" ref="C2518" xml:space="preserve"> CleanText(B2518)</f>
        <v>netflix nailed one piece so i have faith that they can nail avatar as well hopefully the trailer is not a lie like the m night version</v>
      </c>
      <c r="D2518">
        <v>0</v>
      </c>
      <c r="E2518">
        <v>0</v>
      </c>
      <c r="F2518" t="s">
        <v>19</v>
      </c>
      <c r="G2518" t="str" cm="1">
        <f t="array" ref="G2518" xml:space="preserve"> FindCountryName(F2518)</f>
        <v>United States of America (the)</v>
      </c>
      <c r="H2518" s="1">
        <v>45268.913564814815</v>
      </c>
      <c r="I2518" s="1">
        <v>45268.913564814815</v>
      </c>
      <c r="J2518" s="1">
        <v>43077.864872685182</v>
      </c>
      <c r="K2518" cm="1">
        <f t="array" ref="K2518" xml:space="preserve"> sentimentCalc(C2518)</f>
        <v>5</v>
      </c>
      <c r="L2518" t="str" cm="1">
        <f t="array" ref="L2518" xml:space="preserve"> sentimentCategory(K2518)</f>
        <v>Positive</v>
      </c>
    </row>
    <row r="2519" spans="1:12">
      <c r="A2519" t="s">
        <v>644</v>
      </c>
      <c r="B2519" t="s">
        <v>1568</v>
      </c>
      <c r="C2519" t="str" cm="1">
        <f t="array" ref="C2519" xml:space="preserve"> CleanText(B2519)</f>
        <v>its honestly very funny that the narration says keep it straight right on an image where sokka is crossdressing</v>
      </c>
      <c r="D2519">
        <v>0</v>
      </c>
      <c r="E2519">
        <v>0</v>
      </c>
      <c r="F2519" t="s">
        <v>0</v>
      </c>
      <c r="G2519" t="str" cm="1">
        <f t="array" ref="G2519" xml:space="preserve"> FindCountryName(F2519)</f>
        <v>None</v>
      </c>
      <c r="H2519" s="1">
        <v>45268.890706018516</v>
      </c>
      <c r="I2519" s="1">
        <v>45268.890706018516</v>
      </c>
      <c r="J2519" s="1">
        <v>38942.237766203703</v>
      </c>
      <c r="K2519" cm="1">
        <f t="array" ref="K2519" xml:space="preserve"> sentimentCalc(C2519)</f>
        <v>5</v>
      </c>
      <c r="L2519" t="str" cm="1">
        <f t="array" ref="L2519" xml:space="preserve"> sentimentCategory(K2519)</f>
        <v>Positive</v>
      </c>
    </row>
    <row r="2520" spans="1:12">
      <c r="A2520" t="s">
        <v>51</v>
      </c>
      <c r="B2520" t="s">
        <v>1567</v>
      </c>
      <c r="C2520" t="str" cm="1">
        <f t="array" ref="C2520" xml:space="preserve"> CleanText(B2520)</f>
        <v>its a no from me</v>
      </c>
      <c r="D2520">
        <v>0</v>
      </c>
      <c r="E2520">
        <v>0</v>
      </c>
      <c r="F2520" t="s">
        <v>0</v>
      </c>
      <c r="G2520" t="str" cm="1">
        <f t="array" ref="G2520" xml:space="preserve"> FindCountryName(F2520)</f>
        <v>None</v>
      </c>
      <c r="H2520" s="1">
        <v>45268.872453703705</v>
      </c>
      <c r="I2520" s="1">
        <v>45268.872453703705</v>
      </c>
      <c r="J2520" s="1">
        <v>41532.99523148148</v>
      </c>
      <c r="K2520" cm="1">
        <f t="array" ref="K2520" xml:space="preserve"> sentimentCalc(C2520)</f>
        <v>-1</v>
      </c>
      <c r="L2520" t="str" cm="1">
        <f t="array" ref="L2520" xml:space="preserve"> sentimentCategory(K2520)</f>
        <v>Negative</v>
      </c>
    </row>
    <row r="2521" spans="1:12">
      <c r="A2521" t="s">
        <v>796</v>
      </c>
      <c r="B2521" t="s">
        <v>1566</v>
      </c>
      <c r="C2521" t="str" cm="1">
        <f t="array" ref="C2521" xml:space="preserve"> CleanText(B2521)</f>
        <v>they messed up on the first movie so bad i had lost hopei believe in one fight scene they had a large group of fighters break dancing to move one rockall aangs fights were just him sliding in slow motion for the entire movie</v>
      </c>
      <c r="D2521">
        <v>0</v>
      </c>
      <c r="E2521">
        <v>0</v>
      </c>
      <c r="F2521" t="s">
        <v>0</v>
      </c>
      <c r="G2521" t="str" cm="1">
        <f t="array" ref="G2521" xml:space="preserve"> FindCountryName(F2521)</f>
        <v>None</v>
      </c>
      <c r="H2521" s="1">
        <v>45268.86</v>
      </c>
      <c r="I2521" s="1">
        <v>45268.86</v>
      </c>
      <c r="J2521" s="1">
        <v>42122.066099537034</v>
      </c>
      <c r="K2521" cm="1">
        <f t="array" ref="K2521" xml:space="preserve"> sentimentCalc(C2521)</f>
        <v>-9</v>
      </c>
      <c r="L2521" t="str" cm="1">
        <f t="array" ref="L2521" xml:space="preserve"> sentimentCategory(K2521)</f>
        <v>Negative</v>
      </c>
    </row>
    <row r="2522" spans="1:12">
      <c r="A2522" t="s">
        <v>1565</v>
      </c>
      <c r="B2522" t="s">
        <v>1564</v>
      </c>
      <c r="C2522" t="str" cm="1">
        <f t="array" ref="C2522" xml:space="preserve"> CleanText(B2522)</f>
        <v>been waiting _xDE0A_hope its good</v>
      </c>
      <c r="D2522">
        <v>0</v>
      </c>
      <c r="E2522">
        <v>0</v>
      </c>
      <c r="F2522" t="s">
        <v>0</v>
      </c>
      <c r="G2522" t="str" cm="1">
        <f t="array" ref="G2522" xml:space="preserve"> FindCountryName(F2522)</f>
        <v>None</v>
      </c>
      <c r="H2522" s="1">
        <v>45268.853483796294</v>
      </c>
      <c r="I2522" s="1">
        <v>45268.853483796294</v>
      </c>
      <c r="J2522" s="1">
        <v>42587.030902777777</v>
      </c>
      <c r="K2522" cm="1">
        <f t="array" ref="K2522" xml:space="preserve"> sentimentCalc(C2522)</f>
        <v>3</v>
      </c>
      <c r="L2522" t="str" cm="1">
        <f t="array" ref="L2522" xml:space="preserve"> sentimentCategory(K2522)</f>
        <v>Positive</v>
      </c>
    </row>
    <row r="2523" spans="1:12">
      <c r="A2523" t="s">
        <v>1563</v>
      </c>
      <c r="B2523" t="s">
        <v>1562</v>
      </c>
      <c r="C2523" t="str" cm="1">
        <f t="array" ref="C2523" xml:space="preserve"> CleanText(B2523)</f>
        <v>beautifull this time i wanna see that he masters all four elementss</v>
      </c>
      <c r="D2523">
        <v>0</v>
      </c>
      <c r="E2523">
        <v>0</v>
      </c>
      <c r="F2523" t="s">
        <v>0</v>
      </c>
      <c r="G2523" t="str" cm="1">
        <f t="array" ref="G2523" xml:space="preserve"> FindCountryName(F2523)</f>
        <v>None</v>
      </c>
      <c r="H2523" s="1">
        <v>45268.840567129628</v>
      </c>
      <c r="I2523" s="1">
        <v>45268.840567129628</v>
      </c>
      <c r="J2523" s="1">
        <v>43816.715462962966</v>
      </c>
      <c r="K2523" cm="1">
        <f t="array" ref="K2523" xml:space="preserve"> sentimentCalc(C2523)</f>
        <v>0</v>
      </c>
      <c r="L2523" t="str" cm="1">
        <f t="array" ref="L2523" xml:space="preserve"> sentimentCategory(K2523)</f>
        <v>Neutral</v>
      </c>
    </row>
    <row r="2524" spans="1:12">
      <c r="A2524" t="s">
        <v>1561</v>
      </c>
      <c r="B2524" t="s">
        <v>1560</v>
      </c>
      <c r="C2524" t="str" cm="1">
        <f t="array" ref="C2524" xml:space="preserve"> CleanText(B2524)</f>
        <v>first pjo gets a liveaction remakeremake and now avatar have i already gone to heaven</v>
      </c>
      <c r="D2524">
        <v>0</v>
      </c>
      <c r="E2524">
        <v>0</v>
      </c>
      <c r="F2524" t="s">
        <v>0</v>
      </c>
      <c r="G2524" t="str" cm="1">
        <f t="array" ref="G2524" xml:space="preserve"> FindCountryName(F2524)</f>
        <v>None</v>
      </c>
      <c r="H2524" s="1">
        <v>45268.812696759262</v>
      </c>
      <c r="I2524" s="1">
        <v>45268.812696759262</v>
      </c>
      <c r="J2524" s="1">
        <v>45246.682928240742</v>
      </c>
      <c r="K2524" cm="1">
        <f t="array" ref="K2524" xml:space="preserve"> sentimentCalc(C2524)</f>
        <v>2</v>
      </c>
      <c r="L2524" t="str" cm="1">
        <f t="array" ref="L2524" xml:space="preserve"> sentimentCategory(K2524)</f>
        <v>Positive</v>
      </c>
    </row>
    <row r="2525" spans="1:12">
      <c r="A2525" t="s">
        <v>1559</v>
      </c>
      <c r="B2525" t="s">
        <v>1558</v>
      </c>
      <c r="C2525" t="str" cm="1">
        <f t="array" ref="C2525" xml:space="preserve"> CleanText(B2525)</f>
        <v>he is back_xDE22_</v>
      </c>
      <c r="D2525">
        <v>0</v>
      </c>
      <c r="E2525">
        <v>0</v>
      </c>
      <c r="F2525" t="s">
        <v>0</v>
      </c>
      <c r="G2525" t="str" cm="1">
        <f t="array" ref="G2525" xml:space="preserve"> FindCountryName(F2525)</f>
        <v>None</v>
      </c>
      <c r="H2525" s="1">
        <v>45268.69604166667</v>
      </c>
      <c r="I2525" s="1">
        <v>45268.69604166667</v>
      </c>
      <c r="J2525" s="1">
        <v>45081.682812500003</v>
      </c>
      <c r="K2525" cm="1">
        <f t="array" ref="K2525" xml:space="preserve"> sentimentCalc(C2525)</f>
        <v>0</v>
      </c>
      <c r="L2525" t="str" cm="1">
        <f t="array" ref="L2525" xml:space="preserve"> sentimentCategory(K2525)</f>
        <v>Neutral</v>
      </c>
    </row>
    <row r="2526" spans="1:12">
      <c r="A2526" t="s">
        <v>1209</v>
      </c>
      <c r="B2526" t="s">
        <v>1557</v>
      </c>
      <c r="C2526" t="str" cm="1">
        <f t="array" ref="C2526" xml:space="preserve"> CleanText(B2526)</f>
        <v>now this it wtf i am talking about</v>
      </c>
      <c r="D2526">
        <v>0</v>
      </c>
      <c r="E2526">
        <v>0</v>
      </c>
      <c r="F2526" t="s">
        <v>19</v>
      </c>
      <c r="G2526" t="str" cm="1">
        <f t="array" ref="G2526" xml:space="preserve"> FindCountryName(F2526)</f>
        <v>United States of America (the)</v>
      </c>
      <c r="H2526" s="1">
        <v>45268.677893518521</v>
      </c>
      <c r="I2526" s="1">
        <v>45268.677893518521</v>
      </c>
      <c r="J2526" s="1">
        <v>38830.385740740741</v>
      </c>
      <c r="K2526" cm="1">
        <f t="array" ref="K2526" xml:space="preserve"> sentimentCalc(C2526)</f>
        <v>0</v>
      </c>
      <c r="L2526" t="str" cm="1">
        <f t="array" ref="L2526" xml:space="preserve"> sentimentCategory(K2526)</f>
        <v>Neutral</v>
      </c>
    </row>
    <row r="2527" spans="1:12">
      <c r="A2527" t="s">
        <v>1556</v>
      </c>
      <c r="B2527" t="s">
        <v>1555</v>
      </c>
      <c r="C2527" t="str" cm="1">
        <f t="array" ref="C2527" xml:space="preserve"> CleanText(B2527)</f>
        <v>somehow someway theyll find a way to ruin it</v>
      </c>
      <c r="D2527">
        <v>0</v>
      </c>
      <c r="E2527">
        <v>0</v>
      </c>
      <c r="F2527" t="s">
        <v>39</v>
      </c>
      <c r="G2527" t="str" cm="1">
        <f t="array" ref="G2527" xml:space="preserve"> FindCountryName(F2527)</f>
        <v>United Kingdom of Great Britain and Northern Ireland (the)</v>
      </c>
      <c r="H2527" s="1">
        <v>45268.665729166663</v>
      </c>
      <c r="I2527" s="1">
        <v>45268.665729166663</v>
      </c>
      <c r="J2527" s="1">
        <v>42561.814872685187</v>
      </c>
      <c r="K2527" cm="1">
        <f t="array" ref="K2527" xml:space="preserve"> sentimentCalc(C2527)</f>
        <v>-2</v>
      </c>
      <c r="L2527" t="str" cm="1">
        <f t="array" ref="L2527" xml:space="preserve"> sentimentCategory(K2527)</f>
        <v>Negative</v>
      </c>
    </row>
    <row r="2528" spans="1:12">
      <c r="A2528" t="s">
        <v>1554</v>
      </c>
      <c r="B2528" t="s">
        <v>1553</v>
      </c>
      <c r="C2528" t="str" cm="1">
        <f t="array" ref="C2528" xml:space="preserve"> CleanText(B2528)</f>
        <v>where katara and sokka  if you know what i mean</v>
      </c>
      <c r="D2528">
        <v>1</v>
      </c>
      <c r="E2528">
        <v>1</v>
      </c>
      <c r="F2528" t="s">
        <v>0</v>
      </c>
      <c r="G2528" t="str" cm="1">
        <f t="array" ref="G2528" xml:space="preserve"> FindCountryName(F2528)</f>
        <v>None</v>
      </c>
      <c r="H2528" s="1">
        <v>45268.654386574075</v>
      </c>
      <c r="I2528" s="1">
        <v>45268.654386574075</v>
      </c>
      <c r="J2528" s="1">
        <v>44490.584837962961</v>
      </c>
      <c r="K2528" cm="1">
        <f t="array" ref="K2528" xml:space="preserve"> sentimentCalc(C2528)</f>
        <v>0</v>
      </c>
      <c r="L2528" t="str" cm="1">
        <f t="array" ref="L2528" xml:space="preserve"> sentimentCategory(K2528)</f>
        <v>Neutral</v>
      </c>
    </row>
    <row r="2529" spans="1:12">
      <c r="A2529" t="s">
        <v>1552</v>
      </c>
      <c r="B2529" t="s">
        <v>1551</v>
      </c>
      <c r="C2529" t="str" cm="1">
        <f t="array" ref="C2529" xml:space="preserve"> CleanText(B2529)</f>
        <v>i love this movie</v>
      </c>
      <c r="D2529">
        <v>0</v>
      </c>
      <c r="E2529">
        <v>0</v>
      </c>
      <c r="F2529" t="s">
        <v>0</v>
      </c>
      <c r="G2529" t="str" cm="1">
        <f t="array" ref="G2529" xml:space="preserve"> FindCountryName(F2529)</f>
        <v>None</v>
      </c>
      <c r="H2529" s="1">
        <v>45268.632754629631</v>
      </c>
      <c r="I2529" s="1">
        <v>45268.632754629631</v>
      </c>
      <c r="J2529" s="1">
        <v>45028.277800925927</v>
      </c>
      <c r="K2529" cm="1">
        <f t="array" ref="K2529" xml:space="preserve"> sentimentCalc(C2529)</f>
        <v>3</v>
      </c>
      <c r="L2529" t="str" cm="1">
        <f t="array" ref="L2529" xml:space="preserve"> sentimentCategory(K2529)</f>
        <v>Positive</v>
      </c>
    </row>
    <row r="2530" spans="1:12">
      <c r="A2530" t="s">
        <v>1550</v>
      </c>
      <c r="B2530" t="s">
        <v>1549</v>
      </c>
      <c r="C2530" t="str" cm="1">
        <f t="array" ref="C2530" xml:space="preserve"> CleanText(B2530)</f>
        <v>why is katara and sokka white?</v>
      </c>
      <c r="D2530">
        <v>1</v>
      </c>
      <c r="E2530">
        <v>1</v>
      </c>
      <c r="F2530" t="s">
        <v>0</v>
      </c>
      <c r="G2530" t="str" cm="1">
        <f t="array" ref="G2530" xml:space="preserve"> FindCountryName(F2530)</f>
        <v>None</v>
      </c>
      <c r="H2530" s="1">
        <v>45268.616400462961</v>
      </c>
      <c r="I2530" s="1">
        <v>45268.616400462961</v>
      </c>
      <c r="J2530" s="1">
        <v>43721.679571759261</v>
      </c>
      <c r="K2530" cm="1">
        <f t="array" ref="K2530" xml:space="preserve"> sentimentCalc(C2530)</f>
        <v>0</v>
      </c>
      <c r="L2530" t="str" cm="1">
        <f t="array" ref="L2530" xml:space="preserve"> sentimentCategory(K2530)</f>
        <v>Neutral</v>
      </c>
    </row>
    <row r="2531" spans="1:12">
      <c r="A2531" t="s">
        <v>76</v>
      </c>
      <c r="B2531" t="s">
        <v>1548</v>
      </c>
      <c r="C2531" t="str" cm="1">
        <f t="array" ref="C2531" xml:space="preserve"> CleanText(B2531)</f>
        <v>i cant wait  avatar is pure love  ty netflix</v>
      </c>
      <c r="D2531">
        <v>0</v>
      </c>
      <c r="E2531">
        <v>0</v>
      </c>
      <c r="F2531" t="s">
        <v>0</v>
      </c>
      <c r="G2531" t="str" cm="1">
        <f t="array" ref="G2531" xml:space="preserve"> FindCountryName(F2531)</f>
        <v>None</v>
      </c>
      <c r="H2531" s="1">
        <v>45268.5934837963</v>
      </c>
      <c r="I2531" s="1">
        <v>45268.5934837963</v>
      </c>
      <c r="J2531" s="1">
        <v>41616.747430555559</v>
      </c>
      <c r="K2531" cm="1">
        <f t="array" ref="K2531" xml:space="preserve"> sentimentCalc(C2531)</f>
        <v>3</v>
      </c>
      <c r="L2531" t="str" cm="1">
        <f t="array" ref="L2531" xml:space="preserve"> sentimentCategory(K2531)</f>
        <v>Positive</v>
      </c>
    </row>
    <row r="2532" spans="1:12">
      <c r="A2532" t="s">
        <v>1547</v>
      </c>
      <c r="B2532" t="s">
        <v>1546</v>
      </c>
      <c r="C2532" t="str" cm="1">
        <f t="array" ref="C2532" xml:space="preserve"> CleanText(B2532)</f>
        <v>its impossible to make it better than original cartoon</v>
      </c>
      <c r="D2532">
        <v>0</v>
      </c>
      <c r="E2532">
        <v>0</v>
      </c>
      <c r="F2532" t="s">
        <v>0</v>
      </c>
      <c r="G2532" t="str" cm="1">
        <f t="array" ref="G2532" xml:space="preserve"> FindCountryName(F2532)</f>
        <v>None</v>
      </c>
      <c r="H2532" s="1">
        <v>45268.580983796295</v>
      </c>
      <c r="I2532" s="1">
        <v>45268.580983796295</v>
      </c>
      <c r="J2532" s="1">
        <v>40269.165023148147</v>
      </c>
      <c r="K2532" cm="1">
        <f t="array" ref="K2532" xml:space="preserve"> sentimentCalc(C2532)</f>
        <v>2</v>
      </c>
      <c r="L2532" t="str" cm="1">
        <f t="array" ref="L2532" xml:space="preserve"> sentimentCategory(K2532)</f>
        <v>Positive</v>
      </c>
    </row>
    <row r="2533" spans="1:12">
      <c r="A2533" t="s">
        <v>1446</v>
      </c>
      <c r="B2533" t="s">
        <v>1545</v>
      </c>
      <c r="C2533" t="str" cm="1">
        <f t="array" ref="C2533" xml:space="preserve"> CleanText(B2533)</f>
        <v>official trailer on the winter scoliosist plz and trailer at the super bowl</v>
      </c>
      <c r="D2533">
        <v>0</v>
      </c>
      <c r="E2533">
        <v>0</v>
      </c>
      <c r="F2533" t="s">
        <v>0</v>
      </c>
      <c r="G2533" t="str" cm="1">
        <f t="array" ref="G2533" xml:space="preserve"> FindCountryName(F2533)</f>
        <v>None</v>
      </c>
      <c r="H2533" s="1">
        <v>45268.580648148149</v>
      </c>
      <c r="I2533" s="1">
        <v>45268.580648148149</v>
      </c>
      <c r="J2533" s="1">
        <v>43201.672013888892</v>
      </c>
      <c r="K2533" cm="1">
        <f t="array" ref="K2533" xml:space="preserve"> sentimentCalc(C2533)</f>
        <v>3</v>
      </c>
      <c r="L2533" t="str" cm="1">
        <f t="array" ref="L2533" xml:space="preserve"> sentimentCategory(K2533)</f>
        <v>Positive</v>
      </c>
    </row>
    <row r="2534" spans="1:12">
      <c r="A2534" t="s">
        <v>317</v>
      </c>
      <c r="B2534" t="s">
        <v>1544</v>
      </c>
      <c r="C2534" t="str" cm="1">
        <f t="array" ref="C2534" xml:space="preserve"> CleanText(B2534)</f>
        <v>the way i recognised that shot of kyoshi island immediately</v>
      </c>
      <c r="D2534">
        <v>0</v>
      </c>
      <c r="E2534">
        <v>0</v>
      </c>
      <c r="F2534" t="s">
        <v>0</v>
      </c>
      <c r="G2534" t="str" cm="1">
        <f t="array" ref="G2534" xml:space="preserve"> FindCountryName(F2534)</f>
        <v>None</v>
      </c>
      <c r="H2534" s="1">
        <v>45268.519201388888</v>
      </c>
      <c r="I2534" s="1">
        <v>45268.519201388888</v>
      </c>
      <c r="J2534" s="1">
        <v>43436.515844907408</v>
      </c>
      <c r="K2534" cm="1">
        <f t="array" ref="K2534" xml:space="preserve"> sentimentCalc(C2534)</f>
        <v>0</v>
      </c>
      <c r="L2534" t="str" cm="1">
        <f t="array" ref="L2534" xml:space="preserve"> sentimentCategory(K2534)</f>
        <v>Neutral</v>
      </c>
    </row>
    <row r="2535" spans="1:12">
      <c r="A2535" t="s">
        <v>591</v>
      </c>
      <c r="B2535" t="s">
        <v>1543</v>
      </c>
      <c r="C2535" t="str" cm="1">
        <f t="array" ref="C2535" xml:space="preserve"> CleanText(B2535)</f>
        <v>childhood we have waited for so long</v>
      </c>
      <c r="D2535">
        <v>0</v>
      </c>
      <c r="E2535">
        <v>0</v>
      </c>
      <c r="F2535" t="s">
        <v>0</v>
      </c>
      <c r="G2535" t="str" cm="1">
        <f t="array" ref="G2535" xml:space="preserve"> FindCountryName(F2535)</f>
        <v>None</v>
      </c>
      <c r="H2535" s="1">
        <v>45268.503854166665</v>
      </c>
      <c r="I2535" s="1">
        <v>45268.503854166665</v>
      </c>
      <c r="J2535" s="1">
        <v>44341.214328703703</v>
      </c>
      <c r="K2535" cm="1">
        <f t="array" ref="K2535" xml:space="preserve"> sentimentCalc(C2535)</f>
        <v>0</v>
      </c>
      <c r="L2535" t="str" cm="1">
        <f t="array" ref="L2535" xml:space="preserve"> sentimentCategory(K2535)</f>
        <v>Neutral</v>
      </c>
    </row>
    <row r="2536" spans="1:12">
      <c r="A2536" t="s">
        <v>562</v>
      </c>
      <c r="B2536" t="s">
        <v>1542</v>
      </c>
      <c r="C2536" t="str" cm="1">
        <f t="array" ref="C2536" xml:space="preserve"> CleanText(B2536)</f>
        <v>looks better than the movie but still something is missingwhy there should be a live action when there is already an animated masterpiece</v>
      </c>
      <c r="D2536">
        <v>0</v>
      </c>
      <c r="E2536">
        <v>0</v>
      </c>
      <c r="F2536" t="s">
        <v>0</v>
      </c>
      <c r="G2536" t="str" cm="1">
        <f t="array" ref="G2536" xml:space="preserve"> FindCountryName(F2536)</f>
        <v>None</v>
      </c>
      <c r="H2536" s="1">
        <v>45268.491215277776</v>
      </c>
      <c r="I2536" s="1">
        <v>45268.491215277776</v>
      </c>
      <c r="J2536" s="1">
        <v>41586.981087962966</v>
      </c>
      <c r="K2536" cm="1">
        <f t="array" ref="K2536" xml:space="preserve"> sentimentCalc(C2536)</f>
        <v>6</v>
      </c>
      <c r="L2536" t="str" cm="1">
        <f t="array" ref="L2536" xml:space="preserve"> sentimentCategory(K2536)</f>
        <v>Positive</v>
      </c>
    </row>
    <row r="2537" spans="1:12">
      <c r="A2537" t="s">
        <v>1333</v>
      </c>
      <c r="B2537" t="s">
        <v>1541</v>
      </c>
      <c r="C2537" t="str" cm="1">
        <f t="array" ref="C2537" xml:space="preserve"> CleanText(B2537)</f>
        <v>w poprzedniej czci ksiniczka z krainy wody powicona bya zjawiskowo pikna ciekaw jestem jak bdzie w tej czci _xDE01_</v>
      </c>
      <c r="D2537">
        <v>3</v>
      </c>
      <c r="E2537">
        <v>0</v>
      </c>
      <c r="F2537" t="s">
        <v>0</v>
      </c>
      <c r="G2537" t="str" cm="1">
        <f t="array" ref="G2537" xml:space="preserve"> FindCountryName(F2537)</f>
        <v>None</v>
      </c>
      <c r="H2537" s="1">
        <v>45268.471736111111</v>
      </c>
      <c r="I2537" s="1">
        <v>45268.471736111111</v>
      </c>
      <c r="J2537" s="1">
        <v>40780.627013888887</v>
      </c>
      <c r="K2537" cm="1">
        <f t="array" ref="K2537" xml:space="preserve"> sentimentCalc(C2537)</f>
        <v>0</v>
      </c>
      <c r="L2537" t="str" cm="1">
        <f t="array" ref="L2537" xml:space="preserve"> sentimentCategory(K2537)</f>
        <v>Neutral</v>
      </c>
    </row>
    <row r="2538" spans="1:12">
      <c r="A2538" t="s">
        <v>223</v>
      </c>
      <c r="B2538" t="s">
        <v>1540</v>
      </c>
      <c r="C2538" t="str" cm="1">
        <f t="array" ref="C2538" xml:space="preserve"> CleanText(B2538)</f>
        <v>it depresses me that live action remakes like this get so much hype</v>
      </c>
      <c r="D2538">
        <v>1</v>
      </c>
      <c r="E2538">
        <v>0</v>
      </c>
      <c r="F2538" t="s">
        <v>0</v>
      </c>
      <c r="G2538" t="str" cm="1">
        <f t="array" ref="G2538" xml:space="preserve"> FindCountryName(F2538)</f>
        <v>None</v>
      </c>
      <c r="H2538" s="1">
        <v>45268.467164351852</v>
      </c>
      <c r="I2538" s="1">
        <v>45268.467164351852</v>
      </c>
      <c r="J2538" s="1">
        <v>44430.858460648145</v>
      </c>
      <c r="K2538" cm="1">
        <f t="array" ref="K2538" xml:space="preserve"> sentimentCalc(C2538)</f>
        <v>2</v>
      </c>
      <c r="L2538" t="str" cm="1">
        <f t="array" ref="L2538" xml:space="preserve"> sentimentCategory(K2538)</f>
        <v>Positive</v>
      </c>
    </row>
    <row r="2539" spans="1:12">
      <c r="A2539" t="s">
        <v>640</v>
      </c>
      <c r="B2539" t="s">
        <v>1539</v>
      </c>
      <c r="C2539" t="str" cm="1">
        <f t="array" ref="C2539" xml:space="preserve"> CleanText(B2539)</f>
        <v>if they make ben 0 web series with more episodes and seasons it will be more cool _xDD73_</v>
      </c>
      <c r="D2539">
        <v>1</v>
      </c>
      <c r="E2539">
        <v>0</v>
      </c>
      <c r="F2539" t="s">
        <v>0</v>
      </c>
      <c r="G2539" t="str" cm="1">
        <f t="array" ref="G2539" xml:space="preserve"> FindCountryName(F2539)</f>
        <v>None</v>
      </c>
      <c r="H2539" s="1">
        <v>45268.464930555558</v>
      </c>
      <c r="I2539" s="1">
        <v>45268.464930555558</v>
      </c>
      <c r="J2539" s="1">
        <v>44390.118101851855</v>
      </c>
      <c r="K2539" cm="1">
        <f t="array" ref="K2539" xml:space="preserve"> sentimentCalc(C2539)</f>
        <v>1</v>
      </c>
      <c r="L2539" t="str" cm="1">
        <f t="array" ref="L2539" xml:space="preserve"> sentimentCategory(K2539)</f>
        <v>Positive</v>
      </c>
    </row>
    <row r="2540" spans="1:12">
      <c r="A2540" t="s">
        <v>153</v>
      </c>
      <c r="B2540" t="s">
        <v>1538</v>
      </c>
      <c r="C2540" t="str" cm="1">
        <f t="array" ref="C2540" xml:space="preserve"> CleanText(B2540)</f>
        <v>now ur talking</v>
      </c>
      <c r="D2540">
        <v>0</v>
      </c>
      <c r="E2540">
        <v>0</v>
      </c>
      <c r="F2540" t="s">
        <v>0</v>
      </c>
      <c r="G2540" t="str" cm="1">
        <f t="array" ref="G2540" xml:space="preserve"> FindCountryName(F2540)</f>
        <v>None</v>
      </c>
      <c r="H2540" s="1">
        <v>45268.45579861111</v>
      </c>
      <c r="I2540" s="1">
        <v>45268.45579861111</v>
      </c>
      <c r="J2540" s="1">
        <v>41378.49732638889</v>
      </c>
      <c r="K2540" cm="1">
        <f t="array" ref="K2540" xml:space="preserve"> sentimentCalc(C2540)</f>
        <v>0</v>
      </c>
      <c r="L2540" t="str" cm="1">
        <f t="array" ref="L2540" xml:space="preserve"> sentimentCategory(K2540)</f>
        <v>Neutral</v>
      </c>
    </row>
    <row r="2541" spans="1:12">
      <c r="A2541" t="s">
        <v>1537</v>
      </c>
      <c r="B2541" t="s">
        <v>1536</v>
      </c>
      <c r="C2541" t="str" cm="1">
        <f t="array" ref="C2541" xml:space="preserve"> CleanText(B2541)</f>
        <v>wow  looking forward to this  the last adaptation had a lot of whitewashed main characters so this one is a big improvement</v>
      </c>
      <c r="D2541">
        <v>0</v>
      </c>
      <c r="E2541">
        <v>0</v>
      </c>
      <c r="F2541" t="s">
        <v>0</v>
      </c>
      <c r="G2541" t="str" cm="1">
        <f t="array" ref="G2541" xml:space="preserve"> FindCountryName(F2541)</f>
        <v>None</v>
      </c>
      <c r="H2541" s="1">
        <v>45268.438391203701</v>
      </c>
      <c r="I2541" s="1">
        <v>45268.438391203701</v>
      </c>
      <c r="J2541" s="1">
        <v>40556.047488425924</v>
      </c>
      <c r="K2541" cm="1">
        <f t="array" ref="K2541" xml:space="preserve"> sentimentCalc(C2541)</f>
        <v>7</v>
      </c>
      <c r="L2541" t="str" cm="1">
        <f t="array" ref="L2541" xml:space="preserve"> sentimentCategory(K2541)</f>
        <v>Positive</v>
      </c>
    </row>
    <row r="2542" spans="1:12">
      <c r="A2542" t="s">
        <v>1535</v>
      </c>
      <c r="B2542" t="s">
        <v>1534</v>
      </c>
      <c r="C2542" t="str" cm="1">
        <f t="array" ref="C2542" xml:space="preserve"> CleanText(B2542)</f>
        <v>yes  i cant wait</v>
      </c>
      <c r="D2542">
        <v>0</v>
      </c>
      <c r="E2542">
        <v>1</v>
      </c>
      <c r="F2542" t="s">
        <v>19</v>
      </c>
      <c r="G2542" t="str" cm="1">
        <f t="array" ref="G2542" xml:space="preserve"> FindCountryName(F2542)</f>
        <v>United States of America (the)</v>
      </c>
      <c r="H2542" s="1">
        <v>45268.413634259261</v>
      </c>
      <c r="I2542" s="1">
        <v>45268.413634259261</v>
      </c>
      <c r="J2542" s="1">
        <v>39574.052569444444</v>
      </c>
      <c r="K2542" cm="1">
        <f t="array" ref="K2542" xml:space="preserve"> sentimentCalc(C2542)</f>
        <v>1</v>
      </c>
      <c r="L2542" t="str" cm="1">
        <f t="array" ref="L2542" xml:space="preserve"> sentimentCategory(K2542)</f>
        <v>Positive</v>
      </c>
    </row>
    <row r="2543" spans="1:12">
      <c r="A2543" t="s">
        <v>774</v>
      </c>
      <c r="B2543" t="s">
        <v>1533</v>
      </c>
      <c r="C2543" t="str" cm="1">
        <f t="array" ref="C2543" xml:space="preserve"> CleanText(B2543)</f>
        <v>this looks awesome, please do dragonball z next netflix</v>
      </c>
      <c r="D2543">
        <v>0</v>
      </c>
      <c r="E2543">
        <v>0</v>
      </c>
      <c r="F2543" t="s">
        <v>0</v>
      </c>
      <c r="G2543" t="str" cm="1">
        <f t="array" ref="G2543" xml:space="preserve"> FindCountryName(F2543)</f>
        <v>None</v>
      </c>
      <c r="H2543" s="1">
        <v>45268.379120370373</v>
      </c>
      <c r="I2543" s="1">
        <v>45268.379120370373</v>
      </c>
      <c r="J2543" s="1">
        <v>43849.350925925923</v>
      </c>
      <c r="K2543" cm="1">
        <f t="array" ref="K2543" xml:space="preserve"> sentimentCalc(C2543)</f>
        <v>1</v>
      </c>
      <c r="L2543" t="str" cm="1">
        <f t="array" ref="L2543" xml:space="preserve"> sentimentCategory(K2543)</f>
        <v>Positive</v>
      </c>
    </row>
    <row r="2544" spans="1:12">
      <c r="A2544" t="s">
        <v>1150</v>
      </c>
      <c r="B2544" t="s">
        <v>1532</v>
      </c>
      <c r="C2544" t="str" cm="1">
        <f t="array" ref="C2544" xml:space="preserve"> CleanText(B2544)</f>
        <v>rt mong ch. xin ừng lm ti tht vng</v>
      </c>
      <c r="D2544">
        <v>0</v>
      </c>
      <c r="E2544">
        <v>0</v>
      </c>
      <c r="F2544" t="s">
        <v>0</v>
      </c>
      <c r="G2544" t="str" cm="1">
        <f t="array" ref="G2544" xml:space="preserve"> FindCountryName(F2544)</f>
        <v>None</v>
      </c>
      <c r="H2544" s="1">
        <v>45268.345706018517</v>
      </c>
      <c r="I2544" s="1">
        <v>45268.345706018517</v>
      </c>
      <c r="J2544" s="1">
        <v>43653.377800925926</v>
      </c>
      <c r="K2544" cm="1">
        <f t="array" ref="K2544" xml:space="preserve"> sentimentCalc(C2544)</f>
        <v>0</v>
      </c>
      <c r="L2544" t="str" cm="1">
        <f t="array" ref="L2544" xml:space="preserve"> sentimentCategory(K2544)</f>
        <v>Neutral</v>
      </c>
    </row>
    <row r="2545" spans="1:12">
      <c r="A2545" t="s">
        <v>418</v>
      </c>
      <c r="B2545" t="s">
        <v>1531</v>
      </c>
      <c r="C2545" t="str" cm="1">
        <f t="array" ref="C2545" xml:space="preserve"> CleanText(B2545)</f>
        <v>my name is oong_xDE02_</v>
      </c>
      <c r="D2545">
        <v>0</v>
      </c>
      <c r="E2545">
        <v>0</v>
      </c>
      <c r="F2545" t="s">
        <v>0</v>
      </c>
      <c r="G2545" t="str" cm="1">
        <f t="array" ref="G2545" xml:space="preserve"> FindCountryName(F2545)</f>
        <v>None</v>
      </c>
      <c r="H2545" s="1">
        <v>45268.343599537038</v>
      </c>
      <c r="I2545" s="1">
        <v>45268.343599537038</v>
      </c>
      <c r="J2545" s="1">
        <v>41878.088136574072</v>
      </c>
      <c r="K2545" cm="1">
        <f t="array" ref="K2545" xml:space="preserve"> sentimentCalc(C2545)</f>
        <v>0</v>
      </c>
      <c r="L2545" t="str" cm="1">
        <f t="array" ref="L2545" xml:space="preserve"> sentimentCategory(K2545)</f>
        <v>Neutral</v>
      </c>
    </row>
    <row r="2546" spans="1:12">
      <c r="A2546" t="s">
        <v>1530</v>
      </c>
      <c r="B2546" t="s">
        <v>1529</v>
      </c>
      <c r="C2546" t="str" cm="1">
        <f t="array" ref="C2546" xml:space="preserve"> CleanText(B2546)</f>
        <v>tha last one is indian and this one is too young for aangdd this one is a baby hehehedd how he gonna relationship with katara heehheh</v>
      </c>
      <c r="D2546">
        <v>0</v>
      </c>
      <c r="E2546">
        <v>0</v>
      </c>
      <c r="F2546" t="s">
        <v>0</v>
      </c>
      <c r="G2546" t="str" cm="1">
        <f t="array" ref="G2546" xml:space="preserve"> FindCountryName(F2546)</f>
        <v>None</v>
      </c>
      <c r="H2546" s="1">
        <v>45268.316053240742</v>
      </c>
      <c r="I2546" s="1">
        <v>45268.316053240742</v>
      </c>
      <c r="J2546" s="1">
        <v>39428.593773148146</v>
      </c>
      <c r="K2546" cm="1">
        <f t="array" ref="K2546" xml:space="preserve"> sentimentCalc(C2546)</f>
        <v>0</v>
      </c>
      <c r="L2546" t="str" cm="1">
        <f t="array" ref="L2546" xml:space="preserve"> sentimentCategory(K2546)</f>
        <v>Neutral</v>
      </c>
    </row>
    <row r="2547" spans="1:12">
      <c r="A2547" t="s">
        <v>1528</v>
      </c>
      <c r="B2547" t="s">
        <v>1527</v>
      </c>
      <c r="C2547" t="str" cm="1">
        <f t="array" ref="C2547" xml:space="preserve"> CleanText(B2547)</f>
        <v>ы    ья  рь, ю   ря . n</v>
      </c>
      <c r="D2547">
        <v>1</v>
      </c>
      <c r="E2547">
        <v>0</v>
      </c>
      <c r="F2547" t="s">
        <v>944</v>
      </c>
      <c r="G2547" t="str" cm="1">
        <f t="array" ref="G2547" xml:space="preserve"> FindCountryName(F2547)</f>
        <v>Russian Federation (the)</v>
      </c>
      <c r="H2547" s="1">
        <v>45268.3127662037</v>
      </c>
      <c r="I2547" s="1">
        <v>45268.3127662037</v>
      </c>
      <c r="J2547" s="1">
        <v>42639.467835648145</v>
      </c>
      <c r="K2547" cm="1">
        <f t="array" ref="K2547" xml:space="preserve"> sentimentCalc(C2547)</f>
        <v>0</v>
      </c>
      <c r="L2547" t="str" cm="1">
        <f t="array" ref="L2547" xml:space="preserve"> sentimentCategory(K2547)</f>
        <v>Neutral</v>
      </c>
    </row>
    <row r="2548" spans="1:12">
      <c r="A2548" t="s">
        <v>26</v>
      </c>
      <c r="B2548" t="s">
        <v>1526</v>
      </c>
      <c r="C2548" t="str" cm="1">
        <f t="array" ref="C2548" xml:space="preserve"> CleanText(B2548)</f>
        <v>firelord ozai_xDD23_</v>
      </c>
      <c r="D2548">
        <v>0</v>
      </c>
      <c r="E2548">
        <v>0</v>
      </c>
      <c r="F2548" t="s">
        <v>0</v>
      </c>
      <c r="G2548" t="str" cm="1">
        <f t="array" ref="G2548" xml:space="preserve"> FindCountryName(F2548)</f>
        <v>None</v>
      </c>
      <c r="H2548" s="1">
        <v>45268.306516203702</v>
      </c>
      <c r="I2548" s="1">
        <v>45268.306516203702</v>
      </c>
      <c r="J2548" s="1">
        <v>44051.784583333334</v>
      </c>
      <c r="K2548" cm="1">
        <f t="array" ref="K2548" xml:space="preserve"> sentimentCalc(C2548)</f>
        <v>0</v>
      </c>
      <c r="L2548" t="str" cm="1">
        <f t="array" ref="L2548" xml:space="preserve"> sentimentCategory(K2548)</f>
        <v>Neutral</v>
      </c>
    </row>
    <row r="2549" spans="1:12">
      <c r="A2549" t="s">
        <v>1525</v>
      </c>
      <c r="B2549" t="s">
        <v>1524</v>
      </c>
      <c r="C2549" t="str" cm="1">
        <f t="array" ref="C2549" xml:space="preserve"> CleanText(B2549)</f>
        <v>the arrow tattoo on his looks like shit</v>
      </c>
      <c r="D2549">
        <v>0</v>
      </c>
      <c r="E2549">
        <v>0</v>
      </c>
      <c r="F2549" t="s">
        <v>1523</v>
      </c>
      <c r="G2549" t="str" cm="1">
        <f t="array" ref="G2549" xml:space="preserve"> FindCountryName(F2549)</f>
        <v>Turkey</v>
      </c>
      <c r="H2549" s="1">
        <v>45268.270578703705</v>
      </c>
      <c r="I2549" s="1">
        <v>45268.270844907405</v>
      </c>
      <c r="J2549" s="1">
        <v>42420.176030092596</v>
      </c>
      <c r="K2549" cm="1">
        <f t="array" ref="K2549" xml:space="preserve"> sentimentCalc(C2549)</f>
        <v>2</v>
      </c>
      <c r="L2549" t="str" cm="1">
        <f t="array" ref="L2549" xml:space="preserve"> sentimentCategory(K2549)</f>
        <v>Positive</v>
      </c>
    </row>
    <row r="2550" spans="1:12">
      <c r="A2550" t="s">
        <v>1522</v>
      </c>
      <c r="B2550" t="s">
        <v>1521</v>
      </c>
      <c r="C2550" t="str" cm="1">
        <f t="array" ref="C2550" xml:space="preserve"> CleanText(B2550)</f>
        <v>ggs</v>
      </c>
      <c r="D2550">
        <v>0</v>
      </c>
      <c r="E2550">
        <v>0</v>
      </c>
      <c r="F2550" t="s">
        <v>0</v>
      </c>
      <c r="G2550" t="str" cm="1">
        <f t="array" ref="G2550" xml:space="preserve"> FindCountryName(F2550)</f>
        <v>None</v>
      </c>
      <c r="H2550" s="1">
        <v>45268.237800925926</v>
      </c>
      <c r="I2550" s="1">
        <v>45268.237800925926</v>
      </c>
      <c r="J2550" s="1">
        <v>44995.332905092589</v>
      </c>
      <c r="K2550" cm="1">
        <f t="array" ref="K2550" xml:space="preserve"> sentimentCalc(C2550)</f>
        <v>0</v>
      </c>
      <c r="L2550" t="str" cm="1">
        <f t="array" ref="L2550" xml:space="preserve"> sentimentCategory(K2550)</f>
        <v>Neutral</v>
      </c>
    </row>
    <row r="2551" spans="1:12">
      <c r="A2551" t="s">
        <v>1520</v>
      </c>
      <c r="B2551" t="s">
        <v>1519</v>
      </c>
      <c r="C2551" t="str" cm="1">
        <f t="array" ref="C2551" xml:space="preserve"> CleanText(B2551)</f>
        <v>nothing beats the animation if u agree put a thumb</v>
      </c>
      <c r="D2551">
        <v>1</v>
      </c>
      <c r="E2551">
        <v>0</v>
      </c>
      <c r="F2551" t="s">
        <v>0</v>
      </c>
      <c r="G2551" t="str" cm="1">
        <f t="array" ref="G2551" xml:space="preserve"> FindCountryName(F2551)</f>
        <v>None</v>
      </c>
      <c r="H2551" s="1">
        <v>45268.194409722222</v>
      </c>
      <c r="I2551" s="1">
        <v>45268.194409722222</v>
      </c>
      <c r="J2551" s="1">
        <v>44498.287800925929</v>
      </c>
      <c r="K2551" cm="1">
        <f t="array" ref="K2551" xml:space="preserve"> sentimentCalc(C2551)</f>
        <v>1</v>
      </c>
      <c r="L2551" t="str" cm="1">
        <f t="array" ref="L2551" xml:space="preserve"> sentimentCategory(K2551)</f>
        <v>Positive</v>
      </c>
    </row>
    <row r="2552" spans="1:12">
      <c r="A2552" t="s">
        <v>259</v>
      </c>
      <c r="B2552" t="s">
        <v>1518</v>
      </c>
      <c r="C2552" t="str" cm="1">
        <f t="array" ref="C2552" xml:space="preserve"> CleanText(B2552)</f>
        <v>this is freakin crazzzyyyyyyy dudeeee</v>
      </c>
      <c r="D2552">
        <v>0</v>
      </c>
      <c r="E2552">
        <v>0</v>
      </c>
      <c r="F2552" t="s">
        <v>0</v>
      </c>
      <c r="G2552" t="str" cm="1">
        <f t="array" ref="G2552" xml:space="preserve"> FindCountryName(F2552)</f>
        <v>None</v>
      </c>
      <c r="H2552" s="1">
        <v>45268.172824074078</v>
      </c>
      <c r="I2552" s="1">
        <v>45268.172824074078</v>
      </c>
      <c r="J2552" s="1">
        <v>44445.087187500001</v>
      </c>
      <c r="K2552" cm="1">
        <f t="array" ref="K2552" xml:space="preserve"> sentimentCalc(C2552)</f>
        <v>0</v>
      </c>
      <c r="L2552" t="str" cm="1">
        <f t="array" ref="L2552" xml:space="preserve"> sentimentCategory(K2552)</f>
        <v>Neutral</v>
      </c>
    </row>
    <row r="2553" spans="1:12">
      <c r="A2553" t="s">
        <v>121</v>
      </c>
      <c r="B2553" t="s">
        <v>1517</v>
      </c>
      <c r="C2553" t="str" cm="1">
        <f t="array" ref="C2553" xml:space="preserve"> CleanText(B2553)</f>
        <v>oh no not again</v>
      </c>
      <c r="D2553">
        <v>0</v>
      </c>
      <c r="E2553">
        <v>0</v>
      </c>
      <c r="F2553" t="s">
        <v>0</v>
      </c>
      <c r="G2553" t="str" cm="1">
        <f t="array" ref="G2553" xml:space="preserve"> FindCountryName(F2553)</f>
        <v>None</v>
      </c>
      <c r="H2553" s="1">
        <v>45268.143229166664</v>
      </c>
      <c r="I2553" s="1">
        <v>45268.143229166664</v>
      </c>
      <c r="J2553" s="1">
        <v>43923.607789351852</v>
      </c>
      <c r="K2553" cm="1">
        <f t="array" ref="K2553" xml:space="preserve"> sentimentCalc(C2553)</f>
        <v>-1</v>
      </c>
      <c r="L2553" t="str" cm="1">
        <f t="array" ref="L2553" xml:space="preserve"> sentimentCategory(K2553)</f>
        <v>Negative</v>
      </c>
    </row>
    <row r="2554" spans="1:12">
      <c r="A2554" t="s">
        <v>865</v>
      </c>
      <c r="B2554" t="s">
        <v>1516</v>
      </c>
      <c r="C2554" t="str" cm="1">
        <f t="array" ref="C2554" xml:space="preserve"> CleanText(B2554)</f>
        <v>sukiiiiii</v>
      </c>
      <c r="D2554">
        <v>0</v>
      </c>
      <c r="E2554">
        <v>0</v>
      </c>
      <c r="F2554" t="s">
        <v>0</v>
      </c>
      <c r="G2554" t="str" cm="1">
        <f t="array" ref="G2554" xml:space="preserve"> FindCountryName(F2554)</f>
        <v>None</v>
      </c>
      <c r="H2554" s="1">
        <v>45268.126168981478</v>
      </c>
      <c r="I2554" s="1">
        <v>45268.126168981478</v>
      </c>
      <c r="J2554" s="1">
        <v>44148.118136574078</v>
      </c>
      <c r="K2554" cm="1">
        <f t="array" ref="K2554" xml:space="preserve"> sentimentCalc(C2554)</f>
        <v>0</v>
      </c>
      <c r="L2554" t="str" cm="1">
        <f t="array" ref="L2554" xml:space="preserve"> sentimentCategory(K2554)</f>
        <v>Neutral</v>
      </c>
    </row>
    <row r="2555" spans="1:12">
      <c r="A2555" t="s">
        <v>508</v>
      </c>
      <c r="B2555" t="s">
        <v>1515</v>
      </c>
      <c r="C2555" t="str" cm="1">
        <f t="array" ref="C2555" xml:space="preserve"> CleanText(B2555)</f>
        <v>this looks like its going to be phenomenal considering what netflix did with shows like wednesday and one piece i think they are going to finally give us the live action we deserve</v>
      </c>
      <c r="D2555">
        <v>3</v>
      </c>
      <c r="E2555">
        <v>0</v>
      </c>
      <c r="F2555" t="s">
        <v>0</v>
      </c>
      <c r="G2555" t="str" cm="1">
        <f t="array" ref="G2555" xml:space="preserve"> FindCountryName(F2555)</f>
        <v>None</v>
      </c>
      <c r="H2555" s="1">
        <v>45268.12090277778</v>
      </c>
      <c r="I2555" s="1">
        <v>45268.12090277778</v>
      </c>
      <c r="J2555" s="1">
        <v>41672.885787037034</v>
      </c>
      <c r="K2555" cm="1">
        <f t="array" ref="K2555" xml:space="preserve"> sentimentCalc(C2555)</f>
        <v>4</v>
      </c>
      <c r="L2555" t="str" cm="1">
        <f t="array" ref="L2555" xml:space="preserve"> sentimentCategory(K2555)</f>
        <v>Positive</v>
      </c>
    </row>
    <row r="2556" spans="1:12">
      <c r="A2556" t="s">
        <v>950</v>
      </c>
      <c r="B2556" t="s">
        <v>1514</v>
      </c>
      <c r="C2556" t="str" cm="1">
        <f t="array" ref="C2556" xml:space="preserve"> CleanText(B2556)</f>
        <v>please please netflix dont mess this</v>
      </c>
      <c r="D2556">
        <v>0</v>
      </c>
      <c r="E2556">
        <v>0</v>
      </c>
      <c r="F2556" t="s">
        <v>0</v>
      </c>
      <c r="G2556" t="str" cm="1">
        <f t="array" ref="G2556" xml:space="preserve"> FindCountryName(F2556)</f>
        <v>None</v>
      </c>
      <c r="H2556" s="1">
        <v>45268.117013888892</v>
      </c>
      <c r="I2556" s="1">
        <v>45268.117013888892</v>
      </c>
      <c r="J2556" s="1">
        <v>41458.215115740742</v>
      </c>
      <c r="K2556" cm="1">
        <f t="array" ref="K2556" xml:space="preserve"> sentimentCalc(C2556)</f>
        <v>0</v>
      </c>
      <c r="L2556" t="str" cm="1">
        <f t="array" ref="L2556" xml:space="preserve"> sentimentCategory(K2556)</f>
        <v>Neutral</v>
      </c>
    </row>
    <row r="2557" spans="1:12">
      <c r="A2557" t="s">
        <v>169</v>
      </c>
      <c r="B2557" t="s">
        <v>1513</v>
      </c>
      <c r="C2557" t="str" cm="1">
        <f t="array" ref="C2557" xml:space="preserve"> CleanText(B2557)</f>
        <v>better be better than the shitty movie i hope that producer isnt in on it fr</v>
      </c>
      <c r="D2557">
        <v>0</v>
      </c>
      <c r="E2557">
        <v>0</v>
      </c>
      <c r="F2557" t="s">
        <v>0</v>
      </c>
      <c r="G2557" t="str" cm="1">
        <f t="array" ref="G2557" xml:space="preserve"> FindCountryName(F2557)</f>
        <v>None</v>
      </c>
      <c r="H2557" s="1">
        <v>45268.116608796299</v>
      </c>
      <c r="I2557" s="1">
        <v>45268.116608796299</v>
      </c>
      <c r="J2557" s="1">
        <v>45255.610763888886</v>
      </c>
      <c r="K2557" cm="1">
        <f t="array" ref="K2557" xml:space="preserve"> sentimentCalc(C2557)</f>
        <v>6</v>
      </c>
      <c r="L2557" t="str" cm="1">
        <f t="array" ref="L2557" xml:space="preserve"> sentimentCategory(K2557)</f>
        <v>Positive</v>
      </c>
    </row>
    <row r="2558" spans="1:12">
      <c r="A2558" t="s">
        <v>1261</v>
      </c>
      <c r="B2558" t="s">
        <v>1512</v>
      </c>
      <c r="C2558" t="str" cm="1">
        <f t="array" ref="C2558" xml:space="preserve"> CleanText(B2558)</f>
        <v>we want ben 0</v>
      </c>
      <c r="D2558">
        <v>0</v>
      </c>
      <c r="E2558">
        <v>0</v>
      </c>
      <c r="F2558" t="s">
        <v>0</v>
      </c>
      <c r="G2558" t="str" cm="1">
        <f t="array" ref="G2558" xml:space="preserve"> FindCountryName(F2558)</f>
        <v>None</v>
      </c>
      <c r="H2558" s="1">
        <v>45268.10733796296</v>
      </c>
      <c r="I2558" s="1">
        <v>45268.10733796296</v>
      </c>
      <c r="J2558" s="1">
        <v>43595.102372685185</v>
      </c>
      <c r="K2558" cm="1">
        <f t="array" ref="K2558" xml:space="preserve"> sentimentCalc(C2558)</f>
        <v>1</v>
      </c>
      <c r="L2558" t="str" cm="1">
        <f t="array" ref="L2558" xml:space="preserve"> sentimentCategory(K2558)</f>
        <v>Positive</v>
      </c>
    </row>
    <row r="2559" spans="1:12">
      <c r="A2559" t="s">
        <v>774</v>
      </c>
      <c r="B2559" t="s">
        <v>1511</v>
      </c>
      <c r="C2559" t="str" cm="1">
        <f t="array" ref="C2559" xml:space="preserve"> CleanText(B2559)</f>
        <v>where is toph</v>
      </c>
      <c r="D2559">
        <v>0</v>
      </c>
      <c r="E2559">
        <v>1</v>
      </c>
      <c r="F2559" t="s">
        <v>0</v>
      </c>
      <c r="G2559" t="str" cm="1">
        <f t="array" ref="G2559" xml:space="preserve"> FindCountryName(F2559)</f>
        <v>None</v>
      </c>
      <c r="H2559" s="1">
        <v>45268.066874999997</v>
      </c>
      <c r="I2559" s="1">
        <v>45268.066874999997</v>
      </c>
      <c r="J2559" s="1">
        <v>42064.006712962961</v>
      </c>
      <c r="K2559" cm="1">
        <f t="array" ref="K2559" xml:space="preserve"> sentimentCalc(C2559)</f>
        <v>0</v>
      </c>
      <c r="L2559" t="str" cm="1">
        <f t="array" ref="L2559" xml:space="preserve"> sentimentCategory(K2559)</f>
        <v>Neutral</v>
      </c>
    </row>
    <row r="2560" spans="1:12">
      <c r="A2560" t="s">
        <v>462</v>
      </c>
      <c r="B2560" t="s">
        <v>1510</v>
      </c>
      <c r="C2560" t="str" cm="1">
        <f t="array" ref="C2560" xml:space="preserve"> CleanText(B2560)</f>
        <v>congratulations netfilx your company is saving live actions</v>
      </c>
      <c r="D2560">
        <v>0</v>
      </c>
      <c r="E2560">
        <v>0</v>
      </c>
      <c r="F2560" t="s">
        <v>0</v>
      </c>
      <c r="G2560" t="str" cm="1">
        <f t="array" ref="G2560" xml:space="preserve"> FindCountryName(F2560)</f>
        <v>None</v>
      </c>
      <c r="H2560" s="1">
        <v>45268.053402777776</v>
      </c>
      <c r="I2560" s="1">
        <v>45268.053402777776</v>
      </c>
      <c r="J2560" s="1">
        <v>42024.905555555553</v>
      </c>
      <c r="K2560" cm="1">
        <f t="array" ref="K2560" xml:space="preserve"> sentimentCalc(C2560)</f>
        <v>2</v>
      </c>
      <c r="L2560" t="str" cm="1">
        <f t="array" ref="L2560" xml:space="preserve"> sentimentCategory(K2560)</f>
        <v>Positive</v>
      </c>
    </row>
    <row r="2561" spans="1:12">
      <c r="A2561" t="s">
        <v>1237</v>
      </c>
      <c r="B2561" t="s">
        <v>1509</v>
      </c>
      <c r="C2561" t="str" cm="1">
        <f t="array" ref="C2561" xml:space="preserve"> CleanText(B2561)</f>
        <v>knight shyamalan did a good job with this thing i do not understand the hate it got</v>
      </c>
      <c r="D2561">
        <v>0</v>
      </c>
      <c r="E2561">
        <v>2</v>
      </c>
      <c r="F2561" t="s">
        <v>0</v>
      </c>
      <c r="G2561" t="str" cm="1">
        <f t="array" ref="G2561" xml:space="preserve"> FindCountryName(F2561)</f>
        <v>None</v>
      </c>
      <c r="H2561" s="1">
        <v>45268.0468287037</v>
      </c>
      <c r="I2561" s="1">
        <v>45268.0468287037</v>
      </c>
      <c r="J2561" s="1">
        <v>44605.440578703703</v>
      </c>
      <c r="K2561" cm="1">
        <f t="array" ref="K2561" xml:space="preserve"> sentimentCalc(C2561)</f>
        <v>0</v>
      </c>
      <c r="L2561" t="str" cm="1">
        <f t="array" ref="L2561" xml:space="preserve"> sentimentCategory(K2561)</f>
        <v>Neutral</v>
      </c>
    </row>
    <row r="2562" spans="1:12">
      <c r="A2562" t="s">
        <v>221</v>
      </c>
      <c r="B2562" t="s">
        <v>1508</v>
      </c>
      <c r="C2562" t="str" cm="1">
        <f t="array" ref="C2562" xml:space="preserve"> CleanText(B2562)</f>
        <v>wow</v>
      </c>
      <c r="D2562">
        <v>0</v>
      </c>
      <c r="E2562">
        <v>0</v>
      </c>
      <c r="F2562" t="s">
        <v>0</v>
      </c>
      <c r="G2562" t="str" cm="1">
        <f t="array" ref="G2562" xml:space="preserve"> FindCountryName(F2562)</f>
        <v>None</v>
      </c>
      <c r="H2562" s="1">
        <v>45268.042256944442</v>
      </c>
      <c r="I2562" s="1">
        <v>45268.042256944442</v>
      </c>
      <c r="J2562" s="1">
        <v>42433.320335648146</v>
      </c>
      <c r="K2562" cm="1">
        <f t="array" ref="K2562" xml:space="preserve"> sentimentCalc(C2562)</f>
        <v>4</v>
      </c>
      <c r="L2562" t="str" cm="1">
        <f t="array" ref="L2562" xml:space="preserve"> sentimentCategory(K2562)</f>
        <v>Positive</v>
      </c>
    </row>
    <row r="2563" spans="1:12">
      <c r="A2563" t="s">
        <v>1507</v>
      </c>
      <c r="B2563" t="s">
        <v>1506</v>
      </c>
      <c r="C2563" t="str" cm="1">
        <f t="array" ref="C2563" xml:space="preserve"> CleanText(B2563)</f>
        <v>yall aint learn after the first time</v>
      </c>
      <c r="D2563">
        <v>0</v>
      </c>
      <c r="E2563">
        <v>0</v>
      </c>
      <c r="F2563" t="s">
        <v>0</v>
      </c>
      <c r="G2563" t="str" cm="1">
        <f t="array" ref="G2563" xml:space="preserve"> FindCountryName(F2563)</f>
        <v>None</v>
      </c>
      <c r="H2563" s="1">
        <v>45268.013043981482</v>
      </c>
      <c r="I2563" s="1">
        <v>45268.013043981482</v>
      </c>
      <c r="J2563" s="1">
        <v>42284.940763888888</v>
      </c>
      <c r="K2563" cm="1">
        <f t="array" ref="K2563" xml:space="preserve"> sentimentCalc(C2563)</f>
        <v>0</v>
      </c>
      <c r="L2563" t="str" cm="1">
        <f t="array" ref="L2563" xml:space="preserve"> sentimentCategory(K2563)</f>
        <v>Neutral</v>
      </c>
    </row>
    <row r="2564" spans="1:12">
      <c r="A2564" t="s">
        <v>28</v>
      </c>
      <c r="B2564" t="s">
        <v>1505</v>
      </c>
      <c r="C2564" t="str" cm="1">
        <f t="array" ref="C2564" xml:space="preserve"> CleanText(B2564)</f>
        <v>m night shaking hes head and screaming my avatar movie has twists</v>
      </c>
      <c r="D2564">
        <v>1</v>
      </c>
      <c r="E2564">
        <v>0</v>
      </c>
      <c r="F2564" t="s">
        <v>0</v>
      </c>
      <c r="G2564" t="str" cm="1">
        <f t="array" ref="G2564" xml:space="preserve"> FindCountryName(F2564)</f>
        <v>None</v>
      </c>
      <c r="H2564" s="1">
        <v>45268.012025462966</v>
      </c>
      <c r="I2564" s="1">
        <v>45268.012025462966</v>
      </c>
      <c r="J2564" s="1">
        <v>41986.826064814813</v>
      </c>
      <c r="K2564" cm="1">
        <f t="array" ref="K2564" xml:space="preserve"> sentimentCalc(C2564)</f>
        <v>-2</v>
      </c>
      <c r="L2564" t="str" cm="1">
        <f t="array" ref="L2564" xml:space="preserve"> sentimentCategory(K2564)</f>
        <v>Negative</v>
      </c>
    </row>
    <row r="2565" spans="1:12">
      <c r="A2565" t="s">
        <v>1170</v>
      </c>
      <c r="B2565" t="s">
        <v>1504</v>
      </c>
      <c r="C2565" t="str" cm="1">
        <f t="array" ref="C2565" xml:space="preserve"> CleanText(B2565)</f>
        <v>ano to bakit madaming chinese</v>
      </c>
      <c r="D2565">
        <v>0</v>
      </c>
      <c r="E2565">
        <v>0</v>
      </c>
      <c r="F2565" t="s">
        <v>64</v>
      </c>
      <c r="G2565" t="str" cm="1">
        <f t="array" ref="G2565" xml:space="preserve"> FindCountryName(F2565)</f>
        <v>Philippines (the)</v>
      </c>
      <c r="H2565" s="1">
        <v>45267.974629629629</v>
      </c>
      <c r="I2565" s="1">
        <v>45267.974629629629</v>
      </c>
      <c r="J2565" s="1">
        <v>44279.289988425924</v>
      </c>
      <c r="K2565" cm="1">
        <f t="array" ref="K2565" xml:space="preserve"> sentimentCalc(C2565)</f>
        <v>0</v>
      </c>
      <c r="L2565" t="str" cm="1">
        <f t="array" ref="L2565" xml:space="preserve"> sentimentCategory(K2565)</f>
        <v>Neutral</v>
      </c>
    </row>
    <row r="2566" spans="1:12">
      <c r="A2566" t="s">
        <v>1503</v>
      </c>
      <c r="B2566" t="s">
        <v>1502</v>
      </c>
      <c r="C2566" t="str" cm="1">
        <f t="array" ref="C2566" xml:space="preserve"> CleanText(B2566)</f>
        <v>sokka character is already got me like yikes _xDE2C_ hopefully its good</v>
      </c>
      <c r="D2566">
        <v>1</v>
      </c>
      <c r="E2566">
        <v>0</v>
      </c>
      <c r="F2566" t="s">
        <v>0</v>
      </c>
      <c r="G2566" t="str" cm="1">
        <f t="array" ref="G2566" xml:space="preserve"> FindCountryName(F2566)</f>
        <v>None</v>
      </c>
      <c r="H2566" s="1">
        <v>45267.973217592589</v>
      </c>
      <c r="I2566" s="1">
        <v>45267.973217592589</v>
      </c>
      <c r="J2566" s="1">
        <v>41823.709699074076</v>
      </c>
      <c r="K2566" cm="1">
        <f t="array" ref="K2566" xml:space="preserve"> sentimentCalc(C2566)</f>
        <v>7</v>
      </c>
      <c r="L2566" t="str" cm="1">
        <f t="array" ref="L2566" xml:space="preserve"> sentimentCategory(K2566)</f>
        <v>Positive</v>
      </c>
    </row>
    <row r="2567" spans="1:12">
      <c r="A2567" t="s">
        <v>1501</v>
      </c>
      <c r="B2567" t="s">
        <v>1500</v>
      </c>
      <c r="C2567" t="str" cm="1">
        <f t="array" ref="C2567" xml:space="preserve"> CleanText(B2567)</f>
        <v>eu espero que vocs no estraguem a imagem dessa obra preciosa com algum lacre obrigado</v>
      </c>
      <c r="D2567">
        <v>0</v>
      </c>
      <c r="E2567">
        <v>0</v>
      </c>
      <c r="F2567" t="s">
        <v>0</v>
      </c>
      <c r="G2567" t="str" cm="1">
        <f t="array" ref="G2567" xml:space="preserve"> FindCountryName(F2567)</f>
        <v>None</v>
      </c>
      <c r="H2567" s="1">
        <v>45267.954675925925</v>
      </c>
      <c r="I2567" s="1">
        <v>45267.954675925925</v>
      </c>
      <c r="J2567" s="1">
        <v>41718.060219907406</v>
      </c>
      <c r="K2567" cm="1">
        <f t="array" ref="K2567" xml:space="preserve"> sentimentCalc(C2567)</f>
        <v>-1</v>
      </c>
      <c r="L2567" t="str" cm="1">
        <f t="array" ref="L2567" xml:space="preserve"> sentimentCategory(K2567)</f>
        <v>Negative</v>
      </c>
    </row>
    <row r="2568" spans="1:12">
      <c r="A2568" t="s">
        <v>640</v>
      </c>
      <c r="B2568" t="s">
        <v>1499</v>
      </c>
      <c r="C2568" t="str" cm="1">
        <f t="array" ref="C2568" xml:space="preserve"> CleanText(B2568)</f>
        <v>loving the casting hopes it turns out great</v>
      </c>
      <c r="D2568">
        <v>3</v>
      </c>
      <c r="E2568">
        <v>0</v>
      </c>
      <c r="F2568" t="s">
        <v>0</v>
      </c>
      <c r="G2568" t="str" cm="1">
        <f t="array" ref="G2568" xml:space="preserve"> FindCountryName(F2568)</f>
        <v>None</v>
      </c>
      <c r="H2568" s="1">
        <v>45267.91710648148</v>
      </c>
      <c r="I2568" s="1">
        <v>45267.91710648148</v>
      </c>
      <c r="J2568" s="1">
        <v>42397.312928240739</v>
      </c>
      <c r="K2568" cm="1">
        <f t="array" ref="K2568" xml:space="preserve"> sentimentCalc(C2568)</f>
        <v>7</v>
      </c>
      <c r="L2568" t="str" cm="1">
        <f t="array" ref="L2568" xml:space="preserve"> sentimentCategory(K2568)</f>
        <v>Positive</v>
      </c>
    </row>
    <row r="2569" spans="1:12">
      <c r="A2569" t="s">
        <v>38</v>
      </c>
      <c r="B2569" t="s">
        <v>1498</v>
      </c>
      <c r="C2569" t="str" cm="1">
        <f t="array" ref="C2569" xml:space="preserve"> CleanText(B2569)</f>
        <v>im so unbelievably hyped for this</v>
      </c>
      <c r="D2569">
        <v>0</v>
      </c>
      <c r="E2569">
        <v>0</v>
      </c>
      <c r="F2569" t="s">
        <v>0</v>
      </c>
      <c r="G2569" t="str" cm="1">
        <f t="array" ref="G2569" xml:space="preserve"> FindCountryName(F2569)</f>
        <v>None</v>
      </c>
      <c r="H2569" s="1">
        <v>45267.893912037034</v>
      </c>
      <c r="I2569" s="1">
        <v>45267.893912037034</v>
      </c>
      <c r="J2569" s="1">
        <v>42112.34175925926</v>
      </c>
      <c r="K2569" cm="1">
        <f t="array" ref="K2569" xml:space="preserve"> sentimentCalc(C2569)</f>
        <v>0</v>
      </c>
      <c r="L2569" t="str" cm="1">
        <f t="array" ref="L2569" xml:space="preserve"> sentimentCategory(K2569)</f>
        <v>Neutral</v>
      </c>
    </row>
    <row r="2570" spans="1:12">
      <c r="A2570" t="s">
        <v>128</v>
      </c>
      <c r="B2570" t="s">
        <v>1497</v>
      </c>
      <c r="C2570" t="str" cm="1">
        <f t="array" ref="C2570" xml:space="preserve"> CleanText(B2570)</f>
        <v>this looks friggen epic woooo</v>
      </c>
      <c r="D2570">
        <v>0</v>
      </c>
      <c r="E2570">
        <v>0</v>
      </c>
      <c r="F2570" t="s">
        <v>0</v>
      </c>
      <c r="G2570" t="str" cm="1">
        <f t="array" ref="G2570" xml:space="preserve"> FindCountryName(F2570)</f>
        <v>None</v>
      </c>
      <c r="H2570" s="1">
        <v>45267.888020833336</v>
      </c>
      <c r="I2570" s="1">
        <v>45267.888020833336</v>
      </c>
      <c r="J2570" s="1">
        <v>40929.980833333335</v>
      </c>
      <c r="K2570" cm="1">
        <f t="array" ref="K2570" xml:space="preserve"> sentimentCalc(C2570)</f>
        <v>0</v>
      </c>
      <c r="L2570" t="str" cm="1">
        <f t="array" ref="L2570" xml:space="preserve"> sentimentCategory(K2570)</f>
        <v>Neutral</v>
      </c>
    </row>
    <row r="2571" spans="1:12">
      <c r="A2571" t="s">
        <v>1496</v>
      </c>
      <c r="B2571" t="s">
        <v>1495</v>
      </c>
      <c r="C2571" t="str" cm="1">
        <f t="array" ref="C2571" xml:space="preserve"> CleanText(B2571)</f>
        <v>it cant possibly be as bad as the movie</v>
      </c>
      <c r="D2571">
        <v>1</v>
      </c>
      <c r="E2571">
        <v>0</v>
      </c>
      <c r="F2571" t="s">
        <v>0</v>
      </c>
      <c r="G2571" t="str" cm="1">
        <f t="array" ref="G2571" xml:space="preserve"> FindCountryName(F2571)</f>
        <v>None</v>
      </c>
      <c r="H2571" s="1">
        <v>45267.845856481479</v>
      </c>
      <c r="I2571" s="1">
        <v>45267.845856481479</v>
      </c>
      <c r="J2571" s="1">
        <v>41847.554768518516</v>
      </c>
      <c r="K2571" cm="1">
        <f t="array" ref="K2571" xml:space="preserve"> sentimentCalc(C2571)</f>
        <v>-3</v>
      </c>
      <c r="L2571" t="str" cm="1">
        <f t="array" ref="L2571" xml:space="preserve"> sentimentCategory(K2571)</f>
        <v>Negative</v>
      </c>
    </row>
    <row r="2572" spans="1:12">
      <c r="A2572" t="s">
        <v>1494</v>
      </c>
      <c r="B2572" t="s">
        <v>1493</v>
      </c>
      <c r="C2572" t="str" cm="1">
        <f t="array" ref="C2572" xml:space="preserve"> CleanText(B2572)</f>
        <v>cant wait yooo</v>
      </c>
      <c r="D2572">
        <v>0</v>
      </c>
      <c r="E2572">
        <v>0</v>
      </c>
      <c r="F2572" t="s">
        <v>0</v>
      </c>
      <c r="G2572" t="str" cm="1">
        <f t="array" ref="G2572" xml:space="preserve"> FindCountryName(F2572)</f>
        <v>None</v>
      </c>
      <c r="H2572" s="1">
        <v>45267.820381944446</v>
      </c>
      <c r="I2572" s="1">
        <v>45267.820381944446</v>
      </c>
      <c r="J2572" s="1">
        <v>43314.848796296297</v>
      </c>
      <c r="K2572" cm="1">
        <f t="array" ref="K2572" xml:space="preserve"> sentimentCalc(C2572)</f>
        <v>0</v>
      </c>
      <c r="L2572" t="str" cm="1">
        <f t="array" ref="L2572" xml:space="preserve"> sentimentCategory(K2572)</f>
        <v>Neutral</v>
      </c>
    </row>
    <row r="2573" spans="1:12">
      <c r="A2573" t="s">
        <v>1478</v>
      </c>
      <c r="B2573" t="s">
        <v>1492</v>
      </c>
      <c r="C2573" t="str" cm="1">
        <f t="array" ref="C2573" xml:space="preserve"> CleanText(B2573)</f>
        <v>this looks much bettereverybody are asiansfair</v>
      </c>
      <c r="D2573">
        <v>0</v>
      </c>
      <c r="E2573">
        <v>0</v>
      </c>
      <c r="F2573" t="s">
        <v>0</v>
      </c>
      <c r="G2573" t="str" cm="1">
        <f t="array" ref="G2573" xml:space="preserve"> FindCountryName(F2573)</f>
        <v>None</v>
      </c>
      <c r="H2573" s="1">
        <v>45267.793043981481</v>
      </c>
      <c r="I2573" s="1">
        <v>45267.793043981481</v>
      </c>
      <c r="J2573" s="1">
        <v>40817.120972222219</v>
      </c>
      <c r="K2573" cm="1">
        <f t="array" ref="K2573" xml:space="preserve"> sentimentCalc(C2573)</f>
        <v>0</v>
      </c>
      <c r="L2573" t="str" cm="1">
        <f t="array" ref="L2573" xml:space="preserve"> sentimentCategory(K2573)</f>
        <v>Neutral</v>
      </c>
    </row>
    <row r="2574" spans="1:12">
      <c r="A2574" t="s">
        <v>255</v>
      </c>
      <c r="B2574" t="s">
        <v>1491</v>
      </c>
      <c r="C2574" t="str" cm="1">
        <f t="array" ref="C2574" xml:space="preserve"> CleanText(B2574)</f>
        <v>cant wait to renew my netflix subscription only to cancel it immediately when they cancel the one show im there for immediately after season</v>
      </c>
      <c r="D2574">
        <v>0</v>
      </c>
      <c r="E2574">
        <v>0</v>
      </c>
      <c r="F2574" t="s">
        <v>0</v>
      </c>
      <c r="G2574" t="str" cm="1">
        <f t="array" ref="G2574" xml:space="preserve"> FindCountryName(F2574)</f>
        <v>None</v>
      </c>
      <c r="H2574" s="1">
        <v>45267.76253472222</v>
      </c>
      <c r="I2574" s="1">
        <v>45267.76253472222</v>
      </c>
      <c r="J2574" s="1">
        <v>41745.865682870368</v>
      </c>
      <c r="K2574" cm="1">
        <f t="array" ref="K2574" xml:space="preserve"> sentimentCalc(C2574)</f>
        <v>-2</v>
      </c>
      <c r="L2574" t="str" cm="1">
        <f t="array" ref="L2574" xml:space="preserve"> sentimentCategory(K2574)</f>
        <v>Negative</v>
      </c>
    </row>
    <row r="2575" spans="1:12">
      <c r="A2575" t="s">
        <v>1042</v>
      </c>
      <c r="B2575" t="s">
        <v>1490</v>
      </c>
      <c r="C2575" t="str" cm="1">
        <f t="array" ref="C2575" xml:space="preserve"> CleanText(B2575)</f>
        <v>thats offensive aang is not afro american katara is not obese genderfluid muslim  they even didnt mention their pronounces(one im stop paying for netflix subscription</v>
      </c>
      <c r="D2575">
        <v>0</v>
      </c>
      <c r="E2575">
        <v>0</v>
      </c>
      <c r="F2575" t="s">
        <v>0</v>
      </c>
      <c r="G2575" t="str" cm="1">
        <f t="array" ref="G2575" xml:space="preserve"> FindCountryName(F2575)</f>
        <v>None</v>
      </c>
      <c r="H2575" s="1">
        <v>45267.739594907405</v>
      </c>
      <c r="I2575" s="1">
        <v>45267.740300925929</v>
      </c>
      <c r="J2575" s="1">
        <v>40887.107442129629</v>
      </c>
      <c r="K2575" cm="1">
        <f t="array" ref="K2575" xml:space="preserve"> sentimentCalc(C2575)</f>
        <v>-1</v>
      </c>
      <c r="L2575" t="str" cm="1">
        <f t="array" ref="L2575" xml:space="preserve"> sentimentCategory(K2575)</f>
        <v>Negative</v>
      </c>
    </row>
    <row r="2576" spans="1:12">
      <c r="A2576" t="s">
        <v>82</v>
      </c>
      <c r="B2576" t="s">
        <v>1489</v>
      </c>
      <c r="C2576" t="str" cm="1">
        <f t="array" ref="C2576" xml:space="preserve"> CleanText(B2576)</f>
        <v>now if we can get someone to make a good avatar game we will stop complaining lol</v>
      </c>
      <c r="D2576">
        <v>1</v>
      </c>
      <c r="E2576">
        <v>0</v>
      </c>
      <c r="F2576" t="s">
        <v>0</v>
      </c>
      <c r="G2576" t="str" cm="1">
        <f t="array" ref="G2576" xml:space="preserve"> FindCountryName(F2576)</f>
        <v>None</v>
      </c>
      <c r="H2576" s="1">
        <v>45267.734988425924</v>
      </c>
      <c r="I2576" s="1">
        <v>45267.734988425924</v>
      </c>
      <c r="J2576" s="1">
        <v>41399.774571759262</v>
      </c>
      <c r="K2576" cm="1">
        <f t="array" ref="K2576" xml:space="preserve"> sentimentCalc(C2576)</f>
        <v>2</v>
      </c>
      <c r="L2576" t="str" cm="1">
        <f t="array" ref="L2576" xml:space="preserve"> sentimentCategory(K2576)</f>
        <v>Positive</v>
      </c>
    </row>
    <row r="2577" spans="1:12">
      <c r="A2577" t="s">
        <v>1488</v>
      </c>
      <c r="B2577" t="s">
        <v>1487</v>
      </c>
      <c r="C2577" t="str" cm="1">
        <f t="array" ref="C2577" xml:space="preserve"> CleanText(B2577)</f>
        <v>im  sure nickelodeon is learning after that useless avatar they producedi guess this will be way better</v>
      </c>
      <c r="D2577">
        <v>0</v>
      </c>
      <c r="E2577">
        <v>0</v>
      </c>
      <c r="F2577" t="s">
        <v>0</v>
      </c>
      <c r="G2577" t="str" cm="1">
        <f t="array" ref="G2577" xml:space="preserve"> FindCountryName(F2577)</f>
        <v>None</v>
      </c>
      <c r="H2577" s="1">
        <v>45267.719456018516</v>
      </c>
      <c r="I2577" s="1">
        <v>45267.719456018516</v>
      </c>
      <c r="J2577" s="1">
        <v>41258.59983796296</v>
      </c>
      <c r="K2577" cm="1">
        <f t="array" ref="K2577" xml:space="preserve"> sentimentCalc(C2577)</f>
        <v>0</v>
      </c>
      <c r="L2577" t="str" cm="1">
        <f t="array" ref="L2577" xml:space="preserve"> sentimentCategory(K2577)</f>
        <v>Neutral</v>
      </c>
    </row>
    <row r="2578" spans="1:12">
      <c r="A2578" t="s">
        <v>108</v>
      </c>
      <c r="B2578" t="s">
        <v>1486</v>
      </c>
      <c r="C2578" t="str" cm="1">
        <f t="array" ref="C2578" xml:space="preserve"> CleanText(B2578)</f>
        <v>pliz dont disappoint netflix</v>
      </c>
      <c r="D2578">
        <v>0</v>
      </c>
      <c r="E2578">
        <v>0</v>
      </c>
      <c r="F2578" t="s">
        <v>0</v>
      </c>
      <c r="G2578" t="str" cm="1">
        <f t="array" ref="G2578" xml:space="preserve"> FindCountryName(F2578)</f>
        <v>None</v>
      </c>
      <c r="H2578" s="1">
        <v>45267.712488425925</v>
      </c>
      <c r="I2578" s="1">
        <v>45267.712488425925</v>
      </c>
      <c r="J2578" s="1">
        <v>44688.520196759258</v>
      </c>
      <c r="K2578" cm="1">
        <f t="array" ref="K2578" xml:space="preserve"> sentimentCalc(C2578)</f>
        <v>-2</v>
      </c>
      <c r="L2578" t="str" cm="1">
        <f t="array" ref="L2578" xml:space="preserve"> sentimentCategory(K2578)</f>
        <v>Negative</v>
      </c>
    </row>
    <row r="2579" spans="1:12">
      <c r="A2579" t="s">
        <v>273</v>
      </c>
      <c r="B2579" t="s">
        <v>1485</v>
      </c>
      <c r="C2579" t="str" cm="1">
        <f t="array" ref="C2579" xml:space="preserve"> CleanText(B2579)</f>
        <v>im curios who will play king bumi</v>
      </c>
      <c r="D2579">
        <v>0</v>
      </c>
      <c r="E2579">
        <v>2</v>
      </c>
      <c r="F2579" t="s">
        <v>0</v>
      </c>
      <c r="G2579" t="str" cm="1">
        <f t="array" ref="G2579" xml:space="preserve"> FindCountryName(F2579)</f>
        <v>None</v>
      </c>
      <c r="H2579" s="1">
        <v>45267.677951388891</v>
      </c>
      <c r="I2579" s="1">
        <v>45267.677951388891</v>
      </c>
      <c r="J2579" s="1">
        <v>42016.557118055556</v>
      </c>
      <c r="K2579" cm="1">
        <f t="array" ref="K2579" xml:space="preserve"> sentimentCalc(C2579)</f>
        <v>0</v>
      </c>
      <c r="L2579" t="str" cm="1">
        <f t="array" ref="L2579" xml:space="preserve"> sentimentCategory(K2579)</f>
        <v>Neutral</v>
      </c>
    </row>
    <row r="2580" spans="1:12">
      <c r="A2580" t="s">
        <v>273</v>
      </c>
      <c r="B2580" t="s">
        <v>1484</v>
      </c>
      <c r="C2580" t="str" cm="1">
        <f t="array" ref="C2580" xml:space="preserve"> CleanText(B2580)</f>
        <v>not being racist but wished the actors for katara and sokka could ve been at least with a tan look to be enough but they re face structure at least  looks good and meanwhile the rest of the cast looks very good specially aang  uncle iroh  zuko  ozai  and suki  notice late the trailer here with comment</v>
      </c>
      <c r="D2580">
        <v>2</v>
      </c>
      <c r="E2580">
        <v>2</v>
      </c>
      <c r="F2580" t="s">
        <v>0</v>
      </c>
      <c r="G2580" t="str" cm="1">
        <f t="array" ref="G2580" xml:space="preserve"> FindCountryName(F2580)</f>
        <v>None</v>
      </c>
      <c r="H2580" s="1">
        <v>45267.674583333333</v>
      </c>
      <c r="I2580" s="1">
        <v>45267.674583333333</v>
      </c>
      <c r="J2580" s="1">
        <v>42016.557118055556</v>
      </c>
      <c r="K2580" cm="1">
        <f t="array" ref="K2580" xml:space="preserve"> sentimentCalc(C2580)</f>
        <v>3</v>
      </c>
      <c r="L2580" t="str" cm="1">
        <f t="array" ref="L2580" xml:space="preserve"> sentimentCategory(K2580)</f>
        <v>Positive</v>
      </c>
    </row>
    <row r="2581" spans="1:12">
      <c r="A2581" t="s">
        <v>255</v>
      </c>
      <c r="B2581" t="s">
        <v>1483</v>
      </c>
      <c r="C2581" t="str" cm="1">
        <f t="array" ref="C2581" xml:space="preserve"> CleanText(B2581)</f>
        <v>0? n</v>
      </c>
      <c r="D2581">
        <v>0</v>
      </c>
      <c r="E2581">
        <v>0</v>
      </c>
      <c r="F2581" t="s">
        <v>0</v>
      </c>
      <c r="G2581" t="str" cm="1">
        <f t="array" ref="G2581" xml:space="preserve"> FindCountryName(F2581)</f>
        <v>None</v>
      </c>
      <c r="H2581" s="1">
        <v>45267.665937500002</v>
      </c>
      <c r="I2581" s="1">
        <v>45267.665937500002</v>
      </c>
      <c r="J2581" s="1">
        <v>43949.168576388889</v>
      </c>
      <c r="K2581" cm="1">
        <f t="array" ref="K2581" xml:space="preserve"> sentimentCalc(C2581)</f>
        <v>0</v>
      </c>
      <c r="L2581" t="str" cm="1">
        <f t="array" ref="L2581" xml:space="preserve"> sentimentCategory(K2581)</f>
        <v>Neutral</v>
      </c>
    </row>
    <row r="2582" spans="1:12">
      <c r="A2582" t="s">
        <v>28</v>
      </c>
      <c r="B2582" t="s">
        <v>1482</v>
      </c>
      <c r="C2582" t="str" cm="1">
        <f t="array" ref="C2582" xml:space="preserve"> CleanText(B2582)</f>
        <v>ohh wow the main characters arent black lesbian men  well done netflix</v>
      </c>
      <c r="D2582">
        <v>0</v>
      </c>
      <c r="E2582">
        <v>0</v>
      </c>
      <c r="F2582" t="s">
        <v>0</v>
      </c>
      <c r="G2582" t="str" cm="1">
        <f t="array" ref="G2582" xml:space="preserve"> FindCountryName(F2582)</f>
        <v>None</v>
      </c>
      <c r="H2582" s="1">
        <v>45267.664525462962</v>
      </c>
      <c r="I2582" s="1">
        <v>45267.664525462962</v>
      </c>
      <c r="J2582" s="1">
        <v>42110.635578703703</v>
      </c>
      <c r="K2582" cm="1">
        <f t="array" ref="K2582" xml:space="preserve"> sentimentCalc(C2582)</f>
        <v>4</v>
      </c>
      <c r="L2582" t="str" cm="1">
        <f t="array" ref="L2582" xml:space="preserve"> sentimentCategory(K2582)</f>
        <v>Positive</v>
      </c>
    </row>
    <row r="2583" spans="1:12">
      <c r="A2583" t="s">
        <v>826</v>
      </c>
      <c r="B2583" t="s">
        <v>1481</v>
      </c>
      <c r="C2583" t="str" cm="1">
        <f t="array" ref="C2583" xml:space="preserve"> CleanText(B2583)</f>
        <v>this looks amazing im so happy it looks like this unlike that trash lice action  no on likes</v>
      </c>
      <c r="D2583">
        <v>0</v>
      </c>
      <c r="E2583">
        <v>0</v>
      </c>
      <c r="F2583" t="s">
        <v>0</v>
      </c>
      <c r="G2583" t="str" cm="1">
        <f t="array" ref="G2583" xml:space="preserve"> FindCountryName(F2583)</f>
        <v>None</v>
      </c>
      <c r="H2583" s="1">
        <v>45267.653437499997</v>
      </c>
      <c r="I2583" s="1">
        <v>45267.653437499997</v>
      </c>
      <c r="J2583" s="1">
        <v>43996.496319444443</v>
      </c>
      <c r="K2583" cm="1">
        <f t="array" ref="K2583" xml:space="preserve"> sentimentCalc(C2583)</f>
        <v>10</v>
      </c>
      <c r="L2583" t="str" cm="1">
        <f t="array" ref="L2583" xml:space="preserve"> sentimentCategory(K2583)</f>
        <v>Positive</v>
      </c>
    </row>
    <row r="2584" spans="1:12">
      <c r="A2584" t="s">
        <v>722</v>
      </c>
      <c r="B2584" t="s">
        <v>1480</v>
      </c>
      <c r="C2584" t="str" cm="1">
        <f t="array" ref="C2584" xml:space="preserve"> CleanText(B2584)</f>
        <v>let me guess soka is gonna be gay or some shit</v>
      </c>
      <c r="D2584">
        <v>0</v>
      </c>
      <c r="E2584">
        <v>0</v>
      </c>
      <c r="F2584" t="s">
        <v>944</v>
      </c>
      <c r="G2584" t="str" cm="1">
        <f t="array" ref="G2584" xml:space="preserve"> FindCountryName(F2584)</f>
        <v>Russian Federation (the)</v>
      </c>
      <c r="H2584" s="1">
        <v>45267.648252314815</v>
      </c>
      <c r="I2584" s="1">
        <v>45267.648252314815</v>
      </c>
      <c r="J2584" s="1">
        <v>42228.296527777777</v>
      </c>
      <c r="K2584" cm="1">
        <f t="array" ref="K2584" xml:space="preserve"> sentimentCalc(C2584)</f>
        <v>0</v>
      </c>
      <c r="L2584" t="str" cm="1">
        <f t="array" ref="L2584" xml:space="preserve"> sentimentCategory(K2584)</f>
        <v>Neutral</v>
      </c>
    </row>
    <row r="2585" spans="1:12">
      <c r="A2585" t="s">
        <v>745</v>
      </c>
      <c r="B2585" t="s">
        <v>1479</v>
      </c>
      <c r="C2585" t="str" cm="1">
        <f t="array" ref="C2585" xml:space="preserve"> CleanText(B2585)</f>
        <v>another massive flop</v>
      </c>
      <c r="D2585">
        <v>0</v>
      </c>
      <c r="E2585">
        <v>0</v>
      </c>
      <c r="F2585" t="s">
        <v>0</v>
      </c>
      <c r="G2585" t="str" cm="1">
        <f t="array" ref="G2585" xml:space="preserve"> FindCountryName(F2585)</f>
        <v>None</v>
      </c>
      <c r="H2585" s="1">
        <v>45267.647650462961</v>
      </c>
      <c r="I2585" s="1">
        <v>45267.647650462961</v>
      </c>
      <c r="J2585" s="1">
        <v>38998.590092592596</v>
      </c>
      <c r="K2585" cm="1">
        <f t="array" ref="K2585" xml:space="preserve"> sentimentCalc(C2585)</f>
        <v>-2</v>
      </c>
      <c r="L2585" t="str" cm="1">
        <f t="array" ref="L2585" xml:space="preserve"> sentimentCategory(K2585)</f>
        <v>Negative</v>
      </c>
    </row>
    <row r="2586" spans="1:12">
      <c r="A2586" t="s">
        <v>1478</v>
      </c>
      <c r="B2586" t="s">
        <v>1477</v>
      </c>
      <c r="C2586" t="str" cm="1">
        <f t="array" ref="C2586" xml:space="preserve"> CleanText(B2586)</f>
        <v>eh still looks better than the midnight sha lama lama ding dong version</v>
      </c>
      <c r="D2586">
        <v>2</v>
      </c>
      <c r="E2586">
        <v>0</v>
      </c>
      <c r="F2586" t="s">
        <v>19</v>
      </c>
      <c r="G2586" t="str" cm="1">
        <f t="array" ref="G2586" xml:space="preserve"> FindCountryName(F2586)</f>
        <v>United States of America (the)</v>
      </c>
      <c r="H2586" s="1">
        <v>45267.630509259259</v>
      </c>
      <c r="I2586" s="1">
        <v>45267.630509259259</v>
      </c>
      <c r="J2586" s="1">
        <v>40846.874374999999</v>
      </c>
      <c r="K2586" cm="1">
        <f t="array" ref="K2586" xml:space="preserve"> sentimentCalc(C2586)</f>
        <v>2</v>
      </c>
      <c r="L2586" t="str" cm="1">
        <f t="array" ref="L2586" xml:space="preserve"> sentimentCategory(K2586)</f>
        <v>Positive</v>
      </c>
    </row>
    <row r="2587" spans="1:12">
      <c r="A2587" t="s">
        <v>710</v>
      </c>
      <c r="B2587" t="s">
        <v>1476</v>
      </c>
      <c r="C2587" t="str" cm="1">
        <f t="array" ref="C2587" xml:space="preserve"> CleanText(B2587)</f>
        <v>fabruary ? nice its out since  years</v>
      </c>
      <c r="D2587">
        <v>0</v>
      </c>
      <c r="E2587">
        <v>1</v>
      </c>
      <c r="F2587" t="s">
        <v>0</v>
      </c>
      <c r="G2587" t="str" cm="1">
        <f t="array" ref="G2587" xml:space="preserve"> FindCountryName(F2587)</f>
        <v>None</v>
      </c>
      <c r="H2587" s="1">
        <v>45267.621782407405</v>
      </c>
      <c r="I2587" s="1">
        <v>45267.621782407405</v>
      </c>
      <c r="J2587" s="1">
        <v>44231.111828703702</v>
      </c>
      <c r="K2587" cm="1">
        <f t="array" ref="K2587" xml:space="preserve"> sentimentCalc(C2587)</f>
        <v>3</v>
      </c>
      <c r="L2587" t="str" cm="1">
        <f t="array" ref="L2587" xml:space="preserve"> sentimentCategory(K2587)</f>
        <v>Positive</v>
      </c>
    </row>
    <row r="2588" spans="1:12">
      <c r="A2588" t="s">
        <v>291</v>
      </c>
      <c r="B2588" t="s">
        <v>1475</v>
      </c>
      <c r="C2588" t="str" cm="1">
        <f t="array" ref="C2588" xml:space="preserve"> CleanText(B2588)</f>
        <v>yes this looks legit hope its gonna be what the animated series was even if it comes close it would be amazing</v>
      </c>
      <c r="D2588">
        <v>0</v>
      </c>
      <c r="E2588">
        <v>0</v>
      </c>
      <c r="F2588" t="s">
        <v>0</v>
      </c>
      <c r="G2588" t="str" cm="1">
        <f t="array" ref="G2588" xml:space="preserve"> FindCountryName(F2588)</f>
        <v>None</v>
      </c>
      <c r="H2588" s="1">
        <v>45267.617361111108</v>
      </c>
      <c r="I2588" s="1">
        <v>45267.617361111108</v>
      </c>
      <c r="J2588" s="1">
        <v>44300.480717592596</v>
      </c>
      <c r="K2588" cm="1">
        <f t="array" ref="K2588" xml:space="preserve"> sentimentCalc(C2588)</f>
        <v>7</v>
      </c>
      <c r="L2588" t="str" cm="1">
        <f t="array" ref="L2588" xml:space="preserve"> sentimentCategory(K2588)</f>
        <v>Positive</v>
      </c>
    </row>
    <row r="2589" spans="1:12">
      <c r="A2589" t="s">
        <v>178</v>
      </c>
      <c r="B2589" t="s">
        <v>1474</v>
      </c>
      <c r="C2589" t="str" cm="1">
        <f t="array" ref="C2589" xml:space="preserve"> CleanText(B2589)</f>
        <v>i can already imagine the finale showdown on top of the rocks with the fire lord</v>
      </c>
      <c r="D2589">
        <v>0</v>
      </c>
      <c r="E2589">
        <v>0</v>
      </c>
      <c r="F2589" t="s">
        <v>0</v>
      </c>
      <c r="G2589" t="str" cm="1">
        <f t="array" ref="G2589" xml:space="preserve"> FindCountryName(F2589)</f>
        <v>None</v>
      </c>
      <c r="H2589" s="1">
        <v>45267.599363425928</v>
      </c>
      <c r="I2589" s="1">
        <v>45267.599363425928</v>
      </c>
      <c r="J2589" s="1">
        <v>40543.660162037035</v>
      </c>
      <c r="K2589" cm="1">
        <f t="array" ref="K2589" xml:space="preserve"> sentimentCalc(C2589)</f>
        <v>0</v>
      </c>
      <c r="L2589" t="str" cm="1">
        <f t="array" ref="L2589" xml:space="preserve"> sentimentCategory(K2589)</f>
        <v>Neutral</v>
      </c>
    </row>
    <row r="2590" spans="1:12">
      <c r="A2590" t="s">
        <v>1473</v>
      </c>
      <c r="B2590" t="s">
        <v>1472</v>
      </c>
      <c r="C2590" t="str" cm="1">
        <f t="array" ref="C2590" xml:space="preserve"> CleanText(B2590)</f>
        <v>finally theyre asians</v>
      </c>
      <c r="D2590">
        <v>0</v>
      </c>
      <c r="E2590">
        <v>0</v>
      </c>
      <c r="F2590" t="s">
        <v>0</v>
      </c>
      <c r="G2590" t="str" cm="1">
        <f t="array" ref="G2590" xml:space="preserve"> FindCountryName(F2590)</f>
        <v>None</v>
      </c>
      <c r="H2590" s="1">
        <v>45267.576979166668</v>
      </c>
      <c r="I2590" s="1">
        <v>45267.576979166668</v>
      </c>
      <c r="J2590" s="1">
        <v>43023.712997685187</v>
      </c>
      <c r="K2590" cm="1">
        <f t="array" ref="K2590" xml:space="preserve"> sentimentCalc(C2590)</f>
        <v>0</v>
      </c>
      <c r="L2590" t="str" cm="1">
        <f t="array" ref="L2590" xml:space="preserve"> sentimentCategory(K2590)</f>
        <v>Neutral</v>
      </c>
    </row>
    <row r="2591" spans="1:12">
      <c r="A2591" t="s">
        <v>1471</v>
      </c>
      <c r="B2591" t="s">
        <v>1470</v>
      </c>
      <c r="C2591" t="str" cm="1">
        <f t="array" ref="C2591" xml:space="preserve"> CleanText(B2591)</f>
        <v>i hope the movie is longer than an hour and a half or they make more than one movie otherwise theyll be skipping a lot of material</v>
      </c>
      <c r="D2591">
        <v>0</v>
      </c>
      <c r="E2591">
        <v>2</v>
      </c>
      <c r="F2591" t="s">
        <v>0</v>
      </c>
      <c r="G2591" t="str" cm="1">
        <f t="array" ref="G2591" xml:space="preserve"> FindCountryName(F2591)</f>
        <v>None</v>
      </c>
      <c r="H2591" s="1">
        <v>45267.524027777778</v>
      </c>
      <c r="I2591" s="1">
        <v>45267.524027777778</v>
      </c>
      <c r="J2591" s="1">
        <v>43860.846018518518</v>
      </c>
      <c r="K2591" cm="1">
        <f t="array" ref="K2591" xml:space="preserve"> sentimentCalc(C2591)</f>
        <v>2</v>
      </c>
      <c r="L2591" t="str" cm="1">
        <f t="array" ref="L2591" xml:space="preserve"> sentimentCategory(K2591)</f>
        <v>Positive</v>
      </c>
    </row>
    <row r="2592" spans="1:12">
      <c r="A2592" t="s">
        <v>1469</v>
      </c>
      <c r="B2592" t="s">
        <v>1468</v>
      </c>
      <c r="C2592" t="str" cm="1">
        <f t="array" ref="C2592" xml:space="preserve"> CleanText(B2592)</f>
        <v>ц  вчк ч  в  з    n</v>
      </c>
      <c r="D2592">
        <v>0</v>
      </c>
      <c r="E2592">
        <v>0</v>
      </c>
      <c r="F2592" t="s">
        <v>0</v>
      </c>
      <c r="G2592" t="str" cm="1">
        <f t="array" ref="G2592" xml:space="preserve"> FindCountryName(F2592)</f>
        <v>None</v>
      </c>
      <c r="H2592" s="1">
        <v>45267.511666666665</v>
      </c>
      <c r="I2592" s="1">
        <v>45267.511666666665</v>
      </c>
      <c r="J2592" s="1">
        <v>41527.539178240739</v>
      </c>
      <c r="K2592" cm="1">
        <f t="array" ref="K2592" xml:space="preserve"> sentimentCalc(C2592)</f>
        <v>0</v>
      </c>
      <c r="L2592" t="str" cm="1">
        <f t="array" ref="L2592" xml:space="preserve"> sentimentCategory(K2592)</f>
        <v>Neutral</v>
      </c>
    </row>
    <row r="2593" spans="1:12">
      <c r="A2593" t="s">
        <v>1467</v>
      </c>
      <c r="B2593" t="s">
        <v>1466</v>
      </c>
      <c r="C2593" t="str" cm="1">
        <f t="array" ref="C2593" xml:space="preserve"> CleanText(B2593)</f>
        <v>ngl it looks really cheap made but hopefully it will be good</v>
      </c>
      <c r="D2593">
        <v>0</v>
      </c>
      <c r="E2593">
        <v>0</v>
      </c>
      <c r="F2593" t="s">
        <v>0</v>
      </c>
      <c r="G2593" t="str" cm="1">
        <f t="array" ref="G2593" xml:space="preserve"> FindCountryName(F2593)</f>
        <v>None</v>
      </c>
      <c r="H2593" s="1">
        <v>45267.505254629628</v>
      </c>
      <c r="I2593" s="1">
        <v>45267.505254629628</v>
      </c>
      <c r="J2593" s="1">
        <v>44062.384583333333</v>
      </c>
      <c r="K2593" cm="1">
        <f t="array" ref="K2593" xml:space="preserve"> sentimentCalc(C2593)</f>
        <v>5</v>
      </c>
      <c r="L2593" t="str" cm="1">
        <f t="array" ref="L2593" xml:space="preserve"> sentimentCategory(K2593)</f>
        <v>Positive</v>
      </c>
    </row>
    <row r="2594" spans="1:12">
      <c r="A2594" t="s">
        <v>43</v>
      </c>
      <c r="B2594" t="s">
        <v>1465</v>
      </c>
      <c r="C2594" t="str" cm="1">
        <f t="array" ref="C2594" xml:space="preserve"> CleanText(B2594)</f>
        <v>2 arent they supposed to be brown not white</v>
      </c>
      <c r="D2594">
        <v>0</v>
      </c>
      <c r="E2594">
        <v>3</v>
      </c>
      <c r="F2594" t="s">
        <v>39</v>
      </c>
      <c r="G2594" t="str" cm="1">
        <f t="array" ref="G2594" xml:space="preserve"> FindCountryName(F2594)</f>
        <v>United Kingdom of Great Britain and Northern Ireland (the)</v>
      </c>
      <c r="H2594" s="1">
        <v>45267.501921296294</v>
      </c>
      <c r="I2594" s="1">
        <v>45267.501921296294</v>
      </c>
      <c r="J2594" s="1">
        <v>42794.125057870369</v>
      </c>
      <c r="K2594" cm="1">
        <f t="array" ref="K2594" xml:space="preserve"> sentimentCalc(C2594)</f>
        <v>0</v>
      </c>
      <c r="L2594" t="str" cm="1">
        <f t="array" ref="L2594" xml:space="preserve"> sentimentCategory(K2594)</f>
        <v>Neutral</v>
      </c>
    </row>
    <row r="2595" spans="1:12">
      <c r="A2595" t="s">
        <v>1464</v>
      </c>
      <c r="B2595" t="s">
        <v>1463</v>
      </c>
      <c r="C2595" t="str" cm="1">
        <f t="array" ref="C2595" xml:space="preserve"> CleanText(B2595)</f>
        <v>n</v>
      </c>
      <c r="D2595">
        <v>0</v>
      </c>
      <c r="E2595">
        <v>0</v>
      </c>
      <c r="F2595" t="s">
        <v>0</v>
      </c>
      <c r="G2595" t="str" cm="1">
        <f t="array" ref="G2595" xml:space="preserve"> FindCountryName(F2595)</f>
        <v>None</v>
      </c>
      <c r="H2595" s="1">
        <v>45267.483761574076</v>
      </c>
      <c r="I2595" s="1">
        <v>45267.483761574076</v>
      </c>
      <c r="J2595" s="1">
        <v>41527.51730324074</v>
      </c>
      <c r="K2595" cm="1">
        <f t="array" ref="K2595" xml:space="preserve"> sentimentCalc(C2595)</f>
        <v>0</v>
      </c>
      <c r="L2595" t="str" cm="1">
        <f t="array" ref="L2595" xml:space="preserve"> sentimentCategory(K2595)</f>
        <v>Neutral</v>
      </c>
    </row>
    <row r="2596" spans="1:12">
      <c r="A2596" t="s">
        <v>1462</v>
      </c>
      <c r="B2596" t="s">
        <v>1461</v>
      </c>
      <c r="C2596" t="str" cm="1">
        <f t="array" ref="C2596" xml:space="preserve"> CleanText(B2596)</f>
        <v>waiting patiently</v>
      </c>
      <c r="D2596">
        <v>0</v>
      </c>
      <c r="E2596">
        <v>0</v>
      </c>
      <c r="F2596" t="s">
        <v>0</v>
      </c>
      <c r="G2596" t="str" cm="1">
        <f t="array" ref="G2596" xml:space="preserve"> FindCountryName(F2596)</f>
        <v>None</v>
      </c>
      <c r="H2596" s="1">
        <v>45267.476747685185</v>
      </c>
      <c r="I2596" s="1">
        <v>45267.476747685185</v>
      </c>
      <c r="J2596" s="1">
        <v>45201.187777777777</v>
      </c>
      <c r="K2596" cm="1">
        <f t="array" ref="K2596" xml:space="preserve"> sentimentCalc(C2596)</f>
        <v>0</v>
      </c>
      <c r="L2596" t="str" cm="1">
        <f t="array" ref="L2596" xml:space="preserve"> sentimentCategory(K2596)</f>
        <v>Neutral</v>
      </c>
    </row>
    <row r="2597" spans="1:12">
      <c r="A2597" t="s">
        <v>345</v>
      </c>
      <c r="B2597" t="s">
        <v>1460</v>
      </c>
      <c r="C2597" t="str" cm="1">
        <f t="array" ref="C2597" xml:space="preserve"> CleanText(B2597)</f>
        <v>sorry guys he escaped from my basement</v>
      </c>
      <c r="D2597">
        <v>0</v>
      </c>
      <c r="E2597">
        <v>0</v>
      </c>
      <c r="F2597" t="s">
        <v>0</v>
      </c>
      <c r="G2597" t="str" cm="1">
        <f t="array" ref="G2597" xml:space="preserve"> FindCountryName(F2597)</f>
        <v>None</v>
      </c>
      <c r="H2597" s="1">
        <v>45267.463750000003</v>
      </c>
      <c r="I2597" s="1">
        <v>45267.463750000003</v>
      </c>
      <c r="J2597" s="1">
        <v>43262.583518518521</v>
      </c>
      <c r="K2597" cm="1">
        <f t="array" ref="K2597" xml:space="preserve"> sentimentCalc(C2597)</f>
        <v>-1</v>
      </c>
      <c r="L2597" t="str" cm="1">
        <f t="array" ref="L2597" xml:space="preserve"> sentimentCategory(K2597)</f>
        <v>Negative</v>
      </c>
    </row>
    <row r="2598" spans="1:12">
      <c r="A2598" t="s">
        <v>273</v>
      </c>
      <c r="B2598" t="s">
        <v>1459</v>
      </c>
      <c r="C2598" t="str" cm="1">
        <f t="array" ref="C2598" xml:space="preserve"> CleanText(B2598)</f>
        <v>there may be a series in ba sing sae</v>
      </c>
      <c r="D2598">
        <v>0</v>
      </c>
      <c r="E2598">
        <v>0</v>
      </c>
      <c r="F2598" t="s">
        <v>0</v>
      </c>
      <c r="G2598" t="str" cm="1">
        <f t="array" ref="G2598" xml:space="preserve"> FindCountryName(F2598)</f>
        <v>None</v>
      </c>
      <c r="H2598" s="1">
        <v>45267.459687499999</v>
      </c>
      <c r="I2598" s="1">
        <v>45267.459687499999</v>
      </c>
      <c r="J2598" s="1">
        <v>41984.698796296296</v>
      </c>
      <c r="K2598" cm="1">
        <f t="array" ref="K2598" xml:space="preserve"> sentimentCalc(C2598)</f>
        <v>0</v>
      </c>
      <c r="L2598" t="str" cm="1">
        <f t="array" ref="L2598" xml:space="preserve"> sentimentCategory(K2598)</f>
        <v>Neutral</v>
      </c>
    </row>
    <row r="2599" spans="1:12">
      <c r="A2599" t="s">
        <v>1458</v>
      </c>
      <c r="B2599" t="s">
        <v>1457</v>
      </c>
      <c r="C2599" t="str" cm="1">
        <f t="array" ref="C2599" xml:space="preserve"> CleanText(B2599)</f>
        <v>tengo fe en ti to netflix por favor no nos decepciones</v>
      </c>
      <c r="D2599">
        <v>0</v>
      </c>
      <c r="E2599">
        <v>0</v>
      </c>
      <c r="F2599" t="s">
        <v>0</v>
      </c>
      <c r="G2599" t="str" cm="1">
        <f t="array" ref="G2599" xml:space="preserve"> FindCountryName(F2599)</f>
        <v>None</v>
      </c>
      <c r="H2599" s="1">
        <v>45267.455543981479</v>
      </c>
      <c r="I2599" s="1">
        <v>45267.455543981479</v>
      </c>
      <c r="J2599" s="1">
        <v>42906.910787037035</v>
      </c>
      <c r="K2599" cm="1">
        <f t="array" ref="K2599" xml:space="preserve"> sentimentCalc(C2599)</f>
        <v>1</v>
      </c>
      <c r="L2599" t="str" cm="1">
        <f t="array" ref="L2599" xml:space="preserve"> sentimentCategory(K2599)</f>
        <v>Positive</v>
      </c>
    </row>
    <row r="2600" spans="1:12">
      <c r="A2600" t="s">
        <v>1456</v>
      </c>
      <c r="B2600" t="s">
        <v>1455</v>
      </c>
      <c r="C2600" t="str" cm="1">
        <f t="array" ref="C2600" xml:space="preserve"> CleanText(B2600)</f>
        <v>yooo guys my childhood dream please cover the whole series</v>
      </c>
      <c r="D2600">
        <v>0</v>
      </c>
      <c r="E2600">
        <v>0</v>
      </c>
      <c r="F2600" t="s">
        <v>0</v>
      </c>
      <c r="G2600" t="str" cm="1">
        <f t="array" ref="G2600" xml:space="preserve"> FindCountryName(F2600)</f>
        <v>None</v>
      </c>
      <c r="H2600" s="1">
        <v>45267.453715277778</v>
      </c>
      <c r="I2600" s="1">
        <v>45267.453715277778</v>
      </c>
      <c r="J2600" s="1">
        <v>45045.056747685187</v>
      </c>
      <c r="K2600" cm="1">
        <f t="array" ref="K2600" xml:space="preserve"> sentimentCalc(C2600)</f>
        <v>2</v>
      </c>
      <c r="L2600" t="str" cm="1">
        <f t="array" ref="L2600" xml:space="preserve"> sentimentCategory(K2600)</f>
        <v>Positive</v>
      </c>
    </row>
    <row r="2601" spans="1:12">
      <c r="A2601" t="s">
        <v>1454</v>
      </c>
      <c r="B2601" t="s">
        <v>1453</v>
      </c>
      <c r="C2601" t="str" cm="1">
        <f t="array" ref="C2601" xml:space="preserve"> CleanText(B2601)</f>
        <v>uhm</v>
      </c>
      <c r="D2601">
        <v>0</v>
      </c>
      <c r="E2601">
        <v>0</v>
      </c>
      <c r="F2601" t="s">
        <v>0</v>
      </c>
      <c r="G2601" t="str" cm="1">
        <f t="array" ref="G2601" xml:space="preserve"> FindCountryName(F2601)</f>
        <v>None</v>
      </c>
      <c r="H2601" s="1">
        <v>45267.409201388888</v>
      </c>
      <c r="I2601" s="1">
        <v>45267.409201388888</v>
      </c>
      <c r="J2601" s="1">
        <v>45242.429560185185</v>
      </c>
      <c r="K2601" cm="1">
        <f t="array" ref="K2601" xml:space="preserve"> sentimentCalc(C2601)</f>
        <v>0</v>
      </c>
      <c r="L2601" t="str" cm="1">
        <f t="array" ref="L2601" xml:space="preserve"> sentimentCategory(K2601)</f>
        <v>Neutral</v>
      </c>
    </row>
    <row r="2602" spans="1:12">
      <c r="A2602" t="s">
        <v>267</v>
      </c>
      <c r="B2602" t="s">
        <v>1452</v>
      </c>
      <c r="C2602" t="str" cm="1">
        <f t="array" ref="C2602" xml:space="preserve"> CleanText(B2602)</f>
        <v>i need a full trailer</v>
      </c>
      <c r="D2602">
        <v>0</v>
      </c>
      <c r="E2602">
        <v>0</v>
      </c>
      <c r="F2602" t="s">
        <v>0</v>
      </c>
      <c r="G2602" t="str" cm="1">
        <f t="array" ref="G2602" xml:space="preserve"> FindCountryName(F2602)</f>
        <v>None</v>
      </c>
      <c r="H2602" s="1">
        <v>45267.388599537036</v>
      </c>
      <c r="I2602" s="1">
        <v>45267.388599537036</v>
      </c>
      <c r="J2602" s="1">
        <v>41247.24591435185</v>
      </c>
      <c r="K2602" cm="1">
        <f t="array" ref="K2602" xml:space="preserve"> sentimentCalc(C2602)</f>
        <v>0</v>
      </c>
      <c r="L2602" t="str" cm="1">
        <f t="array" ref="L2602" xml:space="preserve"> sentimentCategory(K2602)</f>
        <v>Neutral</v>
      </c>
    </row>
    <row r="2603" spans="1:12">
      <c r="A2603" t="s">
        <v>1451</v>
      </c>
      <c r="B2603" t="s">
        <v>1450</v>
      </c>
      <c r="C2603" t="str" cm="1">
        <f t="array" ref="C2603" xml:space="preserve"> CleanText(B2603)</f>
        <v>i just really hope the bending styles feel different and that they dont screw up iroh or the teachings of working to become better</v>
      </c>
      <c r="D2603">
        <v>0</v>
      </c>
      <c r="E2603">
        <v>1</v>
      </c>
      <c r="F2603" t="s">
        <v>0</v>
      </c>
      <c r="G2603" t="str" cm="1">
        <f t="array" ref="G2603" xml:space="preserve"> FindCountryName(F2603)</f>
        <v>None</v>
      </c>
      <c r="H2603" s="1">
        <v>45267.384745370371</v>
      </c>
      <c r="I2603" s="1">
        <v>45267.384745370371</v>
      </c>
      <c r="J2603" s="1">
        <v>38864.791319444441</v>
      </c>
      <c r="K2603" cm="1">
        <f t="array" ref="K2603" xml:space="preserve"> sentimentCalc(C2603)</f>
        <v>4</v>
      </c>
      <c r="L2603" t="str" cm="1">
        <f t="array" ref="L2603" xml:space="preserve"> sentimentCategory(K2603)</f>
        <v>Positive</v>
      </c>
    </row>
    <row r="2604" spans="1:12">
      <c r="A2604" t="s">
        <v>327</v>
      </c>
      <c r="B2604" t="s">
        <v>1449</v>
      </c>
      <c r="C2604" t="str" cm="1">
        <f t="array" ref="C2604" xml:space="preserve"> CleanText(B2604)</f>
        <v>i cried</v>
      </c>
      <c r="D2604">
        <v>0</v>
      </c>
      <c r="E2604">
        <v>0</v>
      </c>
      <c r="F2604" t="s">
        <v>0</v>
      </c>
      <c r="G2604" t="str" cm="1">
        <f t="array" ref="G2604" xml:space="preserve"> FindCountryName(F2604)</f>
        <v>None</v>
      </c>
      <c r="H2604" s="1">
        <v>45267.37363425926</v>
      </c>
      <c r="I2604" s="1">
        <v>45267.37363425926</v>
      </c>
      <c r="J2604" s="1">
        <v>43518.889884259261</v>
      </c>
      <c r="K2604" cm="1">
        <f t="array" ref="K2604" xml:space="preserve"> sentimentCalc(C2604)</f>
        <v>-2</v>
      </c>
      <c r="L2604" t="str" cm="1">
        <f t="array" ref="L2604" xml:space="preserve"> sentimentCategory(K2604)</f>
        <v>Negative</v>
      </c>
    </row>
    <row r="2605" spans="1:12">
      <c r="A2605" t="s">
        <v>1129</v>
      </c>
      <c r="B2605" t="s">
        <v>1448</v>
      </c>
      <c r="C2605" t="str" cm="1">
        <f t="array" ref="C2605" xml:space="preserve"> CleanText(B2605)</f>
        <v>stop this dust thingstop killing the peoplestop doing evilic action in the        name of jesus</v>
      </c>
      <c r="D2605">
        <v>0</v>
      </c>
      <c r="E2605">
        <v>0</v>
      </c>
      <c r="F2605" t="s">
        <v>0</v>
      </c>
      <c r="G2605" t="str" cm="1">
        <f t="array" ref="G2605" xml:space="preserve"> FindCountryName(F2605)</f>
        <v>None</v>
      </c>
      <c r="H2605" s="1">
        <v>45267.34778935185</v>
      </c>
      <c r="I2605" s="1">
        <v>45267.34778935185</v>
      </c>
      <c r="J2605" s="1">
        <v>45267.337210648147</v>
      </c>
      <c r="K2605" cm="1">
        <f t="array" ref="K2605" xml:space="preserve"> sentimentCalc(C2605)</f>
        <v>-3</v>
      </c>
      <c r="L2605" t="str" cm="1">
        <f t="array" ref="L2605" xml:space="preserve"> sentimentCategory(K2605)</f>
        <v>Negative</v>
      </c>
    </row>
    <row r="2606" spans="1:12">
      <c r="A2606" t="s">
        <v>960</v>
      </c>
      <c r="B2606" t="s">
        <v>1447</v>
      </c>
      <c r="C2606" t="str" cm="1">
        <f t="array" ref="C2606" xml:space="preserve"> CleanText(B2606)</f>
        <v>yawn</v>
      </c>
      <c r="D2606">
        <v>0</v>
      </c>
      <c r="E2606">
        <v>0</v>
      </c>
      <c r="F2606" t="s">
        <v>19</v>
      </c>
      <c r="G2606" t="str" cm="1">
        <f t="array" ref="G2606" xml:space="preserve"> FindCountryName(F2606)</f>
        <v>United States of America (the)</v>
      </c>
      <c r="H2606" s="1">
        <v>45267.238923611112</v>
      </c>
      <c r="I2606" s="1">
        <v>45267.238923611112</v>
      </c>
      <c r="J2606" s="1">
        <v>42685.68109953704</v>
      </c>
      <c r="K2606" cm="1">
        <f t="array" ref="K2606" xml:space="preserve"> sentimentCalc(C2606)</f>
        <v>0</v>
      </c>
      <c r="L2606" t="str" cm="1">
        <f t="array" ref="L2606" xml:space="preserve"> sentimentCategory(K2606)</f>
        <v>Neutral</v>
      </c>
    </row>
    <row r="2607" spans="1:12">
      <c r="A2607" t="s">
        <v>1446</v>
      </c>
      <c r="B2607" t="s">
        <v>1445</v>
      </c>
      <c r="C2607" t="str" cm="1">
        <f t="array" ref="C2607" xml:space="preserve"> CleanText(B2607)</f>
        <v>if netflix fucks this one up the fans are going to skin them alive</v>
      </c>
      <c r="D2607">
        <v>0</v>
      </c>
      <c r="E2607">
        <v>0</v>
      </c>
      <c r="F2607" t="s">
        <v>0</v>
      </c>
      <c r="G2607" t="str" cm="1">
        <f t="array" ref="G2607" xml:space="preserve"> FindCountryName(F2607)</f>
        <v>None</v>
      </c>
      <c r="H2607" s="1">
        <v>45267.188657407409</v>
      </c>
      <c r="I2607" s="1">
        <v>45267.188657407409</v>
      </c>
      <c r="J2607" s="1">
        <v>42248.931226851855</v>
      </c>
      <c r="K2607" cm="1">
        <f t="array" ref="K2607" xml:space="preserve"> sentimentCalc(C2607)</f>
        <v>1</v>
      </c>
      <c r="L2607" t="str" cm="1">
        <f t="array" ref="L2607" xml:space="preserve"> sentimentCategory(K2607)</f>
        <v>Positive</v>
      </c>
    </row>
    <row r="2608" spans="1:12">
      <c r="A2608" t="s">
        <v>1444</v>
      </c>
      <c r="B2608" t="s">
        <v>1443</v>
      </c>
      <c r="C2608" t="str" cm="1">
        <f t="array" ref="C2608" xml:space="preserve"> CleanText(B2608)</f>
        <v>aahhh just two months left yall</v>
      </c>
      <c r="D2608">
        <v>0</v>
      </c>
      <c r="E2608">
        <v>0</v>
      </c>
      <c r="F2608" t="s">
        <v>0</v>
      </c>
      <c r="G2608" t="str" cm="1">
        <f t="array" ref="G2608" xml:space="preserve"> FindCountryName(F2608)</f>
        <v>None</v>
      </c>
      <c r="H2608" s="1">
        <v>45267.185972222222</v>
      </c>
      <c r="I2608" s="1">
        <v>45267.185972222222</v>
      </c>
      <c r="J2608" s="1">
        <v>43818.470694444448</v>
      </c>
      <c r="K2608" cm="1">
        <f t="array" ref="K2608" xml:space="preserve"> sentimentCalc(C2608)</f>
        <v>0</v>
      </c>
      <c r="L2608" t="str" cm="1">
        <f t="array" ref="L2608" xml:space="preserve"> sentimentCategory(K2608)</f>
        <v>Neutral</v>
      </c>
    </row>
    <row r="2609" spans="1:12">
      <c r="A2609" t="s">
        <v>26</v>
      </c>
      <c r="B2609" t="s">
        <v>1442</v>
      </c>
      <c r="C2609" t="str" cm="1">
        <f t="array" ref="C2609" xml:space="preserve"> CleanText(B2609)</f>
        <v>🫂 n</v>
      </c>
      <c r="D2609">
        <v>0</v>
      </c>
      <c r="E2609">
        <v>0</v>
      </c>
      <c r="F2609" t="s">
        <v>0</v>
      </c>
      <c r="G2609" t="str" cm="1">
        <f t="array" ref="G2609" xml:space="preserve"> FindCountryName(F2609)</f>
        <v>None</v>
      </c>
      <c r="H2609" s="1">
        <v>45267.144814814812</v>
      </c>
      <c r="I2609" s="1">
        <v>45267.144814814812</v>
      </c>
      <c r="J2609" s="1">
        <v>42123.086956018517</v>
      </c>
      <c r="K2609" cm="1">
        <f t="array" ref="K2609" xml:space="preserve"> sentimentCalc(C2609)</f>
        <v>0</v>
      </c>
      <c r="L2609" t="str" cm="1">
        <f t="array" ref="L2609" xml:space="preserve"> sentimentCategory(K2609)</f>
        <v>Neutral</v>
      </c>
    </row>
    <row r="2610" spans="1:12">
      <c r="A2610" t="s">
        <v>955</v>
      </c>
      <c r="B2610" t="s">
        <v>1441</v>
      </c>
      <c r="C2610" t="str" cm="1">
        <f t="array" ref="C2610" xml:space="preserve"> CleanText(B2610)</f>
        <v>this is exactly what we need now i wish netflix can make avatar korra live action too 3</v>
      </c>
      <c r="D2610">
        <v>3</v>
      </c>
      <c r="E2610">
        <v>0</v>
      </c>
      <c r="F2610" t="s">
        <v>633</v>
      </c>
      <c r="G2610" t="str" cm="1">
        <f t="array" ref="G2610" xml:space="preserve"> FindCountryName(F2610)</f>
        <v>Indonesia</v>
      </c>
      <c r="H2610" s="1">
        <v>45267.122025462966</v>
      </c>
      <c r="I2610" s="1">
        <v>45267.122025462966</v>
      </c>
      <c r="J2610" s="1">
        <v>41619.456446759257</v>
      </c>
      <c r="K2610" cm="1">
        <f t="array" ref="K2610" xml:space="preserve"> sentimentCalc(C2610)</f>
        <v>1</v>
      </c>
      <c r="L2610" t="str" cm="1">
        <f t="array" ref="L2610" xml:space="preserve"> sentimentCategory(K2610)</f>
        <v>Positive</v>
      </c>
    </row>
    <row r="2611" spans="1:12">
      <c r="A2611" t="s">
        <v>28</v>
      </c>
      <c r="B2611" t="s">
        <v>1440</v>
      </c>
      <c r="C2611" t="str" cm="1">
        <f t="array" ref="C2611" xml:space="preserve"> CleanText(B2611)</f>
        <v>lame as f who wants to see same storyline when we couldve got adult version</v>
      </c>
      <c r="D2611">
        <v>0</v>
      </c>
      <c r="E2611">
        <v>0</v>
      </c>
      <c r="F2611" t="s">
        <v>0</v>
      </c>
      <c r="G2611" t="str" cm="1">
        <f t="array" ref="G2611" xml:space="preserve"> FindCountryName(F2611)</f>
        <v>None</v>
      </c>
      <c r="H2611" s="1">
        <v>45267.101446759261</v>
      </c>
      <c r="I2611" s="1">
        <v>45267.101446759261</v>
      </c>
      <c r="J2611" s="1">
        <v>42654.241435185184</v>
      </c>
      <c r="K2611" cm="1">
        <f t="array" ref="K2611" xml:space="preserve"> sentimentCalc(C2611)</f>
        <v>-2</v>
      </c>
      <c r="L2611" t="str" cm="1">
        <f t="array" ref="L2611" xml:space="preserve"> sentimentCategory(K2611)</f>
        <v>Negative</v>
      </c>
    </row>
    <row r="2612" spans="1:12">
      <c r="A2612" t="s">
        <v>196</v>
      </c>
      <c r="B2612" t="s">
        <v>1439</v>
      </c>
      <c r="C2612" t="str" cm="1">
        <f t="array" ref="C2612" xml:space="preserve"> CleanText(B2612)</f>
        <v>im so sad i cant believe chief benja took his unification ideals to the extreme end in conquest and flame _xDE14_ same actors</v>
      </c>
      <c r="D2612">
        <v>0</v>
      </c>
      <c r="E2612">
        <v>0</v>
      </c>
      <c r="F2612" t="s">
        <v>0</v>
      </c>
      <c r="G2612" t="str" cm="1">
        <f t="array" ref="G2612" xml:space="preserve"> FindCountryName(F2612)</f>
        <v>None</v>
      </c>
      <c r="H2612" s="1">
        <v>45267.038634259261</v>
      </c>
      <c r="I2612" s="1">
        <v>45267.038634259261</v>
      </c>
      <c r="J2612" s="1">
        <v>44563.818252314813</v>
      </c>
      <c r="K2612" cm="1">
        <f t="array" ref="K2612" xml:space="preserve"> sentimentCalc(C2612)</f>
        <v>-2</v>
      </c>
      <c r="L2612" t="str" cm="1">
        <f t="array" ref="L2612" xml:space="preserve"> sentimentCategory(K2612)</f>
        <v>Negative</v>
      </c>
    </row>
    <row r="2613" spans="1:12">
      <c r="A2613" t="s">
        <v>1438</v>
      </c>
      <c r="B2613" t="s">
        <v>1437</v>
      </c>
      <c r="C2613" t="str" cm="1">
        <f t="array" ref="C2613" xml:space="preserve"> CleanText(B2613)</f>
        <v>yea lets revive another ip for the 0th time</v>
      </c>
      <c r="D2613">
        <v>0</v>
      </c>
      <c r="E2613">
        <v>0</v>
      </c>
      <c r="F2613" t="s">
        <v>0</v>
      </c>
      <c r="G2613" t="str" cm="1">
        <f t="array" ref="G2613" xml:space="preserve"> FindCountryName(F2613)</f>
        <v>None</v>
      </c>
      <c r="H2613" s="1">
        <v>45267.028935185182</v>
      </c>
      <c r="I2613" s="1">
        <v>45267.028935185182</v>
      </c>
      <c r="J2613" s="1">
        <v>39127.346168981479</v>
      </c>
      <c r="K2613" cm="1">
        <f t="array" ref="K2613" xml:space="preserve"> sentimentCalc(C2613)</f>
        <v>2</v>
      </c>
      <c r="L2613" t="str" cm="1">
        <f t="array" ref="L2613" xml:space="preserve"> sentimentCategory(K2613)</f>
        <v>Positive</v>
      </c>
    </row>
    <row r="2614" spans="1:12">
      <c r="A2614" t="s">
        <v>1436</v>
      </c>
      <c r="B2614" t="s">
        <v>1435</v>
      </c>
      <c r="C2614" t="str" cm="1">
        <f t="array" ref="C2614" xml:space="preserve"> CleanText(B2614)</f>
        <v>thank you netflix my childhood comeback</v>
      </c>
      <c r="D2614">
        <v>0</v>
      </c>
      <c r="E2614">
        <v>0</v>
      </c>
      <c r="F2614" t="s">
        <v>0</v>
      </c>
      <c r="G2614" t="str" cm="1">
        <f t="array" ref="G2614" xml:space="preserve"> FindCountryName(F2614)</f>
        <v>None</v>
      </c>
      <c r="H2614" s="1">
        <v>45267.024953703702</v>
      </c>
      <c r="I2614" s="1">
        <v>45267.024953703702</v>
      </c>
      <c r="J2614" s="1">
        <v>44450.088703703703</v>
      </c>
      <c r="K2614" cm="1">
        <f t="array" ref="K2614" xml:space="preserve"> sentimentCalc(C2614)</f>
        <v>2</v>
      </c>
      <c r="L2614" t="str" cm="1">
        <f t="array" ref="L2614" xml:space="preserve"> sentimentCategory(K2614)</f>
        <v>Positive</v>
      </c>
    </row>
    <row r="2615" spans="1:12">
      <c r="A2615" t="s">
        <v>774</v>
      </c>
      <c r="B2615" t="s">
        <v>1353</v>
      </c>
      <c r="C2615" t="str" cm="1">
        <f t="array" ref="C2615" xml:space="preserve"> CleanText(B2615)</f>
        <v>wow</v>
      </c>
      <c r="D2615">
        <v>0</v>
      </c>
      <c r="E2615">
        <v>0</v>
      </c>
      <c r="F2615" t="s">
        <v>633</v>
      </c>
      <c r="G2615" t="str" cm="1">
        <f t="array" ref="G2615" xml:space="preserve"> FindCountryName(F2615)</f>
        <v>Indonesia</v>
      </c>
      <c r="H2615" s="1">
        <v>45266.969884259262</v>
      </c>
      <c r="I2615" s="1">
        <v>45266.969884259262</v>
      </c>
      <c r="J2615" s="1">
        <v>42107.086631944447</v>
      </c>
      <c r="K2615" cm="1">
        <f t="array" ref="K2615" xml:space="preserve"> sentimentCalc(C2615)</f>
        <v>4</v>
      </c>
      <c r="L2615" t="str" cm="1">
        <f t="array" ref="L2615" xml:space="preserve"> sentimentCategory(K2615)</f>
        <v>Positive</v>
      </c>
    </row>
    <row r="2616" spans="1:12">
      <c r="A2616" t="s">
        <v>1434</v>
      </c>
      <c r="B2616" t="s">
        <v>1433</v>
      </c>
      <c r="C2616" t="str" cm="1">
        <f t="array" ref="C2616" xml:space="preserve"> CleanText(B2616)</f>
        <v>yeeeeeessssssssssss</v>
      </c>
      <c r="D2616">
        <v>0</v>
      </c>
      <c r="E2616">
        <v>0</v>
      </c>
      <c r="F2616" t="s">
        <v>0</v>
      </c>
      <c r="G2616" t="str" cm="1">
        <f t="array" ref="G2616" xml:space="preserve"> FindCountryName(F2616)</f>
        <v>None</v>
      </c>
      <c r="H2616" s="1">
        <v>45266.934687499997</v>
      </c>
      <c r="I2616" s="1">
        <v>45266.934687499997</v>
      </c>
      <c r="J2616" s="1">
        <v>45166.576805555553</v>
      </c>
      <c r="K2616" cm="1">
        <f t="array" ref="K2616" xml:space="preserve"> sentimentCalc(C2616)</f>
        <v>0</v>
      </c>
      <c r="L2616" t="str" cm="1">
        <f t="array" ref="L2616" xml:space="preserve"> sentimentCategory(K2616)</f>
        <v>Neutral</v>
      </c>
    </row>
    <row r="2617" spans="1:12">
      <c r="A2617" t="s">
        <v>1432</v>
      </c>
      <c r="B2617" t="s">
        <v>1431</v>
      </c>
      <c r="C2617" t="str" cm="1">
        <f t="array" ref="C2617" xml:space="preserve"> CleanText(B2617)</f>
        <v>and then canceled after the first season</v>
      </c>
      <c r="D2617">
        <v>0</v>
      </c>
      <c r="E2617">
        <v>0</v>
      </c>
      <c r="F2617" t="s">
        <v>0</v>
      </c>
      <c r="G2617" t="str" cm="1">
        <f t="array" ref="G2617" xml:space="preserve"> FindCountryName(F2617)</f>
        <v>None</v>
      </c>
      <c r="H2617" s="1">
        <v>45266.872199074074</v>
      </c>
      <c r="I2617" s="1">
        <v>45266.872199074074</v>
      </c>
      <c r="J2617" s="1">
        <v>40792.975428240738</v>
      </c>
      <c r="K2617" cm="1">
        <f t="array" ref="K2617" xml:space="preserve"> sentimentCalc(C2617)</f>
        <v>0</v>
      </c>
      <c r="L2617" t="str" cm="1">
        <f t="array" ref="L2617" xml:space="preserve"> sentimentCategory(K2617)</f>
        <v>Neutral</v>
      </c>
    </row>
    <row r="2618" spans="1:12">
      <c r="A2618" t="s">
        <v>573</v>
      </c>
      <c r="B2618" t="s">
        <v>1430</v>
      </c>
      <c r="C2618" t="str" cm="1">
        <f t="array" ref="C2618" xml:space="preserve"> CleanText(B2618)</f>
        <v>is this gonna be a fail as the movie or will it have women empowerment will katara be the main character here is hoping netflix woke up not woke up</v>
      </c>
      <c r="D2618">
        <v>0</v>
      </c>
      <c r="E2618">
        <v>0</v>
      </c>
      <c r="F2618" t="s">
        <v>0</v>
      </c>
      <c r="G2618" t="str" cm="1">
        <f t="array" ref="G2618" xml:space="preserve"> FindCountryName(F2618)</f>
        <v>None</v>
      </c>
      <c r="H2618" s="1">
        <v>45266.870995370373</v>
      </c>
      <c r="I2618" s="1">
        <v>45266.870995370373</v>
      </c>
      <c r="J2618" s="1">
        <v>39397.356793981482</v>
      </c>
      <c r="K2618" cm="1">
        <f t="array" ref="K2618" xml:space="preserve"> sentimentCalc(C2618)</f>
        <v>0</v>
      </c>
      <c r="L2618" t="str" cm="1">
        <f t="array" ref="L2618" xml:space="preserve"> sentimentCategory(K2618)</f>
        <v>Neutral</v>
      </c>
    </row>
    <row r="2619" spans="1:12">
      <c r="A2619" t="s">
        <v>1112</v>
      </c>
      <c r="B2619" t="s">
        <v>1429</v>
      </c>
      <c r="C2619" t="str" cm="1">
        <f t="array" ref="C2619" xml:space="preserve"> CleanText(B2619)</f>
        <v>istg its december and still no final trailer</v>
      </c>
      <c r="D2619">
        <v>0</v>
      </c>
      <c r="E2619">
        <v>0</v>
      </c>
      <c r="F2619" t="s">
        <v>0</v>
      </c>
      <c r="G2619" t="str" cm="1">
        <f t="array" ref="G2619" xml:space="preserve"> FindCountryName(F2619)</f>
        <v>None</v>
      </c>
      <c r="H2619" s="1">
        <v>45266.870011574072</v>
      </c>
      <c r="I2619" s="1">
        <v>45266.870011574072</v>
      </c>
      <c r="J2619" s="1">
        <v>44780.166967592595</v>
      </c>
      <c r="K2619" cm="1">
        <f t="array" ref="K2619" xml:space="preserve"> sentimentCalc(C2619)</f>
        <v>-1</v>
      </c>
      <c r="L2619" t="str" cm="1">
        <f t="array" ref="L2619" xml:space="preserve"> sentimentCategory(K2619)</f>
        <v>Negative</v>
      </c>
    </row>
    <row r="2620" spans="1:12">
      <c r="A2620" t="s">
        <v>1112</v>
      </c>
      <c r="B2620" t="s">
        <v>1428</v>
      </c>
      <c r="C2620" t="str" cm="1">
        <f t="array" ref="C2620" xml:space="preserve"> CleanText(B2620)</f>
        <v>heyy when is the trailer release</v>
      </c>
      <c r="D2620">
        <v>0</v>
      </c>
      <c r="E2620">
        <v>0</v>
      </c>
      <c r="F2620" t="s">
        <v>0</v>
      </c>
      <c r="G2620" t="str" cm="1">
        <f t="array" ref="G2620" xml:space="preserve"> FindCountryName(F2620)</f>
        <v>None</v>
      </c>
      <c r="H2620" s="1">
        <v>45266.867824074077</v>
      </c>
      <c r="I2620" s="1">
        <v>45266.867824074077</v>
      </c>
      <c r="J2620" s="1">
        <v>44780.166967592595</v>
      </c>
      <c r="K2620" cm="1">
        <f t="array" ref="K2620" xml:space="preserve"> sentimentCalc(C2620)</f>
        <v>0</v>
      </c>
      <c r="L2620" t="str" cm="1">
        <f t="array" ref="L2620" xml:space="preserve"> sentimentCategory(K2620)</f>
        <v>Neutral</v>
      </c>
    </row>
    <row r="2621" spans="1:12">
      <c r="A2621" t="s">
        <v>76</v>
      </c>
      <c r="B2621" t="s">
        <v>1427</v>
      </c>
      <c r="C2621" t="str" cm="1">
        <f t="array" ref="C2621" xml:space="preserve"> CleanText(B2621)</f>
        <v>didnt we already have a live action of this</v>
      </c>
      <c r="D2621">
        <v>1</v>
      </c>
      <c r="E2621">
        <v>2</v>
      </c>
      <c r="F2621" t="s">
        <v>0</v>
      </c>
      <c r="G2621" t="str" cm="1">
        <f t="array" ref="G2621" xml:space="preserve"> FindCountryName(F2621)</f>
        <v>None</v>
      </c>
      <c r="H2621" s="1">
        <v>45266.840057870373</v>
      </c>
      <c r="I2621" s="1">
        <v>45266.840057870373</v>
      </c>
      <c r="J2621" s="1">
        <v>44223.552141203705</v>
      </c>
      <c r="K2621" cm="1">
        <f t="array" ref="K2621" xml:space="preserve"> sentimentCalc(C2621)</f>
        <v>0</v>
      </c>
      <c r="L2621" t="str" cm="1">
        <f t="array" ref="L2621" xml:space="preserve"> sentimentCategory(K2621)</f>
        <v>Neutral</v>
      </c>
    </row>
    <row r="2622" spans="1:12">
      <c r="A2622" t="s">
        <v>929</v>
      </c>
      <c r="B2622" t="s">
        <v>1426</v>
      </c>
      <c r="C2622" t="str" cm="1">
        <f t="array" ref="C2622" xml:space="preserve"> CleanText(B2622)</f>
        <v>the first movie was dumb to say the leastwatching this i have hope nowreal hope</v>
      </c>
      <c r="D2622">
        <v>0</v>
      </c>
      <c r="E2622">
        <v>0</v>
      </c>
      <c r="F2622" t="s">
        <v>0</v>
      </c>
      <c r="G2622" t="str" cm="1">
        <f t="array" ref="G2622" xml:space="preserve"> FindCountryName(F2622)</f>
        <v>None</v>
      </c>
      <c r="H2622" s="1">
        <v>45266.821180555555</v>
      </c>
      <c r="I2622" s="1">
        <v>45266.821180555555</v>
      </c>
      <c r="J2622" s="1">
        <v>41692.245949074073</v>
      </c>
      <c r="K2622" cm="1">
        <f t="array" ref="K2622" xml:space="preserve"> sentimentCalc(C2622)</f>
        <v>1</v>
      </c>
      <c r="L2622" t="str" cm="1">
        <f t="array" ref="L2622" xml:space="preserve"> sentimentCategory(K2622)</f>
        <v>Positive</v>
      </c>
    </row>
    <row r="2623" spans="1:12">
      <c r="A2623" t="s">
        <v>175</v>
      </c>
      <c r="B2623" t="s">
        <v>1425</v>
      </c>
      <c r="C2623" t="str" cm="1">
        <f t="array" ref="C2623" xml:space="preserve"> CleanText(B2623)</f>
        <v>nah but why does iroh look like a baby with a fake beard</v>
      </c>
      <c r="D2623">
        <v>0</v>
      </c>
      <c r="E2623">
        <v>0</v>
      </c>
      <c r="F2623" t="s">
        <v>0</v>
      </c>
      <c r="G2623" t="str" cm="1">
        <f t="array" ref="G2623" xml:space="preserve"> FindCountryName(F2623)</f>
        <v>None</v>
      </c>
      <c r="H2623" s="1">
        <v>45266.764699074076</v>
      </c>
      <c r="I2623" s="1">
        <v>45266.764699074076</v>
      </c>
      <c r="J2623" s="1">
        <v>42048.779108796298</v>
      </c>
      <c r="K2623" cm="1">
        <f t="array" ref="K2623" xml:space="preserve"> sentimentCalc(C2623)</f>
        <v>-1</v>
      </c>
      <c r="L2623" t="str" cm="1">
        <f t="array" ref="L2623" xml:space="preserve"> sentimentCategory(K2623)</f>
        <v>Negative</v>
      </c>
    </row>
    <row r="2624" spans="1:12">
      <c r="A2624" t="s">
        <v>1424</v>
      </c>
      <c r="B2624" t="s">
        <v>1423</v>
      </c>
      <c r="C2624" t="str" cm="1">
        <f t="array" ref="C2624" xml:space="preserve"> CleanText(B2624)</f>
        <v>the real avatar none of the blue people nonsense</v>
      </c>
      <c r="D2624">
        <v>0</v>
      </c>
      <c r="E2624">
        <v>1</v>
      </c>
      <c r="F2624" t="s">
        <v>19</v>
      </c>
      <c r="G2624" t="str" cm="1">
        <f t="array" ref="G2624" xml:space="preserve"> FindCountryName(F2624)</f>
        <v>United States of America (the)</v>
      </c>
      <c r="H2624" s="1">
        <v>45266.747129629628</v>
      </c>
      <c r="I2624" s="1">
        <v>45266.747129629628</v>
      </c>
      <c r="J2624" s="1">
        <v>40302.773715277777</v>
      </c>
      <c r="K2624" cm="1">
        <f t="array" ref="K2624" xml:space="preserve"> sentimentCalc(C2624)</f>
        <v>-2</v>
      </c>
      <c r="L2624" t="str" cm="1">
        <f t="array" ref="L2624" xml:space="preserve"> sentimentCategory(K2624)</f>
        <v>Negative</v>
      </c>
    </row>
    <row r="2625" spans="1:12">
      <c r="A2625" t="s">
        <v>1217</v>
      </c>
      <c r="B2625" t="s">
        <v>1422</v>
      </c>
      <c r="C2625" t="str" cm="1">
        <f t="array" ref="C2625" xml:space="preserve"> CleanText(B2625)</f>
        <v>this gonna be ass</v>
      </c>
      <c r="D2625">
        <v>0</v>
      </c>
      <c r="E2625">
        <v>0</v>
      </c>
      <c r="F2625" t="s">
        <v>0</v>
      </c>
      <c r="G2625" t="str" cm="1">
        <f t="array" ref="G2625" xml:space="preserve"> FindCountryName(F2625)</f>
        <v>None</v>
      </c>
      <c r="H2625" s="1">
        <v>45266.74659722222</v>
      </c>
      <c r="I2625" s="1">
        <v>45266.74659722222</v>
      </c>
      <c r="J2625" s="1">
        <v>44096.694305555553</v>
      </c>
      <c r="K2625" cm="1">
        <f t="array" ref="K2625" xml:space="preserve"> sentimentCalc(C2625)</f>
        <v>-4</v>
      </c>
      <c r="L2625" t="str" cm="1">
        <f t="array" ref="L2625" xml:space="preserve"> sentimentCategory(K2625)</f>
        <v>Negative</v>
      </c>
    </row>
    <row r="2626" spans="1:12">
      <c r="A2626" t="s">
        <v>858</v>
      </c>
      <c r="B2626" t="s">
        <v>1421</v>
      </c>
      <c r="C2626" t="str" cm="1">
        <f t="array" ref="C2626" xml:space="preserve"> CleanText(B2626)</f>
        <v>they look like ai characters</v>
      </c>
      <c r="D2626">
        <v>0</v>
      </c>
      <c r="E2626">
        <v>0</v>
      </c>
      <c r="F2626" t="s">
        <v>0</v>
      </c>
      <c r="G2626" t="str" cm="1">
        <f t="array" ref="G2626" xml:space="preserve"> FindCountryName(F2626)</f>
        <v>None</v>
      </c>
      <c r="H2626" s="1">
        <v>45266.727800925924</v>
      </c>
      <c r="I2626" s="1">
        <v>45266.727800925924</v>
      </c>
      <c r="J2626" s="1">
        <v>41680.956006944441</v>
      </c>
      <c r="K2626" cm="1">
        <f t="array" ref="K2626" xml:space="preserve"> sentimentCalc(C2626)</f>
        <v>2</v>
      </c>
      <c r="L2626" t="str" cm="1">
        <f t="array" ref="L2626" xml:space="preserve"> sentimentCategory(K2626)</f>
        <v>Positive</v>
      </c>
    </row>
    <row r="2627" spans="1:12">
      <c r="A2627" t="s">
        <v>1420</v>
      </c>
      <c r="B2627" t="s">
        <v>1419</v>
      </c>
      <c r="C2627" t="str" cm="1">
        <f t="array" ref="C2627" xml:space="preserve"> CleanText(B2627)</f>
        <v>i already love uncle iroh _xDE03_theres warmth in his eyes i just hope netflix wont ruin it the creators of the original parted ways with them which makes me a bit anxious</v>
      </c>
      <c r="D2627">
        <v>0</v>
      </c>
      <c r="E2627">
        <v>1</v>
      </c>
      <c r="F2627" t="s">
        <v>0</v>
      </c>
      <c r="G2627" t="str" cm="1">
        <f t="array" ref="G2627" xml:space="preserve"> FindCountryName(F2627)</f>
        <v>None</v>
      </c>
      <c r="H2627" s="1">
        <v>45266.721898148149</v>
      </c>
      <c r="I2627" s="1">
        <v>45266.721898148149</v>
      </c>
      <c r="J2627" s="1">
        <v>39141.61509259259</v>
      </c>
      <c r="K2627" cm="1">
        <f t="array" ref="K2627" xml:space="preserve"> sentimentCalc(C2627)</f>
        <v>3</v>
      </c>
      <c r="L2627" t="str" cm="1">
        <f t="array" ref="L2627" xml:space="preserve"> sentimentCategory(K2627)</f>
        <v>Positive</v>
      </c>
    </row>
    <row r="2628" spans="1:12">
      <c r="A2628" t="s">
        <v>141</v>
      </c>
      <c r="B2628" t="s">
        <v>1418</v>
      </c>
      <c r="C2628" t="str" cm="1">
        <f t="array" ref="C2628" xml:space="preserve"> CleanText(B2628)</f>
        <v>bet this just gonna be another witcher</v>
      </c>
      <c r="D2628">
        <v>0</v>
      </c>
      <c r="E2628">
        <v>0</v>
      </c>
      <c r="F2628" t="s">
        <v>0</v>
      </c>
      <c r="G2628" t="str" cm="1">
        <f t="array" ref="G2628" xml:space="preserve"> FindCountryName(F2628)</f>
        <v>None</v>
      </c>
      <c r="H2628" s="1">
        <v>45266.716539351852</v>
      </c>
      <c r="I2628" s="1">
        <v>45266.716539351852</v>
      </c>
      <c r="J2628" s="1">
        <v>44418.389513888891</v>
      </c>
      <c r="K2628" cm="1">
        <f t="array" ref="K2628" xml:space="preserve"> sentimentCalc(C2628)</f>
        <v>0</v>
      </c>
      <c r="L2628" t="str" cm="1">
        <f t="array" ref="L2628" xml:space="preserve"> sentimentCategory(K2628)</f>
        <v>Neutral</v>
      </c>
    </row>
    <row r="2629" spans="1:12">
      <c r="A2629" t="s">
        <v>1417</v>
      </c>
      <c r="B2629" t="s">
        <v>1416</v>
      </c>
      <c r="C2629" t="str" cm="1">
        <f t="array" ref="C2629" xml:space="preserve"> CleanText(B2629)</f>
        <v>hope this is a series n not jus a pointless movie again aang story worth a whole series and some</v>
      </c>
      <c r="D2629">
        <v>2</v>
      </c>
      <c r="E2629">
        <v>1</v>
      </c>
      <c r="F2629" t="s">
        <v>0</v>
      </c>
      <c r="G2629" t="str" cm="1">
        <f t="array" ref="G2629" xml:space="preserve"> FindCountryName(F2629)</f>
        <v>None</v>
      </c>
      <c r="H2629" s="1">
        <v>45266.678715277776</v>
      </c>
      <c r="I2629" s="1">
        <v>45266.678715277776</v>
      </c>
      <c r="J2629" s="1">
        <v>44217.00445601852</v>
      </c>
      <c r="K2629" cm="1">
        <f t="array" ref="K2629" xml:space="preserve"> sentimentCalc(C2629)</f>
        <v>4</v>
      </c>
      <c r="L2629" t="str" cm="1">
        <f t="array" ref="L2629" xml:space="preserve"> sentimentCategory(K2629)</f>
        <v>Positive</v>
      </c>
    </row>
    <row r="2630" spans="1:12">
      <c r="A2630" t="s">
        <v>1415</v>
      </c>
      <c r="B2630" t="s">
        <v>1414</v>
      </c>
      <c r="C2630" t="str" cm="1">
        <f t="array" ref="C2630" xml:space="preserve"> CleanText(B2630)</f>
        <v>please pronounce his name correctly</v>
      </c>
      <c r="D2630">
        <v>1</v>
      </c>
      <c r="E2630">
        <v>0</v>
      </c>
      <c r="F2630" t="s">
        <v>0</v>
      </c>
      <c r="G2630" t="str" cm="1">
        <f t="array" ref="G2630" xml:space="preserve"> FindCountryName(F2630)</f>
        <v>None</v>
      </c>
      <c r="H2630" s="1">
        <v>45266.676469907405</v>
      </c>
      <c r="I2630" s="1">
        <v>45266.676469907405</v>
      </c>
      <c r="J2630" s="1">
        <v>45266.306539351855</v>
      </c>
      <c r="K2630" cm="1">
        <f t="array" ref="K2630" xml:space="preserve"> sentimentCalc(C2630)</f>
        <v>1</v>
      </c>
      <c r="L2630" t="str" cm="1">
        <f t="array" ref="L2630" xml:space="preserve"> sentimentCategory(K2630)</f>
        <v>Positive</v>
      </c>
    </row>
    <row r="2631" spans="1:12">
      <c r="A2631" t="s">
        <v>1030</v>
      </c>
      <c r="B2631" t="s">
        <v>1413</v>
      </c>
      <c r="C2631" t="str" cm="1">
        <f t="array" ref="C2631" xml:space="preserve"> CleanText(B2631)</f>
        <v>i really hope they dont skip adapting any of the episodes im especially hoping they go all out when animating koh the face stealer _xDD1E__xDE0A_</v>
      </c>
      <c r="D2631">
        <v>10</v>
      </c>
      <c r="E2631">
        <v>0</v>
      </c>
      <c r="F2631" t="s">
        <v>0</v>
      </c>
      <c r="G2631" t="str" cm="1">
        <f t="array" ref="G2631" xml:space="preserve"> FindCountryName(F2631)</f>
        <v>None</v>
      </c>
      <c r="H2631" s="1">
        <v>45266.650138888886</v>
      </c>
      <c r="I2631" s="1">
        <v>45266.650138888886</v>
      </c>
      <c r="J2631" s="1">
        <v>43093.526388888888</v>
      </c>
      <c r="K2631" cm="1">
        <f t="array" ref="K2631" xml:space="preserve"> sentimentCalc(C2631)</f>
        <v>4</v>
      </c>
      <c r="L2631" t="str" cm="1">
        <f t="array" ref="L2631" xml:space="preserve"> sentimentCategory(K2631)</f>
        <v>Positive</v>
      </c>
    </row>
    <row r="2632" spans="1:12">
      <c r="A2632" t="s">
        <v>269</v>
      </c>
      <c r="B2632" t="s">
        <v>1412</v>
      </c>
      <c r="C2632" t="str" cm="1">
        <f t="array" ref="C2632" xml:space="preserve"> CleanText(B2632)</f>
        <v>other than the final shot where the wind doesnt move anything it all looks good so far</v>
      </c>
      <c r="D2632">
        <v>0</v>
      </c>
      <c r="E2632">
        <v>0</v>
      </c>
      <c r="F2632" t="s">
        <v>0</v>
      </c>
      <c r="G2632" t="str" cm="1">
        <f t="array" ref="G2632" xml:space="preserve"> FindCountryName(F2632)</f>
        <v>None</v>
      </c>
      <c r="H2632" s="1">
        <v>45266.616712962961</v>
      </c>
      <c r="I2632" s="1">
        <v>45266.616712962961</v>
      </c>
      <c r="J2632" s="1">
        <v>44108.424375000002</v>
      </c>
      <c r="K2632" cm="1">
        <f t="array" ref="K2632" xml:space="preserve"> sentimentCalc(C2632)</f>
        <v>3</v>
      </c>
      <c r="L2632" t="str" cm="1">
        <f t="array" ref="L2632" xml:space="preserve"> sentimentCategory(K2632)</f>
        <v>Positive</v>
      </c>
    </row>
    <row r="2633" spans="1:12">
      <c r="A2633" t="s">
        <v>1411</v>
      </c>
      <c r="B2633" t="s">
        <v>1410</v>
      </c>
      <c r="C2633" t="str" cm="1">
        <f t="array" ref="C2633" xml:space="preserve"> CleanText(B2633)</f>
        <v>wheres toph_xD83E_</v>
      </c>
      <c r="D2633">
        <v>0</v>
      </c>
      <c r="E2633">
        <v>2</v>
      </c>
      <c r="F2633" t="s">
        <v>0</v>
      </c>
      <c r="G2633" t="str" cm="1">
        <f t="array" ref="G2633" xml:space="preserve"> FindCountryName(F2633)</f>
        <v>None</v>
      </c>
      <c r="H2633" s="1">
        <v>45266.613171296296</v>
      </c>
      <c r="I2633" s="1">
        <v>45266.613171296296</v>
      </c>
      <c r="J2633" s="1">
        <v>44845.814201388886</v>
      </c>
      <c r="K2633" cm="1">
        <f t="array" ref="K2633" xml:space="preserve"> sentimentCalc(C2633)</f>
        <v>0</v>
      </c>
      <c r="L2633" t="str" cm="1">
        <f t="array" ref="L2633" xml:space="preserve"> sentimentCategory(K2633)</f>
        <v>Neutral</v>
      </c>
    </row>
    <row r="2634" spans="1:12">
      <c r="A2634" t="s">
        <v>249</v>
      </c>
      <c r="B2634" t="s">
        <v>1409</v>
      </c>
      <c r="C2634" t="str" cm="1">
        <f t="array" ref="C2634" xml:space="preserve"> CleanText(B2634)</f>
        <v>please tell me its a full series not a movie this story is too detailed to be cramped up in just one movie</v>
      </c>
      <c r="D2634">
        <v>1</v>
      </c>
      <c r="E2634">
        <v>1</v>
      </c>
      <c r="F2634" t="s">
        <v>0</v>
      </c>
      <c r="G2634" t="str" cm="1">
        <f t="array" ref="G2634" xml:space="preserve"> FindCountryName(F2634)</f>
        <v>None</v>
      </c>
      <c r="H2634" s="1">
        <v>45266.610763888886</v>
      </c>
      <c r="I2634" s="1">
        <v>45266.610763888886</v>
      </c>
      <c r="J2634" s="1">
        <v>43546.25712962963</v>
      </c>
      <c r="K2634" cm="1">
        <f t="array" ref="K2634" xml:space="preserve"> sentimentCalc(C2634)</f>
        <v>1</v>
      </c>
      <c r="L2634" t="str" cm="1">
        <f t="array" ref="L2634" xml:space="preserve"> sentimentCategory(K2634)</f>
        <v>Positive</v>
      </c>
    </row>
    <row r="2635" spans="1:12">
      <c r="A2635" t="s">
        <v>1408</v>
      </c>
      <c r="B2635" t="s">
        <v>1407</v>
      </c>
      <c r="C2635" t="str" cm="1">
        <f t="array" ref="C2635" xml:space="preserve"> CleanText(B2635)</f>
        <v>plz dont change the storyline</v>
      </c>
      <c r="D2635">
        <v>0</v>
      </c>
      <c r="E2635">
        <v>0</v>
      </c>
      <c r="F2635" t="s">
        <v>0</v>
      </c>
      <c r="G2635" t="str" cm="1">
        <f t="array" ref="G2635" xml:space="preserve"> FindCountryName(F2635)</f>
        <v>None</v>
      </c>
      <c r="H2635" s="1">
        <v>45266.602685185186</v>
      </c>
      <c r="I2635" s="1">
        <v>45266.602685185186</v>
      </c>
      <c r="J2635" s="1">
        <v>42607.357627314814</v>
      </c>
      <c r="K2635" cm="1">
        <f t="array" ref="K2635" xml:space="preserve"> sentimentCalc(C2635)</f>
        <v>0</v>
      </c>
      <c r="L2635" t="str" cm="1">
        <f t="array" ref="L2635" xml:space="preserve"> sentimentCategory(K2635)</f>
        <v>Neutral</v>
      </c>
    </row>
    <row r="2636" spans="1:12">
      <c r="A2636" t="s">
        <v>964</v>
      </c>
      <c r="B2636" t="s">
        <v>1406</v>
      </c>
      <c r="C2636" t="str" cm="1">
        <f t="array" ref="C2636" xml:space="preserve"> CleanText(B2636)</f>
        <v>everything looks amazing so far</v>
      </c>
      <c r="D2636">
        <v>0</v>
      </c>
      <c r="E2636">
        <v>0</v>
      </c>
      <c r="F2636" t="s">
        <v>0</v>
      </c>
      <c r="G2636" t="str" cm="1">
        <f t="array" ref="G2636" xml:space="preserve"> FindCountryName(F2636)</f>
        <v>None</v>
      </c>
      <c r="H2636" s="1">
        <v>45266.598738425928</v>
      </c>
      <c r="I2636" s="1">
        <v>45266.598738425928</v>
      </c>
      <c r="J2636" s="1">
        <v>40403.279583333337</v>
      </c>
      <c r="K2636" cm="1">
        <f t="array" ref="K2636" xml:space="preserve"> sentimentCalc(C2636)</f>
        <v>4</v>
      </c>
      <c r="L2636" t="str" cm="1">
        <f t="array" ref="L2636" xml:space="preserve"> sentimentCategory(K2636)</f>
        <v>Positive</v>
      </c>
    </row>
    <row r="2637" spans="1:12">
      <c r="A2637" t="s">
        <v>1405</v>
      </c>
      <c r="B2637" t="s">
        <v>1404</v>
      </c>
      <c r="C2637" t="str" cm="1">
        <f t="array" ref="C2637" xml:space="preserve"> CleanText(B2637)</f>
        <v>super</v>
      </c>
      <c r="D2637">
        <v>1</v>
      </c>
      <c r="E2637">
        <v>0</v>
      </c>
      <c r="F2637" t="s">
        <v>0</v>
      </c>
      <c r="G2637" t="str" cm="1">
        <f t="array" ref="G2637" xml:space="preserve"> FindCountryName(F2637)</f>
        <v>None</v>
      </c>
      <c r="H2637" s="1">
        <v>45266.594236111108</v>
      </c>
      <c r="I2637" s="1">
        <v>45266.594236111108</v>
      </c>
      <c r="J2637" s="1">
        <v>44061.303171296298</v>
      </c>
      <c r="K2637" cm="1">
        <f t="array" ref="K2637" xml:space="preserve"> sentimentCalc(C2637)</f>
        <v>3</v>
      </c>
      <c r="L2637" t="str" cm="1">
        <f t="array" ref="L2637" xml:space="preserve"> sentimentCategory(K2637)</f>
        <v>Positive</v>
      </c>
    </row>
    <row r="2638" spans="1:12">
      <c r="A2638" t="s">
        <v>4</v>
      </c>
      <c r="B2638" t="s">
        <v>1403</v>
      </c>
      <c r="C2638" t="str" cm="1">
        <f t="array" ref="C2638" xml:space="preserve"> CleanText(B2638)</f>
        <v>thank you</v>
      </c>
      <c r="D2638">
        <v>0</v>
      </c>
      <c r="E2638">
        <v>0</v>
      </c>
      <c r="F2638" t="s">
        <v>1093</v>
      </c>
      <c r="G2638" t="str" cm="1">
        <f t="array" ref="G2638" xml:space="preserve"> FindCountryName(F2638)</f>
        <v>Mexico</v>
      </c>
      <c r="H2638" s="1">
        <v>45266.591087962966</v>
      </c>
      <c r="I2638" s="1">
        <v>45266.591087962966</v>
      </c>
      <c r="J2638" s="1">
        <v>41491.68178240741</v>
      </c>
      <c r="K2638" cm="1">
        <f t="array" ref="K2638" xml:space="preserve"> sentimentCalc(C2638)</f>
        <v>2</v>
      </c>
      <c r="L2638" t="str" cm="1">
        <f t="array" ref="L2638" xml:space="preserve"> sentimentCategory(K2638)</f>
        <v>Positive</v>
      </c>
    </row>
    <row r="2639" spans="1:12">
      <c r="A2639" t="s">
        <v>1386</v>
      </c>
      <c r="B2639" t="s">
        <v>1402</v>
      </c>
      <c r="C2639" t="str" cm="1">
        <f t="array" ref="C2639" xml:space="preserve"> CleanText(B2639)</f>
        <v>izgifilmi daha iyi eng saf ocuk filmde ciddi yapmşlar gibi</v>
      </c>
      <c r="D2639">
        <v>0</v>
      </c>
      <c r="E2639">
        <v>0</v>
      </c>
      <c r="F2639" t="s">
        <v>0</v>
      </c>
      <c r="G2639" t="str" cm="1">
        <f t="array" ref="G2639" xml:space="preserve"> FindCountryName(F2639)</f>
        <v>None</v>
      </c>
      <c r="H2639" s="1">
        <v>45266.570671296293</v>
      </c>
      <c r="I2639" s="1">
        <v>45266.570671296293</v>
      </c>
      <c r="J2639" s="1">
        <v>44382.512233796297</v>
      </c>
      <c r="K2639" cm="1">
        <f t="array" ref="K2639" xml:space="preserve"> sentimentCalc(C2639)</f>
        <v>0</v>
      </c>
      <c r="L2639" t="str" cm="1">
        <f t="array" ref="L2639" xml:space="preserve"> sentimentCategory(K2639)</f>
        <v>Neutral</v>
      </c>
    </row>
    <row r="2640" spans="1:12">
      <c r="A2640" t="s">
        <v>1401</v>
      </c>
      <c r="B2640" t="s">
        <v>1400</v>
      </c>
      <c r="C2640" t="str" cm="1">
        <f t="array" ref="C2640" xml:space="preserve"> CleanText(B2640)</f>
        <v>whether it will be good or not i wonder if theyll just fly over the great divide this time _xDE02_</v>
      </c>
      <c r="D2640">
        <v>0</v>
      </c>
      <c r="E2640">
        <v>0</v>
      </c>
      <c r="F2640" t="s">
        <v>19</v>
      </c>
      <c r="G2640" t="str" cm="1">
        <f t="array" ref="G2640" xml:space="preserve"> FindCountryName(F2640)</f>
        <v>United States of America (the)</v>
      </c>
      <c r="H2640" s="1">
        <v>45266.568854166668</v>
      </c>
      <c r="I2640" s="1">
        <v>45266.568854166668</v>
      </c>
      <c r="J2640" s="1">
        <v>44087.648333333331</v>
      </c>
      <c r="K2640" cm="1">
        <f t="array" ref="K2640" xml:space="preserve"> sentimentCalc(C2640)</f>
        <v>6</v>
      </c>
      <c r="L2640" t="str" cm="1">
        <f t="array" ref="L2640" xml:space="preserve"> sentimentCategory(K2640)</f>
        <v>Positive</v>
      </c>
    </row>
    <row r="2641" spans="1:12">
      <c r="A2641" t="s">
        <v>158</v>
      </c>
      <c r="B2641" t="s">
        <v>1399</v>
      </c>
      <c r="C2641" t="str" cm="1">
        <f t="array" ref="C2641" xml:space="preserve"> CleanText(B2641)</f>
        <v>desparetly wating for this series</v>
      </c>
      <c r="D2641">
        <v>0</v>
      </c>
      <c r="E2641">
        <v>0</v>
      </c>
      <c r="F2641" t="s">
        <v>0</v>
      </c>
      <c r="G2641" t="str" cm="1">
        <f t="array" ref="G2641" xml:space="preserve"> FindCountryName(F2641)</f>
        <v>None</v>
      </c>
      <c r="H2641" s="1">
        <v>45266.52789351852</v>
      </c>
      <c r="I2641" s="1">
        <v>45266.52789351852</v>
      </c>
      <c r="J2641" s="1">
        <v>43287.673206018517</v>
      </c>
      <c r="K2641" cm="1">
        <f t="array" ref="K2641" xml:space="preserve"> sentimentCalc(C2641)</f>
        <v>0</v>
      </c>
      <c r="L2641" t="str" cm="1">
        <f t="array" ref="L2641" xml:space="preserve"> sentimentCategory(K2641)</f>
        <v>Neutral</v>
      </c>
    </row>
    <row r="2642" spans="1:12">
      <c r="A2642" t="s">
        <v>175</v>
      </c>
      <c r="B2642" t="s">
        <v>1398</v>
      </c>
      <c r="C2642" t="str" cm="1">
        <f t="array" ref="C2642" xml:space="preserve"> CleanText(B2642)</f>
        <v>flop</v>
      </c>
      <c r="D2642">
        <v>0</v>
      </c>
      <c r="E2642">
        <v>0</v>
      </c>
      <c r="F2642" t="s">
        <v>0</v>
      </c>
      <c r="G2642" t="str" cm="1">
        <f t="array" ref="G2642" xml:space="preserve"> FindCountryName(F2642)</f>
        <v>None</v>
      </c>
      <c r="H2642" s="1">
        <v>45266.497291666667</v>
      </c>
      <c r="I2642" s="1">
        <v>45266.497291666667</v>
      </c>
      <c r="J2642" s="1">
        <v>41780.329016203701</v>
      </c>
      <c r="K2642" cm="1">
        <f t="array" ref="K2642" xml:space="preserve"> sentimentCalc(C2642)</f>
        <v>-2</v>
      </c>
      <c r="L2642" t="str" cm="1">
        <f t="array" ref="L2642" xml:space="preserve"> sentimentCategory(K2642)</f>
        <v>Negative</v>
      </c>
    </row>
    <row r="2643" spans="1:12">
      <c r="A2643" t="s">
        <v>474</v>
      </c>
      <c r="B2643" t="s">
        <v>1397</v>
      </c>
      <c r="C2643" t="str" cm="1">
        <f t="array" ref="C2643" xml:space="preserve"> CleanText(B2643)</f>
        <v>if theres ever a time for netflix to redeem itself for making live action films of animated shows then it is now _xDE4F_</v>
      </c>
      <c r="D2643">
        <v>0</v>
      </c>
      <c r="E2643">
        <v>0</v>
      </c>
      <c r="F2643" t="s">
        <v>0</v>
      </c>
      <c r="G2643" t="str" cm="1">
        <f t="array" ref="G2643" xml:space="preserve"> FindCountryName(F2643)</f>
        <v>None</v>
      </c>
      <c r="H2643" s="1">
        <v>45266.493703703702</v>
      </c>
      <c r="I2643" s="1">
        <v>45266.493703703702</v>
      </c>
      <c r="J2643" s="1">
        <v>40824.417291666665</v>
      </c>
      <c r="K2643" cm="1">
        <f t="array" ref="K2643" xml:space="preserve"> sentimentCalc(C2643)</f>
        <v>0</v>
      </c>
      <c r="L2643" t="str" cm="1">
        <f t="array" ref="L2643" xml:space="preserve"> sentimentCategory(K2643)</f>
        <v>Neutral</v>
      </c>
    </row>
    <row r="2644" spans="1:12">
      <c r="A2644" t="s">
        <v>566</v>
      </c>
      <c r="B2644" t="s">
        <v>1396</v>
      </c>
      <c r="C2644" t="str" cm="1">
        <f t="array" ref="C2644" xml:space="preserve"> CleanText(B2644)</f>
        <v>i have spent a lot of my time learning from the tv series of the last airbender i am disappointed with netflix trailer sometimes it is better to leave it the way it was before stop recreating and start creating bring something new to the world</v>
      </c>
      <c r="D2644">
        <v>0</v>
      </c>
      <c r="E2644">
        <v>0</v>
      </c>
      <c r="F2644" t="s">
        <v>0</v>
      </c>
      <c r="G2644" t="str" cm="1">
        <f t="array" ref="G2644" xml:space="preserve"> FindCountryName(F2644)</f>
        <v>None</v>
      </c>
      <c r="H2644" s="1">
        <v>45266.493101851855</v>
      </c>
      <c r="I2644" s="1">
        <v>45266.493101851855</v>
      </c>
      <c r="J2644" s="1">
        <v>43896.750648148147</v>
      </c>
      <c r="K2644" cm="1">
        <f t="array" ref="K2644" xml:space="preserve"> sentimentCalc(C2644)</f>
        <v>-2</v>
      </c>
      <c r="L2644" t="str" cm="1">
        <f t="array" ref="L2644" xml:space="preserve"> sentimentCategory(K2644)</f>
        <v>Negative</v>
      </c>
    </row>
    <row r="2645" spans="1:12">
      <c r="A2645" t="s">
        <v>367</v>
      </c>
      <c r="B2645" t="s">
        <v>1395</v>
      </c>
      <c r="C2645" t="str" cm="1">
        <f t="array" ref="C2645" xml:space="preserve"> CleanText(B2645)</f>
        <v>i gotta say it look kinda identical to the last bad movie but we will see</v>
      </c>
      <c r="D2645">
        <v>1</v>
      </c>
      <c r="E2645">
        <v>2</v>
      </c>
      <c r="F2645" t="s">
        <v>112</v>
      </c>
      <c r="G2645" t="str" cm="1">
        <f t="array" ref="G2645" xml:space="preserve"> FindCountryName(F2645)</f>
        <v>Canada</v>
      </c>
      <c r="H2645" s="1">
        <v>45266.445023148146</v>
      </c>
      <c r="I2645" s="1">
        <v>45266.445023148146</v>
      </c>
      <c r="J2645" s="1">
        <v>41952.447048611109</v>
      </c>
      <c r="K2645" cm="1">
        <f t="array" ref="K2645" xml:space="preserve"> sentimentCalc(C2645)</f>
        <v>-3</v>
      </c>
      <c r="L2645" t="str" cm="1">
        <f t="array" ref="L2645" xml:space="preserve"> sentimentCategory(K2645)</f>
        <v>Negative</v>
      </c>
    </row>
    <row r="2646" spans="1:12">
      <c r="A2646" t="s">
        <v>1200</v>
      </c>
      <c r="B2646" t="s">
        <v>1394</v>
      </c>
      <c r="C2646" t="str" cm="1">
        <f t="array" ref="C2646" xml:space="preserve"> CleanText(B2646)</f>
        <v>you know a year ago when i learned this was happening i was terrified now after the absolute work of art that was one piece i couldnt be more exited</v>
      </c>
      <c r="D2646">
        <v>0</v>
      </c>
      <c r="E2646">
        <v>2</v>
      </c>
      <c r="F2646" t="s">
        <v>19</v>
      </c>
      <c r="G2646" t="str" cm="1">
        <f t="array" ref="G2646" xml:space="preserve"> FindCountryName(F2646)</f>
        <v>United States of America (the)</v>
      </c>
      <c r="H2646" s="1">
        <v>45266.42328703704</v>
      </c>
      <c r="I2646" s="1">
        <v>45266.42328703704</v>
      </c>
      <c r="J2646" s="1">
        <v>44597.656261574077</v>
      </c>
      <c r="K2646" cm="1">
        <f t="array" ref="K2646" xml:space="preserve"> sentimentCalc(C2646)</f>
        <v>-3</v>
      </c>
      <c r="L2646" t="str" cm="1">
        <f t="array" ref="L2646" xml:space="preserve"> sentimentCategory(K2646)</f>
        <v>Negative</v>
      </c>
    </row>
    <row r="2647" spans="1:12">
      <c r="A2647" t="s">
        <v>1393</v>
      </c>
      <c r="B2647" t="s">
        <v>1392</v>
      </c>
      <c r="C2647" t="str" cm="1">
        <f t="array" ref="C2647" xml:space="preserve"> CleanText(B2647)</f>
        <v>time to see if this revives our hope or throws it out the door again</v>
      </c>
      <c r="D2647">
        <v>0</v>
      </c>
      <c r="E2647">
        <v>0</v>
      </c>
      <c r="F2647" t="s">
        <v>771</v>
      </c>
      <c r="G2647" t="str" cm="1">
        <f t="array" ref="G2647" xml:space="preserve"> FindCountryName(F2647)</f>
        <v>Malaysia</v>
      </c>
      <c r="H2647" s="1">
        <v>45266.41542824074</v>
      </c>
      <c r="I2647" s="1">
        <v>45266.41542824074</v>
      </c>
      <c r="J2647" s="1">
        <v>41339.282337962963</v>
      </c>
      <c r="K2647" cm="1">
        <f t="array" ref="K2647" xml:space="preserve"> sentimentCalc(C2647)</f>
        <v>4</v>
      </c>
      <c r="L2647" t="str" cm="1">
        <f t="array" ref="L2647" xml:space="preserve"> sentimentCategory(K2647)</f>
        <v>Positive</v>
      </c>
    </row>
    <row r="2648" spans="1:12">
      <c r="A2648" t="s">
        <v>1391</v>
      </c>
      <c r="B2648" t="s">
        <v>1390</v>
      </c>
      <c r="C2648" t="str" cm="1">
        <f t="array" ref="C2648" xml:space="preserve"> CleanText(B2648)</f>
        <v>lan general iroh harbiden jahrein amk</v>
      </c>
      <c r="D2648">
        <v>0</v>
      </c>
      <c r="E2648">
        <v>0</v>
      </c>
      <c r="F2648" t="s">
        <v>0</v>
      </c>
      <c r="G2648" t="str" cm="1">
        <f t="array" ref="G2648" xml:space="preserve"> FindCountryName(F2648)</f>
        <v>None</v>
      </c>
      <c r="H2648" s="1">
        <v>45266.410104166665</v>
      </c>
      <c r="I2648" s="1">
        <v>45266.410104166665</v>
      </c>
      <c r="J2648" s="1">
        <v>44719.338449074072</v>
      </c>
      <c r="K2648" cm="1">
        <f t="array" ref="K2648" xml:space="preserve"> sentimentCalc(C2648)</f>
        <v>0</v>
      </c>
      <c r="L2648" t="str" cm="1">
        <f t="array" ref="L2648" xml:space="preserve"> sentimentCategory(K2648)</f>
        <v>Neutral</v>
      </c>
    </row>
    <row r="2649" spans="1:12">
      <c r="A2649" t="s">
        <v>1389</v>
      </c>
      <c r="B2649" t="s">
        <v>1388</v>
      </c>
      <c r="C2649" t="str" cm="1">
        <f t="array" ref="C2649" xml:space="preserve"> CleanText(B2649)</f>
        <v>raising my childhood memories</v>
      </c>
      <c r="D2649">
        <v>0</v>
      </c>
      <c r="E2649">
        <v>0</v>
      </c>
      <c r="F2649" t="s">
        <v>633</v>
      </c>
      <c r="G2649" t="str" cm="1">
        <f t="array" ref="G2649" xml:space="preserve"> FindCountryName(F2649)</f>
        <v>Indonesia</v>
      </c>
      <c r="H2649" s="1">
        <v>45266.385011574072</v>
      </c>
      <c r="I2649" s="1">
        <v>45266.385011574072</v>
      </c>
      <c r="J2649" s="1">
        <v>42172.521608796298</v>
      </c>
      <c r="K2649" cm="1">
        <f t="array" ref="K2649" xml:space="preserve"> sentimentCalc(C2649)</f>
        <v>0</v>
      </c>
      <c r="L2649" t="str" cm="1">
        <f t="array" ref="L2649" xml:space="preserve"> sentimentCategory(K2649)</f>
        <v>Neutral</v>
      </c>
    </row>
    <row r="2650" spans="1:12">
      <c r="A2650" t="s">
        <v>367</v>
      </c>
      <c r="B2650" t="s">
        <v>1387</v>
      </c>
      <c r="C2650" t="str" cm="1">
        <f t="array" ref="C2650" xml:space="preserve"> CleanText(B2650)</f>
        <v>cant wait to see momo and appa the lost appa  episode gonna break my heart so bad</v>
      </c>
      <c r="D2650">
        <v>2</v>
      </c>
      <c r="E2650">
        <v>0</v>
      </c>
      <c r="F2650" t="s">
        <v>0</v>
      </c>
      <c r="G2650" t="str" cm="1">
        <f t="array" ref="G2650" xml:space="preserve"> FindCountryName(F2650)</f>
        <v>None</v>
      </c>
      <c r="H2650" s="1">
        <v>45266.349097222221</v>
      </c>
      <c r="I2650" s="1">
        <v>45266.349097222221</v>
      </c>
      <c r="J2650" s="1">
        <v>42194.278321759259</v>
      </c>
      <c r="K2650" cm="1">
        <f t="array" ref="K2650" xml:space="preserve"> sentimentCalc(C2650)</f>
        <v>-6</v>
      </c>
      <c r="L2650" t="str" cm="1">
        <f t="array" ref="L2650" xml:space="preserve"> sentimentCategory(K2650)</f>
        <v>Negative</v>
      </c>
    </row>
    <row r="2651" spans="1:12">
      <c r="A2651" t="s">
        <v>1386</v>
      </c>
      <c r="B2651" t="s">
        <v>1385</v>
      </c>
      <c r="C2651" t="str" cm="1">
        <f t="array" ref="C2651" xml:space="preserve"> CleanText(B2651)</f>
        <v>please let this be good enough to get all  seasons i need to see the final agni kai in live action one day</v>
      </c>
      <c r="D2651">
        <v>6</v>
      </c>
      <c r="E2651">
        <v>3</v>
      </c>
      <c r="F2651" t="s">
        <v>0</v>
      </c>
      <c r="G2651" t="str" cm="1">
        <f t="array" ref="G2651" xml:space="preserve"> FindCountryName(F2651)</f>
        <v>None</v>
      </c>
      <c r="H2651" s="1">
        <v>45266.313958333332</v>
      </c>
      <c r="I2651" s="1">
        <v>45266.313958333332</v>
      </c>
      <c r="J2651" s="1">
        <v>42013.51190972222</v>
      </c>
      <c r="K2651" cm="1">
        <f t="array" ref="K2651" xml:space="preserve"> sentimentCalc(C2651)</f>
        <v>4</v>
      </c>
      <c r="L2651" t="str" cm="1">
        <f t="array" ref="L2651" xml:space="preserve"> sentimentCategory(K2651)</f>
        <v>Positive</v>
      </c>
    </row>
    <row r="2652" spans="1:12">
      <c r="A2652" t="s">
        <v>674</v>
      </c>
      <c r="B2652" t="s">
        <v>1384</v>
      </c>
      <c r="C2652" t="str" cm="1">
        <f t="array" ref="C2652" xml:space="preserve"> CleanText(B2652)</f>
        <v>i hope all character remain funny if not there is no sense for this series to come</v>
      </c>
      <c r="D2652">
        <v>1</v>
      </c>
      <c r="E2652">
        <v>2</v>
      </c>
      <c r="F2652" t="s">
        <v>1383</v>
      </c>
      <c r="G2652" t="str" cm="1">
        <f t="array" ref="G2652" xml:space="preserve"> FindCountryName(F2652)</f>
        <v>Chile</v>
      </c>
      <c r="H2652" s="1">
        <v>45266.311979166669</v>
      </c>
      <c r="I2652" s="1">
        <v>45266.311979166669</v>
      </c>
      <c r="J2652" s="1">
        <v>40841.959016203706</v>
      </c>
      <c r="K2652" cm="1">
        <f t="array" ref="K2652" xml:space="preserve"> sentimentCalc(C2652)</f>
        <v>5</v>
      </c>
      <c r="L2652" t="str" cm="1">
        <f t="array" ref="L2652" xml:space="preserve"> sentimentCategory(K2652)</f>
        <v>Positive</v>
      </c>
    </row>
    <row r="2653" spans="1:12">
      <c r="A2653" t="s">
        <v>516</v>
      </c>
      <c r="B2653" t="s">
        <v>1382</v>
      </c>
      <c r="C2653" t="str" cm="1">
        <f t="array" ref="C2653" xml:space="preserve"> CleanText(B2653)</f>
        <v>fingers crossed it doesnt fail as hard as the other one did</v>
      </c>
      <c r="D2653">
        <v>0</v>
      </c>
      <c r="E2653">
        <v>0</v>
      </c>
      <c r="F2653" t="s">
        <v>0</v>
      </c>
      <c r="G2653" t="str" cm="1">
        <f t="array" ref="G2653" xml:space="preserve"> FindCountryName(F2653)</f>
        <v>None</v>
      </c>
      <c r="H2653" s="1">
        <v>45266.306145833332</v>
      </c>
      <c r="I2653" s="1">
        <v>45266.306145833332</v>
      </c>
      <c r="J2653" s="1">
        <v>44597.393842592595</v>
      </c>
      <c r="K2653" cm="1">
        <f t="array" ref="K2653" xml:space="preserve"> sentimentCalc(C2653)</f>
        <v>-3</v>
      </c>
      <c r="L2653" t="str" cm="1">
        <f t="array" ref="L2653" xml:space="preserve"> sentimentCategory(K2653)</f>
        <v>Negative</v>
      </c>
    </row>
    <row r="2654" spans="1:12">
      <c r="A2654" t="s">
        <v>1378</v>
      </c>
      <c r="B2654" t="s">
        <v>1381</v>
      </c>
      <c r="C2654" t="str" cm="1">
        <f t="array" ref="C2654" xml:space="preserve"> CleanText(B2654)</f>
        <v>netflix are idiots but maybey they did not be idiots this time hopefully</v>
      </c>
      <c r="D2654">
        <v>0</v>
      </c>
      <c r="E2654">
        <v>0</v>
      </c>
      <c r="F2654" t="s">
        <v>0</v>
      </c>
      <c r="G2654" t="str" cm="1">
        <f t="array" ref="G2654" xml:space="preserve"> FindCountryName(F2654)</f>
        <v>None</v>
      </c>
      <c r="H2654" s="1">
        <v>45266.303541666668</v>
      </c>
      <c r="I2654" s="1">
        <v>45266.303541666668</v>
      </c>
      <c r="J2654" s="1">
        <v>40822.949756944443</v>
      </c>
      <c r="K2654" cm="1">
        <f t="array" ref="K2654" xml:space="preserve"> sentimentCalc(C2654)</f>
        <v>2</v>
      </c>
      <c r="L2654" t="str" cm="1">
        <f t="array" ref="L2654" xml:space="preserve"> sentimentCategory(K2654)</f>
        <v>Positive</v>
      </c>
    </row>
    <row r="2655" spans="1:12">
      <c r="A2655" t="s">
        <v>401</v>
      </c>
      <c r="B2655" t="s">
        <v>1380</v>
      </c>
      <c r="C2655" t="str" cm="1">
        <f t="array" ref="C2655" xml:space="preserve"> CleanText(B2655)</f>
        <v>finally</v>
      </c>
      <c r="D2655">
        <v>0</v>
      </c>
      <c r="E2655">
        <v>0</v>
      </c>
      <c r="F2655" t="s">
        <v>0</v>
      </c>
      <c r="G2655" t="str" cm="1">
        <f t="array" ref="G2655" xml:space="preserve"> FindCountryName(F2655)</f>
        <v>None</v>
      </c>
      <c r="H2655" s="1">
        <v>45266.300023148149</v>
      </c>
      <c r="I2655" s="1">
        <v>45266.300023148149</v>
      </c>
      <c r="J2655" s="1">
        <v>42372.590868055559</v>
      </c>
      <c r="K2655" cm="1">
        <f t="array" ref="K2655" xml:space="preserve"> sentimentCalc(C2655)</f>
        <v>0</v>
      </c>
      <c r="L2655" t="str" cm="1">
        <f t="array" ref="L2655" xml:space="preserve"> sentimentCategory(K2655)</f>
        <v>Neutral</v>
      </c>
    </row>
    <row r="2656" spans="1:12">
      <c r="A2656" t="s">
        <v>153</v>
      </c>
      <c r="B2656" t="s">
        <v>1379</v>
      </c>
      <c r="C2656" t="str" cm="1">
        <f t="array" ref="C2656" xml:space="preserve"> CleanText(B2656)</f>
        <v>at last we can forget about the movie we do not speak of</v>
      </c>
      <c r="D2656">
        <v>0</v>
      </c>
      <c r="E2656">
        <v>1</v>
      </c>
      <c r="F2656" t="s">
        <v>0</v>
      </c>
      <c r="G2656" t="str" cm="1">
        <f t="array" ref="G2656" xml:space="preserve"> FindCountryName(F2656)</f>
        <v>None</v>
      </c>
      <c r="H2656" s="1">
        <v>45266.29246527778</v>
      </c>
      <c r="I2656" s="1">
        <v>45266.29246527778</v>
      </c>
      <c r="J2656" s="1">
        <v>44777.794479166667</v>
      </c>
      <c r="K2656" cm="1">
        <f t="array" ref="K2656" xml:space="preserve"> sentimentCalc(C2656)</f>
        <v>-1</v>
      </c>
      <c r="L2656" t="str" cm="1">
        <f t="array" ref="L2656" xml:space="preserve"> sentimentCategory(K2656)</f>
        <v>Negative</v>
      </c>
    </row>
    <row r="2657" spans="1:12">
      <c r="A2657" t="s">
        <v>1378</v>
      </c>
      <c r="B2657" t="s">
        <v>1377</v>
      </c>
      <c r="C2657" t="str" cm="1">
        <f t="array" ref="C2657" xml:space="preserve"> CleanText(B2657)</f>
        <v>they already made the best story dont mess it up by changinging everythingidiots</v>
      </c>
      <c r="D2657">
        <v>0</v>
      </c>
      <c r="E2657">
        <v>0</v>
      </c>
      <c r="F2657" t="s">
        <v>0</v>
      </c>
      <c r="G2657" t="str" cm="1">
        <f t="array" ref="G2657" xml:space="preserve"> FindCountryName(F2657)</f>
        <v>None</v>
      </c>
      <c r="H2657" s="1">
        <v>45266.287754629629</v>
      </c>
      <c r="I2657" s="1">
        <v>45266.287754629629</v>
      </c>
      <c r="J2657" s="1">
        <v>40822.949756944443</v>
      </c>
      <c r="K2657" cm="1">
        <f t="array" ref="K2657" xml:space="preserve"> sentimentCalc(C2657)</f>
        <v>1</v>
      </c>
      <c r="L2657" t="str" cm="1">
        <f t="array" ref="L2657" xml:space="preserve"> sentimentCategory(K2657)</f>
        <v>Positive</v>
      </c>
    </row>
    <row r="2658" spans="1:12">
      <c r="A2658" t="s">
        <v>1376</v>
      </c>
      <c r="B2658" t="s">
        <v>1375</v>
      </c>
      <c r="C2658" t="str" cm="1">
        <f t="array" ref="C2658" xml:space="preserve"> CleanText(B2658)</f>
        <v>yea</v>
      </c>
      <c r="D2658">
        <v>0</v>
      </c>
      <c r="E2658">
        <v>0</v>
      </c>
      <c r="F2658" t="s">
        <v>633</v>
      </c>
      <c r="G2658" t="str" cm="1">
        <f t="array" ref="G2658" xml:space="preserve"> FindCountryName(F2658)</f>
        <v>Indonesia</v>
      </c>
      <c r="H2658" s="1">
        <v>45266.274178240739</v>
      </c>
      <c r="I2658" s="1">
        <v>45266.274178240739</v>
      </c>
      <c r="J2658" s="1">
        <v>42891.682754629626</v>
      </c>
      <c r="K2658" cm="1">
        <f t="array" ref="K2658" xml:space="preserve"> sentimentCalc(C2658)</f>
        <v>0</v>
      </c>
      <c r="L2658" t="str" cm="1">
        <f t="array" ref="L2658" xml:space="preserve"> sentimentCategory(K2658)</f>
        <v>Neutral</v>
      </c>
    </row>
    <row r="2659" spans="1:12">
      <c r="A2659" t="s">
        <v>190</v>
      </c>
      <c r="B2659" t="s">
        <v>1374</v>
      </c>
      <c r="C2659" t="str" cm="1">
        <f t="array" ref="C2659" xml:space="preserve"> CleanText(B2659)</f>
        <v>this made me remind shangchi and the legend of the ten rings that aint no positive thing ill bet it flops really hard there is generations of people that grew up with movies like this i guess that is there audience but the thing i hate about movies like that is that they can make something dangerous and awsome look like cute and dorkey like they did with thor or sauron in rings of power for example from hero to zero it feels for me more like a never ending story rip off while in never ending story the acting was actually really good</v>
      </c>
      <c r="D2659">
        <v>0</v>
      </c>
      <c r="E2659">
        <v>1</v>
      </c>
      <c r="F2659" t="s">
        <v>0</v>
      </c>
      <c r="G2659" t="str" cm="1">
        <f t="array" ref="G2659" xml:space="preserve"> FindCountryName(F2659)</f>
        <v>None</v>
      </c>
      <c r="H2659" s="1">
        <v>45266.258159722223</v>
      </c>
      <c r="I2659" s="1">
        <v>45266.268564814818</v>
      </c>
      <c r="J2659" s="1">
        <v>41243.561145833337</v>
      </c>
      <c r="K2659" cm="1">
        <f t="array" ref="K2659" xml:space="preserve"> sentimentCalc(C2659)</f>
        <v>10</v>
      </c>
      <c r="L2659" t="str" cm="1">
        <f t="array" ref="L2659" xml:space="preserve"> sentimentCategory(K2659)</f>
        <v>Positive</v>
      </c>
    </row>
    <row r="2660" spans="1:12">
      <c r="A2660" t="s">
        <v>1373</v>
      </c>
      <c r="B2660" t="s">
        <v>1372</v>
      </c>
      <c r="C2660" t="str" cm="1">
        <f t="array" ref="C2660" xml:space="preserve"> CleanText(B2660)</f>
        <v>ей ов о ж n</v>
      </c>
      <c r="D2660">
        <v>0</v>
      </c>
      <c r="E2660">
        <v>0</v>
      </c>
      <c r="F2660" t="s">
        <v>0</v>
      </c>
      <c r="G2660" t="str" cm="1">
        <f t="array" ref="G2660" xml:space="preserve"> FindCountryName(F2660)</f>
        <v>None</v>
      </c>
      <c r="H2660" s="1">
        <v>45266.24417824074</v>
      </c>
      <c r="I2660" s="1">
        <v>45266.24417824074</v>
      </c>
      <c r="J2660" s="1">
        <v>43096.370208333334</v>
      </c>
      <c r="K2660" cm="1">
        <f t="array" ref="K2660" xml:space="preserve"> sentimentCalc(C2660)</f>
        <v>0</v>
      </c>
      <c r="L2660" t="str" cm="1">
        <f t="array" ref="L2660" xml:space="preserve"> sentimentCategory(K2660)</f>
        <v>Neutral</v>
      </c>
    </row>
    <row r="2661" spans="1:12">
      <c r="A2661" t="s">
        <v>1108</v>
      </c>
      <c r="B2661" t="s">
        <v>1371</v>
      </c>
      <c r="C2661" t="str" cm="1">
        <f t="array" ref="C2661" xml:space="preserve"> CleanText(B2661)</f>
        <v>what about the universe  the water fire and earth chapterwe want universe on this movie</v>
      </c>
      <c r="D2661">
        <v>0</v>
      </c>
      <c r="E2661">
        <v>1</v>
      </c>
      <c r="F2661" t="s">
        <v>0</v>
      </c>
      <c r="G2661" t="str" cm="1">
        <f t="array" ref="G2661" xml:space="preserve"> FindCountryName(F2661)</f>
        <v>None</v>
      </c>
      <c r="H2661" s="1">
        <v>45266.223124999997</v>
      </c>
      <c r="I2661" s="1">
        <v>45266.223124999997</v>
      </c>
      <c r="J2661" s="1">
        <v>42554.388506944444</v>
      </c>
      <c r="K2661" cm="1">
        <f t="array" ref="K2661" xml:space="preserve"> sentimentCalc(C2661)</f>
        <v>-1</v>
      </c>
      <c r="L2661" t="str" cm="1">
        <f t="array" ref="L2661" xml:space="preserve"> sentimentCategory(K2661)</f>
        <v>Negative</v>
      </c>
    </row>
    <row r="2662" spans="1:12">
      <c r="A2662" t="s">
        <v>1295</v>
      </c>
      <c r="B2662" t="s">
        <v>1370</v>
      </c>
      <c r="C2662" t="str" cm="1">
        <f t="array" ref="C2662" xml:space="preserve"> CleanText(B2662)</f>
        <v>the last movie needed 0 guys from the earth nation to dance and lift a rock smaller then my fog i hope this one will be good _xDE05_</v>
      </c>
      <c r="D2662">
        <v>0</v>
      </c>
      <c r="E2662">
        <v>0</v>
      </c>
      <c r="F2662" t="s">
        <v>98</v>
      </c>
      <c r="G2662" t="str" cm="1">
        <f t="array" ref="G2662" xml:space="preserve"> FindCountryName(F2662)</f>
        <v>India</v>
      </c>
      <c r="H2662" s="1">
        <v>45266.217534722222</v>
      </c>
      <c r="I2662" s="1">
        <v>45266.217534722222</v>
      </c>
      <c r="J2662" s="1">
        <v>44539.000462962962</v>
      </c>
      <c r="K2662" cm="1">
        <f t="array" ref="K2662" xml:space="preserve"> sentimentCalc(C2662)</f>
        <v>5</v>
      </c>
      <c r="L2662" t="str" cm="1">
        <f t="array" ref="L2662" xml:space="preserve"> sentimentCategory(K2662)</f>
        <v>Positive</v>
      </c>
    </row>
    <row r="2663" spans="1:12">
      <c r="A2663" t="s">
        <v>1369</v>
      </c>
      <c r="B2663" t="s">
        <v>1368</v>
      </c>
      <c r="C2663" t="str" cm="1">
        <f t="array" ref="C2663" xml:space="preserve"> CleanText(B2663)</f>
        <v>i only have one thing to complain about dont show me the fire lords face in the trailer it ruins the build up he looks on point though everything else looks pretty good</v>
      </c>
      <c r="D2663">
        <v>0</v>
      </c>
      <c r="E2663">
        <v>1</v>
      </c>
      <c r="F2663" t="s">
        <v>0</v>
      </c>
      <c r="G2663" t="str" cm="1">
        <f t="array" ref="G2663" xml:space="preserve"> FindCountryName(F2663)</f>
        <v>None</v>
      </c>
      <c r="H2663" s="1">
        <v>45266.199328703704</v>
      </c>
      <c r="I2663" s="1">
        <v>45266.200162037036</v>
      </c>
      <c r="J2663" s="1">
        <v>39441.895150462966</v>
      </c>
      <c r="K2663" cm="1">
        <f t="array" ref="K2663" xml:space="preserve"> sentimentCalc(C2663)</f>
        <v>-2</v>
      </c>
      <c r="L2663" t="str" cm="1">
        <f t="array" ref="L2663" xml:space="preserve"> sentimentCategory(K2663)</f>
        <v>Negative</v>
      </c>
    </row>
    <row r="2664" spans="1:12">
      <c r="A2664" t="s">
        <v>1331</v>
      </c>
      <c r="B2664" t="s">
        <v>1367</v>
      </c>
      <c r="C2664" t="str" cm="1">
        <f t="array" ref="C2664" xml:space="preserve"> CleanText(B2664)</f>
        <v>why arent there more white brown and black people~ )</v>
      </c>
      <c r="D2664">
        <v>0</v>
      </c>
      <c r="E2664">
        <v>2</v>
      </c>
      <c r="F2664" t="s">
        <v>0</v>
      </c>
      <c r="G2664" t="str" cm="1">
        <f t="array" ref="G2664" xml:space="preserve"> FindCountryName(F2664)</f>
        <v>None</v>
      </c>
      <c r="H2664" s="1">
        <v>45266.197685185187</v>
      </c>
      <c r="I2664" s="1">
        <v>45266.197685185187</v>
      </c>
      <c r="J2664" s="1">
        <v>41553.030543981484</v>
      </c>
      <c r="K2664" cm="1">
        <f t="array" ref="K2664" xml:space="preserve"> sentimentCalc(C2664)</f>
        <v>0</v>
      </c>
      <c r="L2664" t="str" cm="1">
        <f t="array" ref="L2664" xml:space="preserve"> sentimentCategory(K2664)</f>
        <v>Neutral</v>
      </c>
    </row>
    <row r="2665" spans="1:12">
      <c r="A2665" t="s">
        <v>343</v>
      </c>
      <c r="B2665" t="s">
        <v>1366</v>
      </c>
      <c r="C2665" t="str" cm="1">
        <f t="array" ref="C2665" xml:space="preserve"> CleanText(B2665)</f>
        <v>finally after so many years its finally coming</v>
      </c>
      <c r="D2665">
        <v>0</v>
      </c>
      <c r="E2665">
        <v>0</v>
      </c>
      <c r="F2665" t="s">
        <v>0</v>
      </c>
      <c r="G2665" t="str" cm="1">
        <f t="array" ref="G2665" xml:space="preserve"> FindCountryName(F2665)</f>
        <v>None</v>
      </c>
      <c r="H2665" s="1">
        <v>45266.149606481478</v>
      </c>
      <c r="I2665" s="1">
        <v>45266.149606481478</v>
      </c>
      <c r="J2665" s="1">
        <v>41057.266840277778</v>
      </c>
      <c r="K2665" cm="1">
        <f t="array" ref="K2665" xml:space="preserve"> sentimentCalc(C2665)</f>
        <v>0</v>
      </c>
      <c r="L2665" t="str" cm="1">
        <f t="array" ref="L2665" xml:space="preserve"> sentimentCategory(K2665)</f>
        <v>Neutral</v>
      </c>
    </row>
    <row r="2666" spans="1:12">
      <c r="A2666" t="s">
        <v>1365</v>
      </c>
      <c r="B2666" t="s">
        <v>1364</v>
      </c>
      <c r="C2666" t="str" cm="1">
        <f t="array" ref="C2666" xml:space="preserve"> CleanText(B2666)</f>
        <v>there is no war in ba sing se</v>
      </c>
      <c r="D2666">
        <v>0</v>
      </c>
      <c r="E2666">
        <v>0</v>
      </c>
      <c r="F2666" t="s">
        <v>0</v>
      </c>
      <c r="G2666" t="str" cm="1">
        <f t="array" ref="G2666" xml:space="preserve"> FindCountryName(F2666)</f>
        <v>None</v>
      </c>
      <c r="H2666" s="1">
        <v>45266.115706018521</v>
      </c>
      <c r="I2666" s="1">
        <v>45266.115706018521</v>
      </c>
      <c r="J2666" s="1">
        <v>41176.008206018516</v>
      </c>
      <c r="K2666" cm="1">
        <f t="array" ref="K2666" xml:space="preserve"> sentimentCalc(C2666)</f>
        <v>-3</v>
      </c>
      <c r="L2666" t="str" cm="1">
        <f t="array" ref="L2666" xml:space="preserve"> sentimentCategory(K2666)</f>
        <v>Negative</v>
      </c>
    </row>
    <row r="2667" spans="1:12">
      <c r="A2667" t="s">
        <v>1000</v>
      </c>
      <c r="B2667" t="s">
        <v>1363</v>
      </c>
      <c r="C2667" t="str" cm="1">
        <f t="array" ref="C2667" xml:space="preserve"> CleanText(B2667)</f>
        <v>i am so exited even more after the fail of the movie it looks so good and momo is in it</v>
      </c>
      <c r="D2667">
        <v>0</v>
      </c>
      <c r="E2667">
        <v>0</v>
      </c>
      <c r="F2667" t="s">
        <v>0</v>
      </c>
      <c r="G2667" t="str" cm="1">
        <f t="array" ref="G2667" xml:space="preserve"> FindCountryName(F2667)</f>
        <v>None</v>
      </c>
      <c r="H2667" s="1">
        <v>45266.108611111114</v>
      </c>
      <c r="I2667" s="1">
        <v>45266.108611111114</v>
      </c>
      <c r="J2667" s="1">
        <v>44353.480706018519</v>
      </c>
      <c r="K2667" cm="1">
        <f t="array" ref="K2667" xml:space="preserve"> sentimentCalc(C2667)</f>
        <v>1</v>
      </c>
      <c r="L2667" t="str" cm="1">
        <f t="array" ref="L2667" xml:space="preserve"> sentimentCategory(K2667)</f>
        <v>Positive</v>
      </c>
    </row>
    <row r="2668" spans="1:12">
      <c r="A2668" t="s">
        <v>308</v>
      </c>
      <c r="B2668" t="s">
        <v>1362</v>
      </c>
      <c r="C2668" t="str" cm="1">
        <f t="array" ref="C2668" xml:space="preserve"> CleanText(B2668)</f>
        <v>ok netflix you winoh wait no piracy exists haha</v>
      </c>
      <c r="D2668">
        <v>0</v>
      </c>
      <c r="E2668">
        <v>0</v>
      </c>
      <c r="F2668" t="s">
        <v>0</v>
      </c>
      <c r="G2668" t="str" cm="1">
        <f t="array" ref="G2668" xml:space="preserve"> FindCountryName(F2668)</f>
        <v>None</v>
      </c>
      <c r="H2668" s="1">
        <v>45266.073703703703</v>
      </c>
      <c r="I2668" s="1">
        <v>45266.073703703703</v>
      </c>
      <c r="J2668" s="1">
        <v>43064.799166666664</v>
      </c>
      <c r="K2668" cm="1">
        <f t="array" ref="K2668" xml:space="preserve"> sentimentCalc(C2668)</f>
        <v>-1</v>
      </c>
      <c r="L2668" t="str" cm="1">
        <f t="array" ref="L2668" xml:space="preserve"> sentimentCategory(K2668)</f>
        <v>Negative</v>
      </c>
    </row>
    <row r="2669" spans="1:12">
      <c r="A2669" t="s">
        <v>1361</v>
      </c>
      <c r="B2669" t="s">
        <v>1360</v>
      </c>
      <c r="C2669" t="str" cm="1">
        <f t="array" ref="C2669" xml:space="preserve"> CleanText(B2669)</f>
        <v>the original soundtrack brought chills</v>
      </c>
      <c r="D2669">
        <v>1</v>
      </c>
      <c r="E2669">
        <v>0</v>
      </c>
      <c r="F2669" t="s">
        <v>0</v>
      </c>
      <c r="G2669" t="str" cm="1">
        <f t="array" ref="G2669" xml:space="preserve"> FindCountryName(F2669)</f>
        <v>None</v>
      </c>
      <c r="H2669" s="1">
        <v>45266.057511574072</v>
      </c>
      <c r="I2669" s="1">
        <v>45266.057511574072</v>
      </c>
      <c r="J2669" s="1">
        <v>39096.607199074075</v>
      </c>
      <c r="K2669" cm="1">
        <f t="array" ref="K2669" xml:space="preserve"> sentimentCalc(C2669)</f>
        <v>0</v>
      </c>
      <c r="L2669" t="str" cm="1">
        <f t="array" ref="L2669" xml:space="preserve"> sentimentCategory(K2669)</f>
        <v>Neutral</v>
      </c>
    </row>
    <row r="2670" spans="1:12">
      <c r="A2670" t="s">
        <v>76</v>
      </c>
      <c r="B2670" t="s">
        <v>1359</v>
      </c>
      <c r="C2670" t="str" cm="1">
        <f t="array" ref="C2670" xml:space="preserve"> CleanText(B2670)</f>
        <v>looks good hopes high</v>
      </c>
      <c r="D2670">
        <v>0</v>
      </c>
      <c r="E2670">
        <v>0</v>
      </c>
      <c r="F2670" t="s">
        <v>0</v>
      </c>
      <c r="G2670" t="str" cm="1">
        <f t="array" ref="G2670" xml:space="preserve"> FindCountryName(F2670)</f>
        <v>None</v>
      </c>
      <c r="H2670" s="1">
        <v>45266.055844907409</v>
      </c>
      <c r="I2670" s="1">
        <v>45266.055844907409</v>
      </c>
      <c r="J2670" s="1">
        <v>44344.506932870368</v>
      </c>
      <c r="K2670" cm="1">
        <f t="array" ref="K2670" xml:space="preserve"> sentimentCalc(C2670)</f>
        <v>5</v>
      </c>
      <c r="L2670" t="str" cm="1">
        <f t="array" ref="L2670" xml:space="preserve"> sentimentCategory(K2670)</f>
        <v>Positive</v>
      </c>
    </row>
    <row r="2671" spans="1:12">
      <c r="A2671" t="s">
        <v>1358</v>
      </c>
      <c r="B2671" t="s">
        <v>1357</v>
      </c>
      <c r="C2671" t="str" cm="1">
        <f t="array" ref="C2671" xml:space="preserve"> CleanText(B2671)</f>
        <v>holy shit i literally expected nothing form this but got goosebumps please dont be trash</v>
      </c>
      <c r="D2671">
        <v>0</v>
      </c>
      <c r="E2671">
        <v>0</v>
      </c>
      <c r="F2671" t="s">
        <v>0</v>
      </c>
      <c r="G2671" t="str" cm="1">
        <f t="array" ref="G2671" xml:space="preserve"> FindCountryName(F2671)</f>
        <v>None</v>
      </c>
      <c r="H2671" s="1">
        <v>45266.047962962963</v>
      </c>
      <c r="I2671" s="1">
        <v>45266.047962962963</v>
      </c>
      <c r="J2671" s="1">
        <v>40131.763958333337</v>
      </c>
      <c r="K2671" cm="1">
        <f t="array" ref="K2671" xml:space="preserve"> sentimentCalc(C2671)</f>
        <v>1</v>
      </c>
      <c r="L2671" t="str" cm="1">
        <f t="array" ref="L2671" xml:space="preserve"> sentimentCategory(K2671)</f>
        <v>Positive</v>
      </c>
    </row>
    <row r="2672" spans="1:12">
      <c r="A2672" t="s">
        <v>1356</v>
      </c>
      <c r="B2672" t="s">
        <v>1355</v>
      </c>
      <c r="C2672" t="str" cm="1">
        <f t="array" ref="C2672" xml:space="preserve"> CleanText(B2672)</f>
        <v>kereeeennnnnn parahhhhhhhh</v>
      </c>
      <c r="D2672">
        <v>0</v>
      </c>
      <c r="E2672">
        <v>0</v>
      </c>
      <c r="F2672" t="s">
        <v>0</v>
      </c>
      <c r="G2672" t="str" cm="1">
        <f t="array" ref="G2672" xml:space="preserve"> FindCountryName(F2672)</f>
        <v>None</v>
      </c>
      <c r="H2672" s="1">
        <v>45266.01730324074</v>
      </c>
      <c r="I2672" s="1">
        <v>45266.01730324074</v>
      </c>
      <c r="J2672" s="1">
        <v>43500.463402777779</v>
      </c>
      <c r="K2672" cm="1">
        <f t="array" ref="K2672" xml:space="preserve"> sentimentCalc(C2672)</f>
        <v>0</v>
      </c>
      <c r="L2672" t="str" cm="1">
        <f t="array" ref="L2672" xml:space="preserve"> sentimentCategory(K2672)</f>
        <v>Neutral</v>
      </c>
    </row>
    <row r="2673" spans="1:12">
      <c r="A2673" t="s">
        <v>1354</v>
      </c>
      <c r="B2673" t="s">
        <v>1353</v>
      </c>
      <c r="C2673" t="str" cm="1">
        <f t="array" ref="C2673" xml:space="preserve"> CleanText(B2673)</f>
        <v>wow</v>
      </c>
      <c r="D2673">
        <v>0</v>
      </c>
      <c r="E2673">
        <v>0</v>
      </c>
      <c r="F2673" t="s">
        <v>0</v>
      </c>
      <c r="G2673" t="str" cm="1">
        <f t="array" ref="G2673" xml:space="preserve"> FindCountryName(F2673)</f>
        <v>None</v>
      </c>
      <c r="H2673" s="1">
        <v>45265.975173611114</v>
      </c>
      <c r="I2673" s="1">
        <v>45265.975173611114</v>
      </c>
      <c r="J2673" s="1">
        <v>44415.411307870374</v>
      </c>
      <c r="K2673" cm="1">
        <f t="array" ref="K2673" xml:space="preserve"> sentimentCalc(C2673)</f>
        <v>4</v>
      </c>
      <c r="L2673" t="str" cm="1">
        <f t="array" ref="L2673" xml:space="preserve"> sentimentCategory(K2673)</f>
        <v>Positive</v>
      </c>
    </row>
    <row r="2674" spans="1:12">
      <c r="A2674" t="s">
        <v>153</v>
      </c>
      <c r="B2674" t="s">
        <v>1352</v>
      </c>
      <c r="C2674" t="str" cm="1">
        <f t="array" ref="C2674" xml:space="preserve"> CleanText(B2674)</f>
        <v>you can almots smell the money burning</v>
      </c>
      <c r="D2674">
        <v>0</v>
      </c>
      <c r="E2674">
        <v>0</v>
      </c>
      <c r="F2674" t="s">
        <v>0</v>
      </c>
      <c r="G2674" t="str" cm="1">
        <f t="array" ref="G2674" xml:space="preserve"> FindCountryName(F2674)</f>
        <v>None</v>
      </c>
      <c r="H2674" s="1">
        <v>45265.934270833335</v>
      </c>
      <c r="I2674" s="1">
        <v>45265.934270833335</v>
      </c>
      <c r="J2674" s="1">
        <v>41535.97515046296</v>
      </c>
      <c r="K2674" cm="1">
        <f t="array" ref="K2674" xml:space="preserve"> sentimentCalc(C2674)</f>
        <v>0</v>
      </c>
      <c r="L2674" t="str" cm="1">
        <f t="array" ref="L2674" xml:space="preserve"> sentimentCategory(K2674)</f>
        <v>Neutral</v>
      </c>
    </row>
    <row r="2675" spans="1:12">
      <c r="A2675" t="s">
        <v>909</v>
      </c>
      <c r="B2675" t="s">
        <v>1351</v>
      </c>
      <c r="C2675" t="str" cm="1">
        <f t="array" ref="C2675" xml:space="preserve"> CleanText(B2675)</f>
        <v>oh hell no</v>
      </c>
      <c r="D2675">
        <v>0</v>
      </c>
      <c r="E2675">
        <v>0</v>
      </c>
      <c r="F2675" t="s">
        <v>638</v>
      </c>
      <c r="G2675" t="str" cm="1">
        <f t="array" ref="G2675" xml:space="preserve"> FindCountryName(F2675)</f>
        <v>Germany</v>
      </c>
      <c r="H2675" s="1">
        <v>45265.922685185185</v>
      </c>
      <c r="I2675" s="1">
        <v>45265.922685185185</v>
      </c>
      <c r="J2675" s="1">
        <v>40532.365115740744</v>
      </c>
      <c r="K2675" cm="1">
        <f t="array" ref="K2675" xml:space="preserve"> sentimentCalc(C2675)</f>
        <v>-5</v>
      </c>
      <c r="L2675" t="str" cm="1">
        <f t="array" ref="L2675" xml:space="preserve"> sentimentCategory(K2675)</f>
        <v>Negative</v>
      </c>
    </row>
    <row r="2676" spans="1:12">
      <c r="A2676" t="s">
        <v>349</v>
      </c>
      <c r="B2676" t="s">
        <v>1350</v>
      </c>
      <c r="C2676" t="str" cm="1">
        <f t="array" ref="C2676" xml:space="preserve"> CleanText(B2676)</f>
        <v>zuko and sokka are bad casting choices imo</v>
      </c>
      <c r="D2676">
        <v>0</v>
      </c>
      <c r="E2676">
        <v>0</v>
      </c>
      <c r="F2676" t="s">
        <v>0</v>
      </c>
      <c r="G2676" t="str" cm="1">
        <f t="array" ref="G2676" xml:space="preserve"> FindCountryName(F2676)</f>
        <v>None</v>
      </c>
      <c r="H2676" s="1">
        <v>45265.920902777776</v>
      </c>
      <c r="I2676" s="1">
        <v>45265.920902777776</v>
      </c>
      <c r="J2676" s="1">
        <v>42646.519675925927</v>
      </c>
      <c r="K2676" cm="1">
        <f t="array" ref="K2676" xml:space="preserve"> sentimentCalc(C2676)</f>
        <v>-3</v>
      </c>
      <c r="L2676" t="str" cm="1">
        <f t="array" ref="L2676" xml:space="preserve"> sentimentCategory(K2676)</f>
        <v>Negative</v>
      </c>
    </row>
    <row r="2677" spans="1:12">
      <c r="A2677" t="s">
        <v>1349</v>
      </c>
      <c r="B2677" t="s">
        <v>1348</v>
      </c>
      <c r="C2677" t="str" cm="1">
        <f t="array" ref="C2677" xml:space="preserve"> CleanText(B2677)</f>
        <v>this is gonna be sick</v>
      </c>
      <c r="D2677">
        <v>0</v>
      </c>
      <c r="E2677">
        <v>0</v>
      </c>
      <c r="F2677" t="s">
        <v>19</v>
      </c>
      <c r="G2677" t="str" cm="1">
        <f t="array" ref="G2677" xml:space="preserve"> FindCountryName(F2677)</f>
        <v>United States of America (the)</v>
      </c>
      <c r="H2677" s="1">
        <v>45265.91988425926</v>
      </c>
      <c r="I2677" s="1">
        <v>45265.91988425926</v>
      </c>
      <c r="J2677" s="1">
        <v>41843.141851851855</v>
      </c>
      <c r="K2677" cm="1">
        <f t="array" ref="K2677" xml:space="preserve"> sentimentCalc(C2677)</f>
        <v>-2</v>
      </c>
      <c r="L2677" t="str" cm="1">
        <f t="array" ref="L2677" xml:space="preserve"> sentimentCategory(K2677)</f>
        <v>Negative</v>
      </c>
    </row>
    <row r="2678" spans="1:12">
      <c r="A2678" t="s">
        <v>1347</v>
      </c>
      <c r="B2678" t="s">
        <v>1346</v>
      </c>
      <c r="C2678" t="str" cm="1">
        <f t="array" ref="C2678" xml:space="preserve"> CleanText(B2678)</f>
        <v>something tells me that this is going to be a lot worse than the last live action movie</v>
      </c>
      <c r="D2678">
        <v>0</v>
      </c>
      <c r="E2678">
        <v>1</v>
      </c>
      <c r="F2678" t="s">
        <v>0</v>
      </c>
      <c r="G2678" t="str" cm="1">
        <f t="array" ref="G2678" xml:space="preserve"> FindCountryName(F2678)</f>
        <v>None</v>
      </c>
      <c r="H2678" s="1">
        <v>45265.918692129628</v>
      </c>
      <c r="I2678" s="1">
        <v>45265.918692129628</v>
      </c>
      <c r="J2678" s="1">
        <v>41798.121736111112</v>
      </c>
      <c r="K2678" cm="1">
        <f t="array" ref="K2678" xml:space="preserve"> sentimentCalc(C2678)</f>
        <v>-3</v>
      </c>
      <c r="L2678" t="str" cm="1">
        <f t="array" ref="L2678" xml:space="preserve"> sentimentCategory(K2678)</f>
        <v>Negative</v>
      </c>
    </row>
    <row r="2679" spans="1:12">
      <c r="A2679" t="s">
        <v>1345</v>
      </c>
      <c r="B2679" t="s">
        <v>1344</v>
      </c>
      <c r="C2679" t="str" cm="1">
        <f t="array" ref="C2679" xml:space="preserve"> CleanText(B2679)</f>
        <v>i hope they dont do a baitandswitch otherwise this looks good</v>
      </c>
      <c r="D2679">
        <v>0</v>
      </c>
      <c r="E2679">
        <v>0</v>
      </c>
      <c r="F2679" t="s">
        <v>0</v>
      </c>
      <c r="G2679" t="str" cm="1">
        <f t="array" ref="G2679" xml:space="preserve"> FindCountryName(F2679)</f>
        <v>None</v>
      </c>
      <c r="H2679" s="1">
        <v>45265.899606481478</v>
      </c>
      <c r="I2679" s="1">
        <v>45265.899606481478</v>
      </c>
      <c r="J2679" s="1">
        <v>40821.976736111108</v>
      </c>
      <c r="K2679" cm="1">
        <f t="array" ref="K2679" xml:space="preserve"> sentimentCalc(C2679)</f>
        <v>5</v>
      </c>
      <c r="L2679" t="str" cm="1">
        <f t="array" ref="L2679" xml:space="preserve"> sentimentCategory(K2679)</f>
        <v>Positive</v>
      </c>
    </row>
    <row r="2680" spans="1:12">
      <c r="A2680" t="s">
        <v>1343</v>
      </c>
      <c r="B2680" t="s">
        <v>1342</v>
      </c>
      <c r="C2680" t="str" cm="1">
        <f t="array" ref="C2680" xml:space="preserve"> CleanText(B2680)</f>
        <v>i remember the original live action this bought to be v</v>
      </c>
      <c r="D2680">
        <v>0</v>
      </c>
      <c r="E2680">
        <v>0</v>
      </c>
      <c r="F2680" t="s">
        <v>19</v>
      </c>
      <c r="G2680" t="str" cm="1">
        <f t="array" ref="G2680" xml:space="preserve"> FindCountryName(F2680)</f>
        <v>United States of America (the)</v>
      </c>
      <c r="H2680" s="1">
        <v>45265.886122685188</v>
      </c>
      <c r="I2680" s="1">
        <v>45265.886122685188</v>
      </c>
      <c r="J2680" s="1">
        <v>42588.88554398148</v>
      </c>
      <c r="K2680" cm="1">
        <f t="array" ref="K2680" xml:space="preserve"> sentimentCalc(C2680)</f>
        <v>0</v>
      </c>
      <c r="L2680" t="str" cm="1">
        <f t="array" ref="L2680" xml:space="preserve"> sentimentCategory(K2680)</f>
        <v>Neutral</v>
      </c>
    </row>
    <row r="2681" spans="1:12">
      <c r="A2681" t="s">
        <v>365</v>
      </c>
      <c r="B2681" t="s">
        <v>1341</v>
      </c>
      <c r="C2681" t="str" cm="1">
        <f t="array" ref="C2681" xml:space="preserve"> CleanText(B2681)</f>
        <v>god this looks so stupid what is this obsession with turning this series into a weird mix of horrible cgi and live action the anime was just fine that was all we needed stop ruining it thanks bye</v>
      </c>
      <c r="D2681">
        <v>0</v>
      </c>
      <c r="E2681">
        <v>1</v>
      </c>
      <c r="F2681" t="s">
        <v>0</v>
      </c>
      <c r="G2681" t="str" cm="1">
        <f t="array" ref="G2681" xml:space="preserve"> FindCountryName(F2681)</f>
        <v>None</v>
      </c>
      <c r="H2681" s="1">
        <v>45265.833275462966</v>
      </c>
      <c r="I2681" s="1">
        <v>45265.833275462966</v>
      </c>
      <c r="J2681" s="1">
        <v>43737.837500000001</v>
      </c>
      <c r="K2681" cm="1">
        <f t="array" ref="K2681" xml:space="preserve"> sentimentCalc(C2681)</f>
        <v>-5</v>
      </c>
      <c r="L2681" t="str" cm="1">
        <f t="array" ref="L2681" xml:space="preserve"> sentimentCategory(K2681)</f>
        <v>Negative</v>
      </c>
    </row>
    <row r="2682" spans="1:12">
      <c r="A2682" t="s">
        <v>1340</v>
      </c>
      <c r="B2682" t="s">
        <v>1339</v>
      </c>
      <c r="C2682" t="str" cm="1">
        <f t="array" ref="C2682" xml:space="preserve"> CleanText(B2682)</f>
        <v>this epic music made me want to rewatch the whole original series haha  also very important is that feeling that feeling the original series gave to us  they cant replicate it  they can honour the original story with a live action but if they want to replicate that feeling  thats where they will lose also if they try to tell it differently for movies enjoyers or something like that</v>
      </c>
      <c r="D2682">
        <v>0</v>
      </c>
      <c r="E2682">
        <v>0</v>
      </c>
      <c r="F2682" t="s">
        <v>0</v>
      </c>
      <c r="G2682" t="str" cm="1">
        <f t="array" ref="G2682" xml:space="preserve"> FindCountryName(F2682)</f>
        <v>None</v>
      </c>
      <c r="H2682" s="1">
        <v>45265.827800925923</v>
      </c>
      <c r="I2682" s="1">
        <v>45265.827800925923</v>
      </c>
      <c r="J2682" s="1">
        <v>40907.464131944442</v>
      </c>
      <c r="K2682" cm="1">
        <f t="array" ref="K2682" xml:space="preserve"> sentimentCalc(C2682)</f>
        <v>11</v>
      </c>
      <c r="L2682" t="str" cm="1">
        <f t="array" ref="L2682" xml:space="preserve"> sentimentCategory(K2682)</f>
        <v>Positive</v>
      </c>
    </row>
    <row r="2683" spans="1:12">
      <c r="A2683" t="s">
        <v>1338</v>
      </c>
      <c r="B2683" t="s">
        <v>394</v>
      </c>
      <c r="C2683" t="str" cm="1">
        <f t="array" ref="C2683" xml:space="preserve"> CleanText(B2683)</f>
        <v>i have high hopes from this series and believe that it will be market breaking seriesalso the vfx in series look amazing the way the showed a glimpse of fire bending is amazing it feels that they have tried to keep the style of bending samealso it will be amazing to see if that have taken references from the real marshal arts from which the bending styles were referenced also i love the way you showed earth kingdom northern invasion and fire nationit feels that it is ton of better than the last airbender moviewill love to watch it and to support its creators</v>
      </c>
      <c r="D2683">
        <v>5</v>
      </c>
      <c r="E2683">
        <v>1</v>
      </c>
      <c r="F2683" t="s">
        <v>0</v>
      </c>
      <c r="G2683" t="str" cm="1">
        <f t="array" ref="G2683" xml:space="preserve"> FindCountryName(F2683)</f>
        <v>None</v>
      </c>
      <c r="H2683" s="1">
        <v>45265.82440972222</v>
      </c>
      <c r="I2683" s="1">
        <v>45265.82440972222</v>
      </c>
      <c r="J2683" s="1">
        <v>45264.818136574075</v>
      </c>
      <c r="K2683" cm="1">
        <f t="array" ref="K2683" xml:space="preserve"> sentimentCalc(C2683)</f>
        <v>20</v>
      </c>
      <c r="L2683" t="str" cm="1">
        <f t="array" ref="L2683" xml:space="preserve"> sentimentCategory(K2683)</f>
        <v>Positive</v>
      </c>
    </row>
    <row r="2684" spans="1:12">
      <c r="A2684" t="s">
        <v>1337</v>
      </c>
      <c r="B2684" t="s">
        <v>1336</v>
      </c>
      <c r="C2684" t="str" cm="1">
        <f t="array" ref="C2684" xml:space="preserve"> CleanText(B2684)</f>
        <v>glad this is coming up so i can erase the blue people from my mind</v>
      </c>
      <c r="D2684">
        <v>0</v>
      </c>
      <c r="E2684">
        <v>1</v>
      </c>
      <c r="F2684" t="s">
        <v>0</v>
      </c>
      <c r="G2684" t="str" cm="1">
        <f t="array" ref="G2684" xml:space="preserve"> FindCountryName(F2684)</f>
        <v>None</v>
      </c>
      <c r="H2684" s="1">
        <v>45265.806909722225</v>
      </c>
      <c r="I2684" s="1">
        <v>45265.806909722225</v>
      </c>
      <c r="J2684" s="1">
        <v>39314.043414351851</v>
      </c>
      <c r="K2684" cm="1">
        <f t="array" ref="K2684" xml:space="preserve"> sentimentCalc(C2684)</f>
        <v>3</v>
      </c>
      <c r="L2684" t="str" cm="1">
        <f t="array" ref="L2684" xml:space="preserve"> sentimentCategory(K2684)</f>
        <v>Positive</v>
      </c>
    </row>
    <row r="2685" spans="1:12">
      <c r="A2685" t="s">
        <v>1224</v>
      </c>
      <c r="B2685" t="s">
        <v>1335</v>
      </c>
      <c r="C2685" t="str" cm="1">
        <f t="array" ref="C2685" xml:space="preserve"> CleanText(B2685)</f>
        <v>idk wheres the humor guys looks very solemn and serious like the movie</v>
      </c>
      <c r="D2685">
        <v>0</v>
      </c>
      <c r="E2685">
        <v>0</v>
      </c>
      <c r="F2685" t="s">
        <v>0</v>
      </c>
      <c r="G2685" t="str" cm="1">
        <f t="array" ref="G2685" xml:space="preserve"> FindCountryName(F2685)</f>
        <v>None</v>
      </c>
      <c r="H2685" s="1">
        <v>45265.800787037035</v>
      </c>
      <c r="I2685" s="1">
        <v>45265.800787037035</v>
      </c>
      <c r="J2685" s="1">
        <v>40400.009976851848</v>
      </c>
      <c r="K2685" cm="1">
        <f t="array" ref="K2685" xml:space="preserve"> sentimentCalc(C2685)</f>
        <v>3</v>
      </c>
      <c r="L2685" t="str" cm="1">
        <f t="array" ref="L2685" xml:space="preserve"> sentimentCategory(K2685)</f>
        <v>Positive</v>
      </c>
    </row>
    <row r="2686" spans="1:12">
      <c r="A2686" t="s">
        <v>774</v>
      </c>
      <c r="B2686" t="s">
        <v>1334</v>
      </c>
      <c r="C2686" t="str" cm="1">
        <f t="array" ref="C2686" xml:space="preserve"> CleanText(B2686)</f>
        <v>hope they do it justice this time around</v>
      </c>
      <c r="D2686">
        <v>0</v>
      </c>
      <c r="E2686">
        <v>0</v>
      </c>
      <c r="F2686" t="s">
        <v>0</v>
      </c>
      <c r="G2686" t="str" cm="1">
        <f t="array" ref="G2686" xml:space="preserve"> FindCountryName(F2686)</f>
        <v>None</v>
      </c>
      <c r="H2686" s="1">
        <v>45265.795057870368</v>
      </c>
      <c r="I2686" s="1">
        <v>45265.795057870368</v>
      </c>
      <c r="J2686" s="1">
        <v>44859.472777777781</v>
      </c>
      <c r="K2686" cm="1">
        <f t="array" ref="K2686" xml:space="preserve"> sentimentCalc(C2686)</f>
        <v>4</v>
      </c>
      <c r="L2686" t="str" cm="1">
        <f t="array" ref="L2686" xml:space="preserve"> sentimentCategory(K2686)</f>
        <v>Positive</v>
      </c>
    </row>
    <row r="2687" spans="1:12">
      <c r="A2687" t="s">
        <v>1333</v>
      </c>
      <c r="B2687" t="s">
        <v>1332</v>
      </c>
      <c r="C2687" t="str" cm="1">
        <f t="array" ref="C2687" xml:space="preserve"> CleanText(B2687)</f>
        <v>casting is off as expected  my hype is doa</v>
      </c>
      <c r="D2687">
        <v>0</v>
      </c>
      <c r="E2687">
        <v>1</v>
      </c>
      <c r="F2687" t="s">
        <v>0</v>
      </c>
      <c r="G2687" t="str" cm="1">
        <f t="array" ref="G2687" xml:space="preserve"> FindCountryName(F2687)</f>
        <v>None</v>
      </c>
      <c r="H2687" s="1">
        <v>45265.78665509259</v>
      </c>
      <c r="I2687" s="1">
        <v>45265.787453703706</v>
      </c>
      <c r="J2687" s="1">
        <v>41068.91883101852</v>
      </c>
      <c r="K2687" cm="1">
        <f t="array" ref="K2687" xml:space="preserve"> sentimentCalc(C2687)</f>
        <v>0</v>
      </c>
      <c r="L2687" t="str" cm="1">
        <f t="array" ref="L2687" xml:space="preserve"> sentimentCategory(K2687)</f>
        <v>Neutral</v>
      </c>
    </row>
    <row r="2688" spans="1:12">
      <c r="A2688" t="s">
        <v>1331</v>
      </c>
      <c r="B2688" t="s">
        <v>1330</v>
      </c>
      <c r="C2688" t="str" cm="1">
        <f t="array" ref="C2688" xml:space="preserve"> CleanText(B2688)</f>
        <v>is it not obvious he has a bald cap on</v>
      </c>
      <c r="D2688">
        <v>0</v>
      </c>
      <c r="E2688">
        <v>0</v>
      </c>
      <c r="F2688" t="s">
        <v>0</v>
      </c>
      <c r="G2688" t="str" cm="1">
        <f t="array" ref="G2688" xml:space="preserve"> FindCountryName(F2688)</f>
        <v>None</v>
      </c>
      <c r="H2688" s="1">
        <v>45265.77820601852</v>
      </c>
      <c r="I2688" s="1">
        <v>45265.77820601852</v>
      </c>
      <c r="J2688" s="1">
        <v>41204.597777777781</v>
      </c>
      <c r="K2688" cm="1">
        <f t="array" ref="K2688" xml:space="preserve"> sentimentCalc(C2688)</f>
        <v>0</v>
      </c>
      <c r="L2688" t="str" cm="1">
        <f t="array" ref="L2688" xml:space="preserve"> sentimentCategory(K2688)</f>
        <v>Neutral</v>
      </c>
    </row>
    <row r="2689" spans="1:12">
      <c r="A2689" t="s">
        <v>367</v>
      </c>
      <c r="B2689" t="s">
        <v>1329</v>
      </c>
      <c r="C2689" t="str" cm="1">
        <f t="array" ref="C2689" xml:space="preserve"> CleanText(B2689)</f>
        <v>disney who netflix hit a home run with live one piece keep it to the lore and respect the characters and you will always have hit</v>
      </c>
      <c r="D2689">
        <v>0</v>
      </c>
      <c r="E2689">
        <v>0</v>
      </c>
      <c r="F2689" t="s">
        <v>0</v>
      </c>
      <c r="G2689" t="str" cm="1">
        <f t="array" ref="G2689" xml:space="preserve"> FindCountryName(F2689)</f>
        <v>None</v>
      </c>
      <c r="H2689" s="1">
        <v>45265.773495370369</v>
      </c>
      <c r="I2689" s="1">
        <v>45265.773495370369</v>
      </c>
      <c r="J2689" s="1">
        <v>41314.867638888885</v>
      </c>
      <c r="K2689" cm="1">
        <f t="array" ref="K2689" xml:space="preserve"> sentimentCalc(C2689)</f>
        <v>0</v>
      </c>
      <c r="L2689" t="str" cm="1">
        <f t="array" ref="L2689" xml:space="preserve"> sentimentCategory(K2689)</f>
        <v>Neutral</v>
      </c>
    </row>
    <row r="2690" spans="1:12">
      <c r="A2690" t="s">
        <v>640</v>
      </c>
      <c r="B2690" t="s">
        <v>1328</v>
      </c>
      <c r="C2690" t="str" cm="1">
        <f t="array" ref="C2690" xml:space="preserve"> CleanText(B2690)</f>
        <v>please dont let it be another m night shyamalan movie _xDE02__xDD26_♂</v>
      </c>
      <c r="D2690">
        <v>1</v>
      </c>
      <c r="E2690">
        <v>0</v>
      </c>
      <c r="F2690" t="s">
        <v>0</v>
      </c>
      <c r="G2690" t="str" cm="1">
        <f t="array" ref="G2690" xml:space="preserve"> FindCountryName(F2690)</f>
        <v>None</v>
      </c>
      <c r="H2690" s="1">
        <v>45265.765752314815</v>
      </c>
      <c r="I2690" s="1">
        <v>45265.765752314815</v>
      </c>
      <c r="J2690" s="1">
        <v>44197.131990740738</v>
      </c>
      <c r="K2690" cm="1">
        <f t="array" ref="K2690" xml:space="preserve"> sentimentCalc(C2690)</f>
        <v>1</v>
      </c>
      <c r="L2690" t="str" cm="1">
        <f t="array" ref="L2690" xml:space="preserve"> sentimentCategory(K2690)</f>
        <v>Positive</v>
      </c>
    </row>
    <row r="2691" spans="1:12">
      <c r="A2691" t="s">
        <v>1327</v>
      </c>
      <c r="B2691" t="s">
        <v>1326</v>
      </c>
      <c r="C2691" t="str" cm="1">
        <f t="array" ref="C2691" xml:space="preserve"> CleanText(B2691)</f>
        <v>so many years waited dont mess this up netflix</v>
      </c>
      <c r="D2691">
        <v>0</v>
      </c>
      <c r="E2691">
        <v>0</v>
      </c>
      <c r="F2691" t="s">
        <v>0</v>
      </c>
      <c r="G2691" t="str" cm="1">
        <f t="array" ref="G2691" xml:space="preserve"> FindCountryName(F2691)</f>
        <v>None</v>
      </c>
      <c r="H2691" s="1">
        <v>45265.750486111108</v>
      </c>
      <c r="I2691" s="1">
        <v>45265.750486111108</v>
      </c>
      <c r="J2691" s="1">
        <v>41906.686331018522</v>
      </c>
      <c r="K2691" cm="1">
        <f t="array" ref="K2691" xml:space="preserve"> sentimentCalc(C2691)</f>
        <v>-2</v>
      </c>
      <c r="L2691" t="str" cm="1">
        <f t="array" ref="L2691" xml:space="preserve"> sentimentCategory(K2691)</f>
        <v>Negative</v>
      </c>
    </row>
    <row r="2692" spans="1:12">
      <c r="A2692" t="s">
        <v>1325</v>
      </c>
      <c r="B2692" t="s">
        <v>1324</v>
      </c>
      <c r="C2692" t="str" cm="1">
        <f t="array" ref="C2692" xml:space="preserve"> CleanText(B2692)</f>
        <v>better visual efx than the one done a few years ago</v>
      </c>
      <c r="D2692">
        <v>0</v>
      </c>
      <c r="E2692">
        <v>1</v>
      </c>
      <c r="F2692" t="s">
        <v>715</v>
      </c>
      <c r="G2692" t="str" cm="1">
        <f t="array" ref="G2692" xml:space="preserve"> FindCountryName(F2692)</f>
        <v>Nigeria</v>
      </c>
      <c r="H2692" s="1">
        <v>45265.748263888891</v>
      </c>
      <c r="I2692" s="1">
        <v>45265.748263888891</v>
      </c>
      <c r="J2692" s="1">
        <v>39525.909456018519</v>
      </c>
      <c r="K2692" cm="1">
        <f t="array" ref="K2692" xml:space="preserve"> sentimentCalc(C2692)</f>
        <v>2</v>
      </c>
      <c r="L2692" t="str" cm="1">
        <f t="array" ref="L2692" xml:space="preserve"> sentimentCategory(K2692)</f>
        <v>Positive</v>
      </c>
    </row>
    <row r="2693" spans="1:12">
      <c r="A2693" t="s">
        <v>906</v>
      </c>
      <c r="B2693" t="s">
        <v>1323</v>
      </c>
      <c r="C2693" t="str" cm="1">
        <f t="array" ref="C2693" xml:space="preserve"> CleanText(B2693)</f>
        <v>the clicking sound at 1 sounds very very similar to the sound effect that happy wheels uses as one of their limb rip sound effectsdont ask me how i know this do your research and look up the sound effects</v>
      </c>
      <c r="D2693">
        <v>2</v>
      </c>
      <c r="E2693">
        <v>1</v>
      </c>
      <c r="F2693" t="s">
        <v>0</v>
      </c>
      <c r="G2693" t="str" cm="1">
        <f t="array" ref="G2693" xml:space="preserve"> FindCountryName(F2693)</f>
        <v>None</v>
      </c>
      <c r="H2693" s="1">
        <v>45265.739201388889</v>
      </c>
      <c r="I2693" s="1">
        <v>45265.739571759259</v>
      </c>
      <c r="J2693" s="1">
        <v>43401.478229166663</v>
      </c>
      <c r="K2693" cm="1">
        <f t="array" ref="K2693" xml:space="preserve"> sentimentCalc(C2693)</f>
        <v>3</v>
      </c>
      <c r="L2693" t="str" cm="1">
        <f t="array" ref="L2693" xml:space="preserve"> sentimentCategory(K2693)</f>
        <v>Positive</v>
      </c>
    </row>
    <row r="2694" spans="1:12">
      <c r="A2694" t="s">
        <v>1322</v>
      </c>
      <c r="B2694" t="s">
        <v>1321</v>
      </c>
      <c r="C2694" t="str" cm="1">
        <f t="array" ref="C2694" xml:space="preserve"> CleanText(B2694)</f>
        <v>theyll cancel it after the first season sigh</v>
      </c>
      <c r="D2694">
        <v>0</v>
      </c>
      <c r="E2694">
        <v>0</v>
      </c>
      <c r="F2694" t="s">
        <v>0</v>
      </c>
      <c r="G2694" t="str" cm="1">
        <f t="array" ref="G2694" xml:space="preserve"> FindCountryName(F2694)</f>
        <v>None</v>
      </c>
      <c r="H2694" s="1">
        <v>45265.728263888886</v>
      </c>
      <c r="I2694" s="1">
        <v>45265.728263888886</v>
      </c>
      <c r="J2694" s="1">
        <v>39720.754432870373</v>
      </c>
      <c r="K2694" cm="1">
        <f t="array" ref="K2694" xml:space="preserve"> sentimentCalc(C2694)</f>
        <v>-3</v>
      </c>
      <c r="L2694" t="str" cm="1">
        <f t="array" ref="L2694" xml:space="preserve"> sentimentCategory(K2694)</f>
        <v>Negative</v>
      </c>
    </row>
    <row r="2695" spans="1:12">
      <c r="A2695" t="s">
        <v>290</v>
      </c>
      <c r="B2695" t="s">
        <v>1320</v>
      </c>
      <c r="C2695" t="str" cm="1">
        <f t="array" ref="C2695" xml:space="preserve"> CleanText(B2695)</f>
        <v>cgi and cinematics look great characters     idk look better then last time but still doesnt fully give credits to the original cartoon series and books to my personal opinion</v>
      </c>
      <c r="D2695">
        <v>0</v>
      </c>
      <c r="E2695">
        <v>0</v>
      </c>
      <c r="F2695" t="s">
        <v>0</v>
      </c>
      <c r="G2695" t="str" cm="1">
        <f t="array" ref="G2695" xml:space="preserve"> FindCountryName(F2695)</f>
        <v>None</v>
      </c>
      <c r="H2695" s="1">
        <v>45265.725289351853</v>
      </c>
      <c r="I2695" s="1">
        <v>45265.725289351853</v>
      </c>
      <c r="J2695" s="1">
        <v>42609.451805555553</v>
      </c>
      <c r="K2695" cm="1">
        <f t="array" ref="K2695" xml:space="preserve"> sentimentCalc(C2695)</f>
        <v>5</v>
      </c>
      <c r="L2695" t="str" cm="1">
        <f t="array" ref="L2695" xml:space="preserve"> sentimentCategory(K2695)</f>
        <v>Positive</v>
      </c>
    </row>
    <row r="2696" spans="1:12">
      <c r="A2696" t="s">
        <v>1319</v>
      </c>
      <c r="B2696" t="s">
        <v>1318</v>
      </c>
      <c r="C2696" t="str" cm="1">
        <f t="array" ref="C2696" xml:space="preserve"> CleanText(B2696)</f>
        <v>niceeee</v>
      </c>
      <c r="D2696">
        <v>0</v>
      </c>
      <c r="E2696">
        <v>0</v>
      </c>
      <c r="F2696" t="s">
        <v>633</v>
      </c>
      <c r="G2696" t="str" cm="1">
        <f t="array" ref="G2696" xml:space="preserve"> FindCountryName(F2696)</f>
        <v>Indonesia</v>
      </c>
      <c r="H2696" s="1">
        <v>45265.718425925923</v>
      </c>
      <c r="I2696" s="1">
        <v>45265.718425925923</v>
      </c>
      <c r="J2696" s="1">
        <v>42659.291226851848</v>
      </c>
      <c r="K2696" cm="1">
        <f t="array" ref="K2696" xml:space="preserve"> sentimentCalc(C2696)</f>
        <v>0</v>
      </c>
      <c r="L2696" t="str" cm="1">
        <f t="array" ref="L2696" xml:space="preserve"> sentimentCategory(K2696)</f>
        <v>Neutral</v>
      </c>
    </row>
    <row r="2697" spans="1:12">
      <c r="A2697" t="s">
        <v>966</v>
      </c>
      <c r="B2697" t="s">
        <v>1317</v>
      </c>
      <c r="C2697" t="str" cm="1">
        <f t="array" ref="C2697" xml:space="preserve"> CleanText(B2697)</f>
        <v>huh!</v>
      </c>
      <c r="D2697">
        <v>2</v>
      </c>
      <c r="E2697">
        <v>0</v>
      </c>
      <c r="F2697" t="s">
        <v>0</v>
      </c>
      <c r="G2697" t="str" cm="1">
        <f t="array" ref="G2697" xml:space="preserve"> FindCountryName(F2697)</f>
        <v>None</v>
      </c>
      <c r="H2697" s="1">
        <v>45265.712476851855</v>
      </c>
      <c r="I2697" s="1">
        <v>45265.712476851855</v>
      </c>
      <c r="J2697" s="1">
        <v>41735.372893518521</v>
      </c>
      <c r="K2697" cm="1">
        <f t="array" ref="K2697" xml:space="preserve"> sentimentCalc(C2697)</f>
        <v>0</v>
      </c>
      <c r="L2697" t="str" cm="1">
        <f t="array" ref="L2697" xml:space="preserve"> sentimentCategory(K2697)</f>
        <v>Neutral</v>
      </c>
    </row>
    <row r="2698" spans="1:12">
      <c r="A2698" t="s">
        <v>1316</v>
      </c>
      <c r="B2698" t="s">
        <v>1315</v>
      </c>
      <c r="C2698" t="str" cm="1">
        <f t="array" ref="C2698" xml:space="preserve"> CleanText(B2698)</f>
        <v>truly hope they did a better job this time _xDE4F_</v>
      </c>
      <c r="D2698">
        <v>0</v>
      </c>
      <c r="E2698">
        <v>0</v>
      </c>
      <c r="F2698" t="s">
        <v>0</v>
      </c>
      <c r="G2698" t="str" cm="1">
        <f t="array" ref="G2698" xml:space="preserve"> FindCountryName(F2698)</f>
        <v>None</v>
      </c>
      <c r="H2698" s="1">
        <v>45265.695902777778</v>
      </c>
      <c r="I2698" s="1">
        <v>45265.695902777778</v>
      </c>
      <c r="J2698" s="1">
        <v>40842.598229166666</v>
      </c>
      <c r="K2698" cm="1">
        <f t="array" ref="K2698" xml:space="preserve"> sentimentCalc(C2698)</f>
        <v>4</v>
      </c>
      <c r="L2698" t="str" cm="1">
        <f t="array" ref="L2698" xml:space="preserve"> sentimentCategory(K2698)</f>
        <v>Positive</v>
      </c>
    </row>
    <row r="2699" spans="1:12">
      <c r="A2699" t="s">
        <v>1314</v>
      </c>
      <c r="B2699" t="s">
        <v>1313</v>
      </c>
      <c r="C2699" t="str" cm="1">
        <f t="array" ref="C2699" xml:space="preserve"> CleanText(B2699)</f>
        <v>i think this will be better than the st avatar movie</v>
      </c>
      <c r="D2699">
        <v>0</v>
      </c>
      <c r="E2699">
        <v>0</v>
      </c>
      <c r="F2699" t="s">
        <v>0</v>
      </c>
      <c r="G2699" t="str" cm="1">
        <f t="array" ref="G2699" xml:space="preserve"> FindCountryName(F2699)</f>
        <v>None</v>
      </c>
      <c r="H2699" s="1">
        <v>45265.686562499999</v>
      </c>
      <c r="I2699" s="1">
        <v>45265.686562499999</v>
      </c>
      <c r="J2699" s="1">
        <v>44899.668634259258</v>
      </c>
      <c r="K2699" cm="1">
        <f t="array" ref="K2699" xml:space="preserve"> sentimentCalc(C2699)</f>
        <v>2</v>
      </c>
      <c r="L2699" t="str" cm="1">
        <f t="array" ref="L2699" xml:space="preserve"> sentimentCategory(K2699)</f>
        <v>Positive</v>
      </c>
    </row>
    <row r="2700" spans="1:12">
      <c r="A2700" t="s">
        <v>227</v>
      </c>
      <c r="B2700" t="s">
        <v>1312</v>
      </c>
      <c r="C2700" t="str" cm="1">
        <f t="array" ref="C2700" xml:space="preserve"> CleanText(B2700)</f>
        <v>ozai face is not known until season  only his silhouette is shown netflix just break my heart once again</v>
      </c>
      <c r="D2700">
        <v>0</v>
      </c>
      <c r="E2700">
        <v>1</v>
      </c>
      <c r="F2700" t="s">
        <v>0</v>
      </c>
      <c r="G2700" t="str" cm="1">
        <f t="array" ref="G2700" xml:space="preserve"> FindCountryName(F2700)</f>
        <v>None</v>
      </c>
      <c r="H2700" s="1">
        <v>45265.641423611109</v>
      </c>
      <c r="I2700" s="1">
        <v>45265.641423611109</v>
      </c>
      <c r="J2700" s="1">
        <v>44029.555196759262</v>
      </c>
      <c r="K2700" cm="1">
        <f t="array" ref="K2700" xml:space="preserve"> sentimentCalc(C2700)</f>
        <v>0</v>
      </c>
      <c r="L2700" t="str" cm="1">
        <f t="array" ref="L2700" xml:space="preserve"> sentimentCategory(K2700)</f>
        <v>Neutral</v>
      </c>
    </row>
    <row r="2701" spans="1:12">
      <c r="A2701" t="s">
        <v>763</v>
      </c>
      <c r="B2701" t="s">
        <v>1311</v>
      </c>
      <c r="C2701" t="str" cm="1">
        <f t="array" ref="C2701" xml:space="preserve"> CleanText(B2701)</f>
        <v>no matter what it cant be worse m night shamalan</v>
      </c>
      <c r="D2701">
        <v>0</v>
      </c>
      <c r="E2701">
        <v>0</v>
      </c>
      <c r="F2701" t="s">
        <v>0</v>
      </c>
      <c r="G2701" t="str" cm="1">
        <f t="array" ref="G2701" xml:space="preserve"> FindCountryName(F2701)</f>
        <v>None</v>
      </c>
      <c r="H2701" s="1">
        <v>45265.635925925926</v>
      </c>
      <c r="I2701" s="1">
        <v>45265.635925925926</v>
      </c>
      <c r="J2701" s="1">
        <v>45265.363495370373</v>
      </c>
      <c r="K2701" cm="1">
        <f t="array" ref="K2701" xml:space="preserve"> sentimentCalc(C2701)</f>
        <v>-3</v>
      </c>
      <c r="L2701" t="str" cm="1">
        <f t="array" ref="L2701" xml:space="preserve"> sentimentCategory(K2701)</f>
        <v>Negative</v>
      </c>
    </row>
    <row r="2702" spans="1:12">
      <c r="A2702" t="s">
        <v>1310</v>
      </c>
      <c r="B2702" t="s">
        <v>1309</v>
      </c>
      <c r="C2702" t="str" cm="1">
        <f t="array" ref="C2702" xml:space="preserve"> CleanText(B2702)</f>
        <v>not again not again whats next a dragon ball evolution series</v>
      </c>
      <c r="D2702">
        <v>0</v>
      </c>
      <c r="E2702">
        <v>0</v>
      </c>
      <c r="F2702" t="s">
        <v>0</v>
      </c>
      <c r="G2702" t="str" cm="1">
        <f t="array" ref="G2702" xml:space="preserve"> FindCountryName(F2702)</f>
        <v>None</v>
      </c>
      <c r="H2702" s="1">
        <v>45265.58357638889</v>
      </c>
      <c r="I2702" s="1">
        <v>45265.58357638889</v>
      </c>
      <c r="J2702" s="1">
        <v>45226.214918981481</v>
      </c>
      <c r="K2702" cm="1">
        <f t="array" ref="K2702" xml:space="preserve"> sentimentCalc(C2702)</f>
        <v>0</v>
      </c>
      <c r="L2702" t="str" cm="1">
        <f t="array" ref="L2702" xml:space="preserve"> sentimentCategory(K2702)</f>
        <v>Neutral</v>
      </c>
    </row>
    <row r="2703" spans="1:12">
      <c r="A2703" t="s">
        <v>566</v>
      </c>
      <c r="B2703" t="s">
        <v>1308</v>
      </c>
      <c r="C2703" t="str" cm="1">
        <f t="array" ref="C2703" xml:space="preserve"> CleanText(B2703)</f>
        <v>amazing i wish this movie will justify the anime</v>
      </c>
      <c r="D2703">
        <v>0</v>
      </c>
      <c r="E2703">
        <v>0</v>
      </c>
      <c r="F2703" t="s">
        <v>0</v>
      </c>
      <c r="G2703" t="str" cm="1">
        <f t="array" ref="G2703" xml:space="preserve"> FindCountryName(F2703)</f>
        <v>None</v>
      </c>
      <c r="H2703" s="1">
        <v>45265.537962962961</v>
      </c>
      <c r="I2703" s="1">
        <v>45265.537962962961</v>
      </c>
      <c r="J2703" s="1">
        <v>41853.376574074071</v>
      </c>
      <c r="K2703" cm="1">
        <f t="array" ref="K2703" xml:space="preserve"> sentimentCalc(C2703)</f>
        <v>5</v>
      </c>
      <c r="L2703" t="str" cm="1">
        <f t="array" ref="L2703" xml:space="preserve"> sentimentCategory(K2703)</f>
        <v>Positive</v>
      </c>
    </row>
    <row r="2704" spans="1:12">
      <c r="A2704" t="s">
        <v>223</v>
      </c>
      <c r="B2704" t="s">
        <v>1307</v>
      </c>
      <c r="C2704" t="str" cm="1">
        <f t="array" ref="C2704" xml:space="preserve"> CleanText(B2704)</f>
        <v>katara was brown in the anime here she is white well played netflix_xDC4F_</v>
      </c>
      <c r="D2704">
        <v>0</v>
      </c>
      <c r="E2704">
        <v>1</v>
      </c>
      <c r="F2704" t="s">
        <v>0</v>
      </c>
      <c r="G2704" t="str" cm="1">
        <f t="array" ref="G2704" xml:space="preserve"> FindCountryName(F2704)</f>
        <v>None</v>
      </c>
      <c r="H2704" s="1">
        <v>45265.534502314818</v>
      </c>
      <c r="I2704" s="1">
        <v>45265.534502314818</v>
      </c>
      <c r="J2704" s="1">
        <v>42865.16642361111</v>
      </c>
      <c r="K2704" cm="1">
        <f t="array" ref="K2704" xml:space="preserve"> sentimentCalc(C2704)</f>
        <v>0</v>
      </c>
      <c r="L2704" t="str" cm="1">
        <f t="array" ref="L2704" xml:space="preserve"> sentimentCategory(K2704)</f>
        <v>Neutral</v>
      </c>
    </row>
    <row r="2705" spans="1:12">
      <c r="A2705" t="s">
        <v>1306</v>
      </c>
      <c r="B2705" t="s">
        <v>1305</v>
      </c>
      <c r="C2705" t="str" cm="1">
        <f t="array" ref="C2705" xml:space="preserve"> CleanText(B2705)</f>
        <v>dont ruin this netflix</v>
      </c>
      <c r="D2705">
        <v>0</v>
      </c>
      <c r="E2705">
        <v>0</v>
      </c>
      <c r="F2705" t="s">
        <v>0</v>
      </c>
      <c r="G2705" t="str" cm="1">
        <f t="array" ref="G2705" xml:space="preserve"> FindCountryName(F2705)</f>
        <v>None</v>
      </c>
      <c r="H2705" s="1">
        <v>45265.533136574071</v>
      </c>
      <c r="I2705" s="1">
        <v>45265.533136574071</v>
      </c>
      <c r="J2705" s="1">
        <v>43777.883391203701</v>
      </c>
      <c r="K2705" cm="1">
        <f t="array" ref="K2705" xml:space="preserve"> sentimentCalc(C2705)</f>
        <v>-2</v>
      </c>
      <c r="L2705" t="str" cm="1">
        <f t="array" ref="L2705" xml:space="preserve"> sentimentCategory(K2705)</f>
        <v>Negative</v>
      </c>
    </row>
    <row r="2706" spans="1:12">
      <c r="A2706" t="s">
        <v>566</v>
      </c>
      <c r="B2706" t="s">
        <v>1304</v>
      </c>
      <c r="C2706" t="str" cm="1">
        <f t="array" ref="C2706" xml:space="preserve"> CleanText(B2706)</f>
        <v>my name is ong</v>
      </c>
      <c r="D2706">
        <v>0</v>
      </c>
      <c r="E2706">
        <v>0</v>
      </c>
      <c r="F2706" t="s">
        <v>0</v>
      </c>
      <c r="G2706" t="str" cm="1">
        <f t="array" ref="G2706" xml:space="preserve"> FindCountryName(F2706)</f>
        <v>None</v>
      </c>
      <c r="H2706" s="1">
        <v>45265.483194444445</v>
      </c>
      <c r="I2706" s="1">
        <v>45265.483194444445</v>
      </c>
      <c r="J2706" s="1">
        <v>44893.722199074073</v>
      </c>
      <c r="K2706" cm="1">
        <f t="array" ref="K2706" xml:space="preserve"> sentimentCalc(C2706)</f>
        <v>0</v>
      </c>
      <c r="L2706" t="str" cm="1">
        <f t="array" ref="L2706" xml:space="preserve"> sentimentCategory(K2706)</f>
        <v>Neutral</v>
      </c>
    </row>
    <row r="2707" spans="1:12">
      <c r="A2707" t="s">
        <v>1303</v>
      </c>
      <c r="B2707" t="s">
        <v>1302</v>
      </c>
      <c r="C2707" t="str" cm="1">
        <f t="array" ref="C2707" xml:space="preserve"> CleanText(B2707)</f>
        <v>we are waiting for optimus prime</v>
      </c>
      <c r="D2707">
        <v>1</v>
      </c>
      <c r="E2707">
        <v>0</v>
      </c>
      <c r="F2707" t="s">
        <v>0</v>
      </c>
      <c r="G2707" t="str" cm="1">
        <f t="array" ref="G2707" xml:space="preserve"> FindCountryName(F2707)</f>
        <v>None</v>
      </c>
      <c r="H2707" s="1">
        <v>45265.482847222222</v>
      </c>
      <c r="I2707" s="1">
        <v>45265.482847222222</v>
      </c>
      <c r="J2707" s="1">
        <v>44029.199733796297</v>
      </c>
      <c r="K2707" cm="1">
        <f t="array" ref="K2707" xml:space="preserve"> sentimentCalc(C2707)</f>
        <v>0</v>
      </c>
      <c r="L2707" t="str" cm="1">
        <f t="array" ref="L2707" xml:space="preserve"> sentimentCategory(K2707)</f>
        <v>Neutral</v>
      </c>
    </row>
    <row r="2708" spans="1:12">
      <c r="A2708" t="s">
        <v>1301</v>
      </c>
      <c r="B2708" t="s">
        <v>1300</v>
      </c>
      <c r="C2708" t="str" cm="1">
        <f t="array" ref="C2708" xml:space="preserve"> CleanText(B2708)</f>
        <v>this looks very very promising so promising in fact that im kinda scared of getting my hopes up</v>
      </c>
      <c r="D2708">
        <v>0</v>
      </c>
      <c r="E2708">
        <v>0</v>
      </c>
      <c r="F2708" t="s">
        <v>0</v>
      </c>
      <c r="G2708" t="str" cm="1">
        <f t="array" ref="G2708" xml:space="preserve"> FindCountryName(F2708)</f>
        <v>None</v>
      </c>
      <c r="H2708" s="1">
        <v>45265.479490740741</v>
      </c>
      <c r="I2708" s="1">
        <v>45265.479490740741</v>
      </c>
      <c r="J2708" s="1">
        <v>40973.362858796296</v>
      </c>
      <c r="K2708" cm="1">
        <f t="array" ref="K2708" xml:space="preserve"> sentimentCalc(C2708)</f>
        <v>0</v>
      </c>
      <c r="L2708" t="str" cm="1">
        <f t="array" ref="L2708" xml:space="preserve"> sentimentCategory(K2708)</f>
        <v>Neutral</v>
      </c>
    </row>
    <row r="2709" spans="1:12">
      <c r="A2709" t="s">
        <v>284</v>
      </c>
      <c r="B2709" t="s">
        <v>1299</v>
      </c>
      <c r="C2709" t="str" cm="1">
        <f t="array" ref="C2709" xml:space="preserve"> CleanText(B2709)</f>
        <v>wtf is this trash</v>
      </c>
      <c r="D2709">
        <v>0</v>
      </c>
      <c r="E2709">
        <v>0</v>
      </c>
      <c r="F2709" t="s">
        <v>0</v>
      </c>
      <c r="G2709" t="str" cm="1">
        <f t="array" ref="G2709" xml:space="preserve"> FindCountryName(F2709)</f>
        <v>None</v>
      </c>
      <c r="H2709" s="1">
        <v>45265.478136574071</v>
      </c>
      <c r="I2709" s="1">
        <v>45265.478136574071</v>
      </c>
      <c r="J2709" s="1">
        <v>43967.517442129632</v>
      </c>
      <c r="K2709" cm="1">
        <f t="array" ref="K2709" xml:space="preserve"> sentimentCalc(C2709)</f>
        <v>0</v>
      </c>
      <c r="L2709" t="str" cm="1">
        <f t="array" ref="L2709" xml:space="preserve"> sentimentCategory(K2709)</f>
        <v>Neutral</v>
      </c>
    </row>
    <row r="2710" spans="1:12">
      <c r="A2710" t="s">
        <v>1298</v>
      </c>
      <c r="B2710" t="s">
        <v>1297</v>
      </c>
      <c r="C2710" t="str" cm="1">
        <f t="array" ref="C2710" xml:space="preserve"> CleanText(B2710)</f>
        <v>if dwayne the rock johnson doesnt play the boulder im gonna be pissed</v>
      </c>
      <c r="D2710">
        <v>0</v>
      </c>
      <c r="E2710">
        <v>0</v>
      </c>
      <c r="F2710" t="s">
        <v>0</v>
      </c>
      <c r="G2710" t="str" cm="1">
        <f t="array" ref="G2710" xml:space="preserve"> FindCountryName(F2710)</f>
        <v>None</v>
      </c>
      <c r="H2710" s="1">
        <v>45265.476643518516</v>
      </c>
      <c r="I2710" s="1">
        <v>45265.476643518516</v>
      </c>
      <c r="J2710" s="1">
        <v>45241.160451388889</v>
      </c>
      <c r="K2710" cm="1">
        <f t="array" ref="K2710" xml:space="preserve"> sentimentCalc(C2710)</f>
        <v>-4</v>
      </c>
      <c r="L2710" t="str" cm="1">
        <f t="array" ref="L2710" xml:space="preserve"> sentimentCategory(K2710)</f>
        <v>Negative</v>
      </c>
    </row>
    <row r="2711" spans="1:12">
      <c r="A2711" t="s">
        <v>964</v>
      </c>
      <c r="B2711" t="s">
        <v>1296</v>
      </c>
      <c r="C2711" t="str" cm="1">
        <f t="array" ref="C2711" xml:space="preserve"> CleanText(B2711)</f>
        <v>now this is avatar _xDE22_</v>
      </c>
      <c r="D2711">
        <v>1</v>
      </c>
      <c r="E2711">
        <v>0</v>
      </c>
      <c r="F2711" t="s">
        <v>0</v>
      </c>
      <c r="G2711" t="str" cm="1">
        <f t="array" ref="G2711" xml:space="preserve"> FindCountryName(F2711)</f>
        <v>None</v>
      </c>
      <c r="H2711" s="1">
        <v>45265.465381944443</v>
      </c>
      <c r="I2711" s="1">
        <v>45265.465381944443</v>
      </c>
      <c r="J2711" s="1">
        <v>40817.626145833332</v>
      </c>
      <c r="K2711" cm="1">
        <f t="array" ref="K2711" xml:space="preserve"> sentimentCalc(C2711)</f>
        <v>0</v>
      </c>
      <c r="L2711" t="str" cm="1">
        <f t="array" ref="L2711" xml:space="preserve"> sentimentCategory(K2711)</f>
        <v>Neutral</v>
      </c>
    </row>
    <row r="2712" spans="1:12">
      <c r="A2712" t="s">
        <v>1295</v>
      </c>
      <c r="B2712" t="s">
        <v>1294</v>
      </c>
      <c r="C2712" t="str" cm="1">
        <f t="array" ref="C2712" xml:space="preserve"> CleanText(B2712)</f>
        <v>fxcken finnaly grew up watching this</v>
      </c>
      <c r="D2712">
        <v>0</v>
      </c>
      <c r="E2712">
        <v>0</v>
      </c>
      <c r="F2712" t="s">
        <v>0</v>
      </c>
      <c r="G2712" t="str" cm="1">
        <f t="array" ref="G2712" xml:space="preserve"> FindCountryName(F2712)</f>
        <v>None</v>
      </c>
      <c r="H2712" s="1">
        <v>45265.460694444446</v>
      </c>
      <c r="I2712" s="1">
        <v>45265.460694444446</v>
      </c>
      <c r="J2712" s="1">
        <v>43361.627476851849</v>
      </c>
      <c r="K2712" cm="1">
        <f t="array" ref="K2712" xml:space="preserve"> sentimentCalc(C2712)</f>
        <v>0</v>
      </c>
      <c r="L2712" t="str" cm="1">
        <f t="array" ref="L2712" xml:space="preserve"> sentimentCategory(K2712)</f>
        <v>Neutral</v>
      </c>
    </row>
    <row r="2713" spans="1:12">
      <c r="A2713" t="s">
        <v>32</v>
      </c>
      <c r="B2713" t="s">
        <v>1293</v>
      </c>
      <c r="C2713" t="str" cm="1">
        <f t="array" ref="C2713" xml:space="preserve"> CleanText(B2713)</f>
        <v>please dont f dis up netflix dont go woke on this i love this too much</v>
      </c>
      <c r="D2713">
        <v>0</v>
      </c>
      <c r="E2713">
        <v>0</v>
      </c>
      <c r="F2713" t="s">
        <v>0</v>
      </c>
      <c r="G2713" t="str" cm="1">
        <f t="array" ref="G2713" xml:space="preserve"> FindCountryName(F2713)</f>
        <v>None</v>
      </c>
      <c r="H2713" s="1">
        <v>45265.45416666667</v>
      </c>
      <c r="I2713" s="1">
        <v>45265.45416666667</v>
      </c>
      <c r="J2713" s="1">
        <v>42031.372731481482</v>
      </c>
      <c r="K2713" cm="1">
        <f t="array" ref="K2713" xml:space="preserve"> sentimentCalc(C2713)</f>
        <v>4</v>
      </c>
      <c r="L2713" t="str" cm="1">
        <f t="array" ref="L2713" xml:space="preserve"> sentimentCategory(K2713)</f>
        <v>Positive</v>
      </c>
    </row>
    <row r="2714" spans="1:12">
      <c r="A2714" t="s">
        <v>637</v>
      </c>
      <c r="B2714" t="s">
        <v>1292</v>
      </c>
      <c r="C2714" t="str" cm="1">
        <f t="array" ref="C2714" xml:space="preserve"> CleanText(B2714)</f>
        <v>damn asian characters are kept asian good job netflix</v>
      </c>
      <c r="D2714">
        <v>0</v>
      </c>
      <c r="E2714">
        <v>0</v>
      </c>
      <c r="F2714" t="s">
        <v>0</v>
      </c>
      <c r="G2714" t="str" cm="1">
        <f t="array" ref="G2714" xml:space="preserve"> FindCountryName(F2714)</f>
        <v>None</v>
      </c>
      <c r="H2714" s="1">
        <v>45265.440949074073</v>
      </c>
      <c r="I2714" s="1">
        <v>45265.440949074073</v>
      </c>
      <c r="J2714" s="1">
        <v>43041.895949074074</v>
      </c>
      <c r="K2714" cm="1">
        <f t="array" ref="K2714" xml:space="preserve"> sentimentCalc(C2714)</f>
        <v>-1</v>
      </c>
      <c r="L2714" t="str" cm="1">
        <f t="array" ref="L2714" xml:space="preserve"> sentimentCategory(K2714)</f>
        <v>Negative</v>
      </c>
    </row>
    <row r="2715" spans="1:12">
      <c r="A2715" t="s">
        <v>1291</v>
      </c>
      <c r="B2715" t="s">
        <v>1290</v>
      </c>
      <c r="C2715" t="str" cm="1">
        <f t="array" ref="C2715" xml:space="preserve"> CleanText(B2715)</f>
        <v>great  i just finished another nostalgia run through the og cartoon d</v>
      </c>
      <c r="D2715">
        <v>0</v>
      </c>
      <c r="E2715">
        <v>0</v>
      </c>
      <c r="F2715" t="s">
        <v>0</v>
      </c>
      <c r="G2715" t="str" cm="1">
        <f t="array" ref="G2715" xml:space="preserve"> FindCountryName(F2715)</f>
        <v>None</v>
      </c>
      <c r="H2715" s="1">
        <v>45265.370034722226</v>
      </c>
      <c r="I2715" s="1">
        <v>45265.370034722226</v>
      </c>
      <c r="J2715" s="1">
        <v>40526.449143518519</v>
      </c>
      <c r="K2715" cm="1">
        <f t="array" ref="K2715" xml:space="preserve"> sentimentCalc(C2715)</f>
        <v>3</v>
      </c>
      <c r="L2715" t="str" cm="1">
        <f t="array" ref="L2715" xml:space="preserve"> sentimentCategory(K2715)</f>
        <v>Positive</v>
      </c>
    </row>
    <row r="2716" spans="1:12">
      <c r="A2716" t="s">
        <v>231</v>
      </c>
      <c r="B2716" t="s">
        <v>1289</v>
      </c>
      <c r="C2716" t="str" cm="1">
        <f t="array" ref="C2716" xml:space="preserve"> CleanText(B2716)</f>
        <v>oda is a  master legend</v>
      </c>
      <c r="D2716">
        <v>0</v>
      </c>
      <c r="E2716">
        <v>0</v>
      </c>
      <c r="F2716" t="s">
        <v>0</v>
      </c>
      <c r="G2716" t="str" cm="1">
        <f t="array" ref="G2716" xml:space="preserve"> FindCountryName(F2716)</f>
        <v>None</v>
      </c>
      <c r="H2716" s="1">
        <v>45265.3437962963</v>
      </c>
      <c r="I2716" s="1">
        <v>45265.3437962963</v>
      </c>
      <c r="J2716" s="1">
        <v>42288.588564814818</v>
      </c>
      <c r="K2716" cm="1">
        <f t="array" ref="K2716" xml:space="preserve"> sentimentCalc(C2716)</f>
        <v>0</v>
      </c>
      <c r="L2716" t="str" cm="1">
        <f t="array" ref="L2716" xml:space="preserve"> sentimentCategory(K2716)</f>
        <v>Neutral</v>
      </c>
    </row>
    <row r="2717" spans="1:12">
      <c r="A2717" t="s">
        <v>882</v>
      </c>
      <c r="B2717" t="s">
        <v>1288</v>
      </c>
      <c r="C2717" t="str" cm="1">
        <f t="array" ref="C2717" xml:space="preserve"> CleanText(B2717)</f>
        <v>im praying that netflix nails this i hope this is not bad like the original avatar the last airbender movie</v>
      </c>
      <c r="D2717">
        <v>0</v>
      </c>
      <c r="E2717">
        <v>0</v>
      </c>
      <c r="F2717" t="s">
        <v>0</v>
      </c>
      <c r="G2717" t="str" cm="1">
        <f t="array" ref="G2717" xml:space="preserve"> FindCountryName(F2717)</f>
        <v>None</v>
      </c>
      <c r="H2717" s="1">
        <v>45265.26421296296</v>
      </c>
      <c r="I2717" s="1">
        <v>45265.264664351853</v>
      </c>
      <c r="J2717" s="1">
        <v>42780.944386574076</v>
      </c>
      <c r="K2717" cm="1">
        <f t="array" ref="K2717" xml:space="preserve"> sentimentCalc(C2717)</f>
        <v>2</v>
      </c>
      <c r="L2717" t="str" cm="1">
        <f t="array" ref="L2717" xml:space="preserve"> sentimentCategory(K2717)</f>
        <v>Positive</v>
      </c>
    </row>
    <row r="2718" spans="1:12">
      <c r="A2718" t="s">
        <v>32</v>
      </c>
      <c r="B2718" t="s">
        <v>1287</v>
      </c>
      <c r="C2718" t="str" cm="1">
        <f t="array" ref="C2718" xml:space="preserve"> CleanText(B2718)</f>
        <v>esto se va a descontrolaaarrrrrr</v>
      </c>
      <c r="D2718">
        <v>0</v>
      </c>
      <c r="E2718">
        <v>0</v>
      </c>
      <c r="F2718" t="s">
        <v>0</v>
      </c>
      <c r="G2718" t="str" cm="1">
        <f t="array" ref="G2718" xml:space="preserve"> FindCountryName(F2718)</f>
        <v>None</v>
      </c>
      <c r="H2718" s="1">
        <v>45265.262280092589</v>
      </c>
      <c r="I2718" s="1">
        <v>45265.262280092589</v>
      </c>
      <c r="J2718" s="1">
        <v>42021.605347222219</v>
      </c>
      <c r="K2718" cm="1">
        <f t="array" ref="K2718" xml:space="preserve"> sentimentCalc(C2718)</f>
        <v>0</v>
      </c>
      <c r="L2718" t="str" cm="1">
        <f t="array" ref="L2718" xml:space="preserve"> sentimentCategory(K2718)</f>
        <v>Neutral</v>
      </c>
    </row>
    <row r="2719" spans="1:12">
      <c r="A2719" t="s">
        <v>680</v>
      </c>
      <c r="B2719" t="s">
        <v>1286</v>
      </c>
      <c r="C2719" t="str" cm="1">
        <f t="array" ref="C2719" xml:space="preserve"> CleanText(B2719)</f>
        <v>michael dante dimartino and bryan konietzko the original producers abandoned the netflix project due to creative differences dont expect much</v>
      </c>
      <c r="D2719">
        <v>0</v>
      </c>
      <c r="E2719">
        <v>1</v>
      </c>
      <c r="F2719" t="s">
        <v>0</v>
      </c>
      <c r="G2719" t="str" cm="1">
        <f t="array" ref="G2719" xml:space="preserve"> FindCountryName(F2719)</f>
        <v>None</v>
      </c>
      <c r="H2719" s="1">
        <v>45265.257337962961</v>
      </c>
      <c r="I2719" s="1">
        <v>45265.257337962961</v>
      </c>
      <c r="J2719" s="1">
        <v>45219.469861111109</v>
      </c>
      <c r="K2719" cm="1">
        <f t="array" ref="K2719" xml:space="preserve"> sentimentCalc(C2719)</f>
        <v>0</v>
      </c>
      <c r="L2719" t="str" cm="1">
        <f t="array" ref="L2719" xml:space="preserve"> sentimentCategory(K2719)</f>
        <v>Neutral</v>
      </c>
    </row>
    <row r="2720" spans="1:12">
      <c r="A2720" t="s">
        <v>1285</v>
      </c>
      <c r="B2720" t="s">
        <v>1284</v>
      </c>
      <c r="C2720" t="str" cm="1">
        <f t="array" ref="C2720" xml:space="preserve"> CleanText(B2720)</f>
        <v>huh didnt they already fail with this project how many mistakes you have to make before you lot understand that anime cant be brought into live action styles are too different for that to work</v>
      </c>
      <c r="D2720">
        <v>0</v>
      </c>
      <c r="E2720">
        <v>2</v>
      </c>
      <c r="F2720" t="s">
        <v>0</v>
      </c>
      <c r="G2720" t="str" cm="1">
        <f t="array" ref="G2720" xml:space="preserve"> FindCountryName(F2720)</f>
        <v>None</v>
      </c>
      <c r="H2720" s="1">
        <v>45265.241064814814</v>
      </c>
      <c r="I2720" s="1">
        <v>45265.241064814814</v>
      </c>
      <c r="J2720" s="1">
        <v>40596.650243055556</v>
      </c>
      <c r="K2720" cm="1">
        <f t="array" ref="K2720" xml:space="preserve"> sentimentCalc(C2720)</f>
        <v>-4</v>
      </c>
      <c r="L2720" t="str" cm="1">
        <f t="array" ref="L2720" xml:space="preserve"> sentimentCategory(K2720)</f>
        <v>Negative</v>
      </c>
    </row>
    <row r="2721" spans="1:12">
      <c r="A2721" t="s">
        <v>1283</v>
      </c>
      <c r="B2721" t="s">
        <v>1282</v>
      </c>
      <c r="C2721" t="str" cm="1">
        <f t="array" ref="C2721" xml:space="preserve"> CleanText(B2721)</f>
        <v>goosebumps</v>
      </c>
      <c r="D2721">
        <v>0</v>
      </c>
      <c r="E2721">
        <v>0</v>
      </c>
      <c r="F2721" t="s">
        <v>0</v>
      </c>
      <c r="G2721" t="str" cm="1">
        <f t="array" ref="G2721" xml:space="preserve"> FindCountryName(F2721)</f>
        <v>None</v>
      </c>
      <c r="H2721" s="1">
        <v>45265.218958333331</v>
      </c>
      <c r="I2721" s="1">
        <v>45265.218958333331</v>
      </c>
      <c r="J2721" s="1">
        <v>42551.444918981484</v>
      </c>
      <c r="K2721" cm="1">
        <f t="array" ref="K2721" xml:space="preserve"> sentimentCalc(C2721)</f>
        <v>0</v>
      </c>
      <c r="L2721" t="str" cm="1">
        <f t="array" ref="L2721" xml:space="preserve"> sentimentCategory(K2721)</f>
        <v>Neutral</v>
      </c>
    </row>
    <row r="2722" spans="1:12">
      <c r="A2722" t="s">
        <v>72</v>
      </c>
      <c r="B2722" t="s">
        <v>1281</v>
      </c>
      <c r="C2722" t="str" cm="1">
        <f t="array" ref="C2722" xml:space="preserve"> CleanText(B2722)</f>
        <v>д n</v>
      </c>
      <c r="D2722">
        <v>0</v>
      </c>
      <c r="E2722">
        <v>0</v>
      </c>
      <c r="F2722" t="s">
        <v>0</v>
      </c>
      <c r="G2722" t="str" cm="1">
        <f t="array" ref="G2722" xml:space="preserve"> FindCountryName(F2722)</f>
        <v>None</v>
      </c>
      <c r="H2722" s="1">
        <v>45265.173576388886</v>
      </c>
      <c r="I2722" s="1">
        <v>45265.173576388886</v>
      </c>
      <c r="J2722" s="1">
        <v>44902.017152777778</v>
      </c>
      <c r="K2722" cm="1">
        <f t="array" ref="K2722" xml:space="preserve"> sentimentCalc(C2722)</f>
        <v>0</v>
      </c>
      <c r="L2722" t="str" cm="1">
        <f t="array" ref="L2722" xml:space="preserve"> sentimentCategory(K2722)</f>
        <v>Neutral</v>
      </c>
    </row>
    <row r="2723" spans="1:12">
      <c r="A2723" t="s">
        <v>735</v>
      </c>
      <c r="B2723" t="s">
        <v>1280</v>
      </c>
      <c r="C2723" t="str" cm="1">
        <f t="array" ref="C2723" xml:space="preserve"> CleanText(B2723)</f>
        <v>finally they did this one good</v>
      </c>
      <c r="D2723">
        <v>0</v>
      </c>
      <c r="E2723">
        <v>0</v>
      </c>
      <c r="F2723" t="s">
        <v>0</v>
      </c>
      <c r="G2723" t="str" cm="1">
        <f t="array" ref="G2723" xml:space="preserve"> FindCountryName(F2723)</f>
        <v>None</v>
      </c>
      <c r="H2723" s="1">
        <v>45265.148784722223</v>
      </c>
      <c r="I2723" s="1">
        <v>45265.148784722223</v>
      </c>
      <c r="J2723" s="1">
        <v>44382.5153125</v>
      </c>
      <c r="K2723" cm="1">
        <f t="array" ref="K2723" xml:space="preserve"> sentimentCalc(C2723)</f>
        <v>3</v>
      </c>
      <c r="L2723" t="str" cm="1">
        <f t="array" ref="L2723" xml:space="preserve"> sentimentCategory(K2723)</f>
        <v>Positive</v>
      </c>
    </row>
    <row r="2724" spans="1:12">
      <c r="A2724" t="s">
        <v>225</v>
      </c>
      <c r="B2724" t="s">
        <v>1279</v>
      </c>
      <c r="C2724" t="str" cm="1">
        <f t="array" ref="C2724" xml:space="preserve"> CleanText(B2724)</f>
        <v>we cant just get a new animated series netflix ruins everything still looks better than the movie though</v>
      </c>
      <c r="D2724">
        <v>0</v>
      </c>
      <c r="E2724">
        <v>1</v>
      </c>
      <c r="F2724" t="s">
        <v>0</v>
      </c>
      <c r="G2724" t="str" cm="1">
        <f t="array" ref="G2724" xml:space="preserve"> FindCountryName(F2724)</f>
        <v>None</v>
      </c>
      <c r="H2724" s="1">
        <v>45265.142650462964</v>
      </c>
      <c r="I2724" s="1">
        <v>45265.142650462964</v>
      </c>
      <c r="J2724" s="1">
        <v>41878.254444444443</v>
      </c>
      <c r="K2724" cm="1">
        <f t="array" ref="K2724" xml:space="preserve"> sentimentCalc(C2724)</f>
        <v>0</v>
      </c>
      <c r="L2724" t="str" cm="1">
        <f t="array" ref="L2724" xml:space="preserve"> sentimentCategory(K2724)</f>
        <v>Neutral</v>
      </c>
    </row>
    <row r="2725" spans="1:12">
      <c r="A2725" t="s">
        <v>1096</v>
      </c>
      <c r="B2725" t="s">
        <v>1278</v>
      </c>
      <c r="C2725" t="str" cm="1">
        <f t="array" ref="C2725" xml:space="preserve"> CleanText(B2725)</f>
        <v>i think this adaptation is 0 x better than one piece</v>
      </c>
      <c r="D2725">
        <v>0</v>
      </c>
      <c r="E2725">
        <v>0</v>
      </c>
      <c r="F2725" t="s">
        <v>0</v>
      </c>
      <c r="G2725" t="str" cm="1">
        <f t="array" ref="G2725" xml:space="preserve"> FindCountryName(F2725)</f>
        <v>None</v>
      </c>
      <c r="H2725" s="1">
        <v>45265.127523148149</v>
      </c>
      <c r="I2725" s="1">
        <v>45265.127523148149</v>
      </c>
      <c r="J2725" s="1">
        <v>41170.897314814814</v>
      </c>
      <c r="K2725" cm="1">
        <f t="array" ref="K2725" xml:space="preserve"> sentimentCalc(C2725)</f>
        <v>2</v>
      </c>
      <c r="L2725" t="str" cm="1">
        <f t="array" ref="L2725" xml:space="preserve"> sentimentCategory(K2725)</f>
        <v>Positive</v>
      </c>
    </row>
    <row r="2726" spans="1:12">
      <c r="A2726" t="s">
        <v>47</v>
      </c>
      <c r="B2726" t="s">
        <v>1277</v>
      </c>
      <c r="C2726" t="str" cm="1">
        <f t="array" ref="C2726" xml:space="preserve"> CleanText(B2726)</f>
        <v>and now this is the best live action that netflix ever made</v>
      </c>
      <c r="D2726">
        <v>3</v>
      </c>
      <c r="E2726">
        <v>0</v>
      </c>
      <c r="F2726" t="s">
        <v>0</v>
      </c>
      <c r="G2726" t="str" cm="1">
        <f t="array" ref="G2726" xml:space="preserve"> FindCountryName(F2726)</f>
        <v>None</v>
      </c>
      <c r="H2726" s="1">
        <v>45265.125428240739</v>
      </c>
      <c r="I2726" s="1">
        <v>45265.125428240739</v>
      </c>
      <c r="J2726" s="1">
        <v>41727.602106481485</v>
      </c>
      <c r="K2726" cm="1">
        <f t="array" ref="K2726" xml:space="preserve"> sentimentCalc(C2726)</f>
        <v>3</v>
      </c>
      <c r="L2726" t="str" cm="1">
        <f t="array" ref="L2726" xml:space="preserve"> sentimentCategory(K2726)</f>
        <v>Positive</v>
      </c>
    </row>
    <row r="2727" spans="1:12">
      <c r="A2727" t="s">
        <v>887</v>
      </c>
      <c r="B2727" t="s">
        <v>1276</v>
      </c>
      <c r="C2727" t="str" cm="1">
        <f t="array" ref="C2727" xml:space="preserve"> CleanText(B2727)</f>
        <v>0 bgm i remembered my childhood days</v>
      </c>
      <c r="D2727">
        <v>0</v>
      </c>
      <c r="E2727">
        <v>0</v>
      </c>
      <c r="F2727" t="s">
        <v>0</v>
      </c>
      <c r="G2727" t="str" cm="1">
        <f t="array" ref="G2727" xml:space="preserve"> FindCountryName(F2727)</f>
        <v>None</v>
      </c>
      <c r="H2727" s="1">
        <v>45265.07104166667</v>
      </c>
      <c r="I2727" s="1">
        <v>45265.071736111109</v>
      </c>
      <c r="J2727" s="1">
        <v>42886.143090277779</v>
      </c>
      <c r="K2727" cm="1">
        <f t="array" ref="K2727" xml:space="preserve"> sentimentCalc(C2727)</f>
        <v>0</v>
      </c>
      <c r="L2727" t="str" cm="1">
        <f t="array" ref="L2727" xml:space="preserve"> sentimentCategory(K2727)</f>
        <v>Neutral</v>
      </c>
    </row>
    <row r="2728" spans="1:12">
      <c r="A2728" t="s">
        <v>539</v>
      </c>
      <c r="B2728" t="s">
        <v>1275</v>
      </c>
      <c r="C2728" t="str" cm="1">
        <f t="array" ref="C2728" xml:space="preserve"> CleanText(B2728)</f>
        <v>n</v>
      </c>
      <c r="D2728">
        <v>0</v>
      </c>
      <c r="E2728">
        <v>0</v>
      </c>
      <c r="F2728" t="s">
        <v>0</v>
      </c>
      <c r="G2728" t="str" cm="1">
        <f t="array" ref="G2728" xml:space="preserve"> FindCountryName(F2728)</f>
        <v>None</v>
      </c>
      <c r="H2728" s="1">
        <v>45265.048854166664</v>
      </c>
      <c r="I2728" s="1">
        <v>45265.048854166664</v>
      </c>
      <c r="J2728" s="1">
        <v>41234.568159722221</v>
      </c>
      <c r="K2728" cm="1">
        <f t="array" ref="K2728" xml:space="preserve"> sentimentCalc(C2728)</f>
        <v>0</v>
      </c>
      <c r="L2728" t="str" cm="1">
        <f t="array" ref="L2728" xml:space="preserve"> sentimentCategory(K2728)</f>
        <v>Neutral</v>
      </c>
    </row>
    <row r="2729" spans="1:12">
      <c r="A2729" t="s">
        <v>1247</v>
      </c>
      <c r="B2729" t="s">
        <v>1274</v>
      </c>
      <c r="C2729" t="str" cm="1">
        <f t="array" ref="C2729" xml:space="preserve"> CleanText(B2729)</f>
        <v>they really decided to re make the worst movie oat</v>
      </c>
      <c r="D2729">
        <v>0</v>
      </c>
      <c r="E2729">
        <v>0</v>
      </c>
      <c r="F2729" t="s">
        <v>0</v>
      </c>
      <c r="G2729" t="str" cm="1">
        <f t="array" ref="G2729" xml:space="preserve"> FindCountryName(F2729)</f>
        <v>None</v>
      </c>
      <c r="H2729" s="1">
        <v>45264.967638888891</v>
      </c>
      <c r="I2729" s="1">
        <v>45264.967638888891</v>
      </c>
      <c r="J2729" s="1">
        <v>44806.421527777777</v>
      </c>
      <c r="K2729" cm="1">
        <f t="array" ref="K2729" xml:space="preserve"> sentimentCalc(C2729)</f>
        <v>-3</v>
      </c>
      <c r="L2729" t="str" cm="1">
        <f t="array" ref="L2729" xml:space="preserve"> sentimentCategory(K2729)</f>
        <v>Negative</v>
      </c>
    </row>
    <row r="2730" spans="1:12">
      <c r="A2730" t="s">
        <v>1273</v>
      </c>
      <c r="B2730" t="s">
        <v>1272</v>
      </c>
      <c r="C2730" t="str" cm="1">
        <f t="array" ref="C2730" xml:space="preserve"> CleanText(B2730)</f>
        <v>skeptically hyped</v>
      </c>
      <c r="D2730">
        <v>0</v>
      </c>
      <c r="E2730">
        <v>0</v>
      </c>
      <c r="F2730" t="s">
        <v>0</v>
      </c>
      <c r="G2730" t="str" cm="1">
        <f t="array" ref="G2730" xml:space="preserve"> FindCountryName(F2730)</f>
        <v>None</v>
      </c>
      <c r="H2730" s="1">
        <v>45264.962708333333</v>
      </c>
      <c r="I2730" s="1">
        <v>45264.962708333333</v>
      </c>
      <c r="J2730" s="1">
        <v>41125.101886574077</v>
      </c>
      <c r="K2730" cm="1">
        <f t="array" ref="K2730" xml:space="preserve"> sentimentCalc(C2730)</f>
        <v>0</v>
      </c>
      <c r="L2730" t="str" cm="1">
        <f t="array" ref="L2730" xml:space="preserve"> sentimentCategory(K2730)</f>
        <v>Neutral</v>
      </c>
    </row>
    <row r="2731" spans="1:12">
      <c r="A2731" t="s">
        <v>926</v>
      </c>
      <c r="B2731" t="s">
        <v>1271</v>
      </c>
      <c r="C2731" t="str" cm="1">
        <f t="array" ref="C2731" xml:space="preserve"> CleanText(B2731)</f>
        <v>this looks terrible i loved the original show but this looks terrible</v>
      </c>
      <c r="D2731">
        <v>0</v>
      </c>
      <c r="E2731">
        <v>0</v>
      </c>
      <c r="F2731" t="s">
        <v>0</v>
      </c>
      <c r="G2731" t="str" cm="1">
        <f t="array" ref="G2731" xml:space="preserve"> FindCountryName(F2731)</f>
        <v>None</v>
      </c>
      <c r="H2731" s="1">
        <v>45264.954479166663</v>
      </c>
      <c r="I2731" s="1">
        <v>45264.954479166663</v>
      </c>
      <c r="J2731" s="1">
        <v>44335.852881944447</v>
      </c>
      <c r="K2731" cm="1">
        <f t="array" ref="K2731" xml:space="preserve"> sentimentCalc(C2731)</f>
        <v>-3</v>
      </c>
      <c r="L2731" t="str" cm="1">
        <f t="array" ref="L2731" xml:space="preserve"> sentimentCategory(K2731)</f>
        <v>Negative</v>
      </c>
    </row>
    <row r="2732" spans="1:12">
      <c r="A2732" t="s">
        <v>872</v>
      </c>
      <c r="B2732" t="s">
        <v>1270</v>
      </c>
      <c r="C2732" t="str" cm="1">
        <f t="array" ref="C2732" xml:space="preserve"> CleanText(B2732)</f>
        <v>i stand by a personal belief that remakes can never replace originals but ill be honest this looks better than the original live action movie</v>
      </c>
      <c r="D2732">
        <v>0</v>
      </c>
      <c r="E2732">
        <v>0</v>
      </c>
      <c r="F2732" t="s">
        <v>0</v>
      </c>
      <c r="G2732" t="str" cm="1">
        <f t="array" ref="G2732" xml:space="preserve"> FindCountryName(F2732)</f>
        <v>None</v>
      </c>
      <c r="H2732" s="1">
        <v>45264.938483796293</v>
      </c>
      <c r="I2732" s="1">
        <v>45264.938483796293</v>
      </c>
      <c r="J2732" s="1">
        <v>44400.876273148147</v>
      </c>
      <c r="K2732" cm="1">
        <f t="array" ref="K2732" xml:space="preserve"> sentimentCalc(C2732)</f>
        <v>2</v>
      </c>
      <c r="L2732" t="str" cm="1">
        <f t="array" ref="L2732" xml:space="preserve"> sentimentCategory(K2732)</f>
        <v>Positive</v>
      </c>
    </row>
    <row r="2733" spans="1:12">
      <c r="A2733" t="s">
        <v>697</v>
      </c>
      <c r="B2733" t="s">
        <v>1269</v>
      </c>
      <c r="C2733" t="str" cm="1">
        <f t="array" ref="C2733" xml:space="preserve"> CleanText(B2733)</f>
        <v>i didnt even know this was coming yet i have such a big smile on my face already it really feels like the characters and world just sprung to life</v>
      </c>
      <c r="D2733">
        <v>313</v>
      </c>
      <c r="E2733">
        <v>2</v>
      </c>
      <c r="F2733" t="s">
        <v>0</v>
      </c>
      <c r="G2733" t="str" cm="1">
        <f t="array" ref="G2733" xml:space="preserve"> FindCountryName(F2733)</f>
        <v>None</v>
      </c>
      <c r="H2733" s="1">
        <v>45264.934976851851</v>
      </c>
      <c r="I2733" s="1">
        <v>45264.934976851851</v>
      </c>
      <c r="J2733" s="1">
        <v>43785.758819444447</v>
      </c>
      <c r="K2733" cm="1">
        <f t="array" ref="K2733" xml:space="preserve"> sentimentCalc(C2733)</f>
        <v>5</v>
      </c>
      <c r="L2733" t="str" cm="1">
        <f t="array" ref="L2733" xml:space="preserve"> sentimentCategory(K2733)</f>
        <v>Positive</v>
      </c>
    </row>
    <row r="2734" spans="1:12">
      <c r="A2734" t="s">
        <v>1268</v>
      </c>
      <c r="B2734" t="s">
        <v>1267</v>
      </c>
      <c r="C2734" t="str" cm="1">
        <f t="array" ref="C2734" xml:space="preserve"> CleanText(B2734)</f>
        <v>the agni kai seen kinda suprised me that they showed it this time what</v>
      </c>
      <c r="D2734">
        <v>0</v>
      </c>
      <c r="E2734">
        <v>0</v>
      </c>
      <c r="F2734" t="s">
        <v>0</v>
      </c>
      <c r="G2734" t="str" cm="1">
        <f t="array" ref="G2734" xml:space="preserve"> FindCountryName(F2734)</f>
        <v>None</v>
      </c>
      <c r="H2734" s="1">
        <v>45264.933020833334</v>
      </c>
      <c r="I2734" s="1">
        <v>45264.933020833334</v>
      </c>
      <c r="J2734" s="1">
        <v>45119.99486111111</v>
      </c>
      <c r="K2734" cm="1">
        <f t="array" ref="K2734" xml:space="preserve"> sentimentCalc(C2734)</f>
        <v>0</v>
      </c>
      <c r="L2734" t="str" cm="1">
        <f t="array" ref="L2734" xml:space="preserve"> sentimentCategory(K2734)</f>
        <v>Neutral</v>
      </c>
    </row>
    <row r="2735" spans="1:12">
      <c r="A2735" t="s">
        <v>460</v>
      </c>
      <c r="B2735" t="s">
        <v>1266</v>
      </c>
      <c r="C2735" t="str" cm="1">
        <f t="array" ref="C2735" xml:space="preserve"> CleanText(B2735)</f>
        <v>oh look its not full of white people lmao</v>
      </c>
      <c r="D2735">
        <v>0</v>
      </c>
      <c r="E2735">
        <v>0</v>
      </c>
      <c r="F2735" t="s">
        <v>0</v>
      </c>
      <c r="G2735" t="str" cm="1">
        <f t="array" ref="G2735" xml:space="preserve"> FindCountryName(F2735)</f>
        <v>None</v>
      </c>
      <c r="H2735" s="1">
        <v>45264.912974537037</v>
      </c>
      <c r="I2735" s="1">
        <v>45264.912974537037</v>
      </c>
      <c r="J2735" s="1">
        <v>43629.829687500001</v>
      </c>
      <c r="K2735" cm="1">
        <f t="array" ref="K2735" xml:space="preserve"> sentimentCalc(C2735)</f>
        <v>0</v>
      </c>
      <c r="L2735" t="str" cm="1">
        <f t="array" ref="L2735" xml:space="preserve"> sentimentCategory(K2735)</f>
        <v>Neutral</v>
      </c>
    </row>
    <row r="2736" spans="1:12">
      <c r="A2736" t="s">
        <v>1265</v>
      </c>
      <c r="B2736" t="s">
        <v>1264</v>
      </c>
      <c r="C2736" t="str" cm="1">
        <f t="array" ref="C2736" xml:space="preserve"> CleanText(B2736)</f>
        <v>0 is that azula she is really pretty _xDE33_ i hope she can portrait the actual crazyness for power of her character</v>
      </c>
      <c r="D2736">
        <v>2</v>
      </c>
      <c r="E2736">
        <v>0</v>
      </c>
      <c r="F2736" t="s">
        <v>0</v>
      </c>
      <c r="G2736" t="str" cm="1">
        <f t="array" ref="G2736" xml:space="preserve"> FindCountryName(F2736)</f>
        <v>None</v>
      </c>
      <c r="H2736" s="1">
        <v>45264.909907407404</v>
      </c>
      <c r="I2736" s="1">
        <v>45264.911620370367</v>
      </c>
      <c r="J2736" s="1">
        <v>45031.038854166669</v>
      </c>
      <c r="K2736" cm="1">
        <f t="array" ref="K2736" xml:space="preserve"> sentimentCalc(C2736)</f>
        <v>3</v>
      </c>
      <c r="L2736" t="str" cm="1">
        <f t="array" ref="L2736" xml:space="preserve"> sentimentCategory(K2736)</f>
        <v>Positive</v>
      </c>
    </row>
    <row r="2737" spans="1:12">
      <c r="A2737" t="s">
        <v>460</v>
      </c>
      <c r="B2737" t="s">
        <v>1263</v>
      </c>
      <c r="C2737" t="str" cm="1">
        <f t="array" ref="C2737" xml:space="preserve"> CleanText(B2737)</f>
        <v>peliculon</v>
      </c>
      <c r="D2737">
        <v>0</v>
      </c>
      <c r="E2737">
        <v>0</v>
      </c>
      <c r="F2737" t="s">
        <v>1250</v>
      </c>
      <c r="G2737" t="str" cm="1">
        <f t="array" ref="G2737" xml:space="preserve"> FindCountryName(F2737)</f>
        <v>Argentina</v>
      </c>
      <c r="H2737" s="1">
        <v>45264.846076388887</v>
      </c>
      <c r="I2737" s="1">
        <v>45264.846076388887</v>
      </c>
      <c r="J2737" s="1">
        <v>42803.130173611113</v>
      </c>
      <c r="K2737" cm="1">
        <f t="array" ref="K2737" xml:space="preserve"> sentimentCalc(C2737)</f>
        <v>0</v>
      </c>
      <c r="L2737" t="str" cm="1">
        <f t="array" ref="L2737" xml:space="preserve"> sentimentCategory(K2737)</f>
        <v>Neutral</v>
      </c>
    </row>
    <row r="2738" spans="1:12">
      <c r="A2738" t="s">
        <v>1119</v>
      </c>
      <c r="B2738" t="s">
        <v>1262</v>
      </c>
      <c r="C2738" t="str" cm="1">
        <f t="array" ref="C2738" xml:space="preserve"> CleanText(B2738)</f>
        <v>./0like a lot like the last one</v>
      </c>
      <c r="D2738">
        <v>0</v>
      </c>
      <c r="E2738">
        <v>0</v>
      </c>
      <c r="F2738" t="s">
        <v>0</v>
      </c>
      <c r="G2738" t="str" cm="1">
        <f t="array" ref="G2738" xml:space="preserve"> FindCountryName(F2738)</f>
        <v>None</v>
      </c>
      <c r="H2738" s="1">
        <v>45264.823460648149</v>
      </c>
      <c r="I2738" s="1">
        <v>45264.823460648149</v>
      </c>
      <c r="J2738" s="1">
        <v>44205.096342592595</v>
      </c>
      <c r="K2738" cm="1">
        <f t="array" ref="K2738" xml:space="preserve"> sentimentCalc(C2738)</f>
        <v>2</v>
      </c>
      <c r="L2738" t="str" cm="1">
        <f t="array" ref="L2738" xml:space="preserve"> sentimentCategory(K2738)</f>
        <v>Positive</v>
      </c>
    </row>
    <row r="2739" spans="1:12">
      <c r="A2739" t="s">
        <v>1261</v>
      </c>
      <c r="B2739" t="s">
        <v>1260</v>
      </c>
      <c r="C2739" t="str" cm="1">
        <f t="array" ref="C2739" xml:space="preserve"> CleanText(B2739)</f>
        <v>the thought of another avatar movie cracks me up</v>
      </c>
      <c r="D2739">
        <v>0</v>
      </c>
      <c r="E2739">
        <v>0</v>
      </c>
      <c r="F2739" t="s">
        <v>0</v>
      </c>
      <c r="G2739" t="str" cm="1">
        <f t="array" ref="G2739" xml:space="preserve"> FindCountryName(F2739)</f>
        <v>None</v>
      </c>
      <c r="H2739" s="1">
        <v>45264.763333333336</v>
      </c>
      <c r="I2739" s="1">
        <v>45264.763333333336</v>
      </c>
      <c r="J2739" s="1">
        <v>43253.561215277776</v>
      </c>
      <c r="K2739" cm="1">
        <f t="array" ref="K2739" xml:space="preserve"> sentimentCalc(C2739)</f>
        <v>0</v>
      </c>
      <c r="L2739" t="str" cm="1">
        <f t="array" ref="L2739" xml:space="preserve"> sentimentCategory(K2739)</f>
        <v>Neutral</v>
      </c>
    </row>
    <row r="2740" spans="1:12">
      <c r="A2740" t="s">
        <v>496</v>
      </c>
      <c r="B2740" t="s">
        <v>1259</v>
      </c>
      <c r="C2740" t="str" cm="1">
        <f t="array" ref="C2740" xml:space="preserve"> CleanText(B2740)</f>
        <v>i hope they dont plan on squeezing all  books6 episodes into - netflix episodes something like this should be  episodes per book so the plot isnt completed rushed and butchered this actually looks good but seeing aang gliding into the fire nation in the first trailer worries me i dont recall that in book</v>
      </c>
      <c r="D2740">
        <v>0</v>
      </c>
      <c r="E2740">
        <v>1</v>
      </c>
      <c r="F2740" t="s">
        <v>0</v>
      </c>
      <c r="G2740" t="str" cm="1">
        <f t="array" ref="G2740" xml:space="preserve"> FindCountryName(F2740)</f>
        <v>None</v>
      </c>
      <c r="H2740" s="1">
        <v>45264.738043981481</v>
      </c>
      <c r="I2740" s="1">
        <v>45264.738043981481</v>
      </c>
      <c r="J2740" s="1">
        <v>42341.845312500001</v>
      </c>
      <c r="K2740" cm="1">
        <f t="array" ref="K2740" xml:space="preserve"> sentimentCalc(C2740)</f>
        <v>5</v>
      </c>
      <c r="L2740" t="str" cm="1">
        <f t="array" ref="L2740" xml:space="preserve"> sentimentCategory(K2740)</f>
        <v>Positive</v>
      </c>
    </row>
    <row r="2741" spans="1:12">
      <c r="A2741" t="s">
        <v>1258</v>
      </c>
      <c r="B2741" t="s">
        <v>1257</v>
      </c>
      <c r="C2741" t="str" cm="1">
        <f t="array" ref="C2741" xml:space="preserve"> CleanText(B2741)</f>
        <v>i dont like the way katara looks nor soka is that just me</v>
      </c>
      <c r="D2741">
        <v>0</v>
      </c>
      <c r="E2741">
        <v>0</v>
      </c>
      <c r="F2741" t="s">
        <v>0</v>
      </c>
      <c r="G2741" t="str" cm="1">
        <f t="array" ref="G2741" xml:space="preserve"> FindCountryName(F2741)</f>
        <v>None</v>
      </c>
      <c r="H2741" s="1">
        <v>45264.730624999997</v>
      </c>
      <c r="I2741" s="1">
        <v>45264.730624999997</v>
      </c>
      <c r="J2741" s="1">
        <v>41340.474374999998</v>
      </c>
      <c r="K2741" cm="1">
        <f t="array" ref="K2741" xml:space="preserve"> sentimentCalc(C2741)</f>
        <v>2</v>
      </c>
      <c r="L2741" t="str" cm="1">
        <f t="array" ref="L2741" xml:space="preserve"> sentimentCategory(K2741)</f>
        <v>Positive</v>
      </c>
    </row>
    <row r="2742" spans="1:12">
      <c r="A2742" t="s">
        <v>865</v>
      </c>
      <c r="B2742" t="s">
        <v>1256</v>
      </c>
      <c r="C2742" t="str" cm="1">
        <f t="array" ref="C2742" xml:space="preserve"> CleanText(B2742)</f>
        <v>didnt get to see any real bendingfighting hope its not cringe like last time</v>
      </c>
      <c r="D2742">
        <v>0</v>
      </c>
      <c r="E2742">
        <v>0</v>
      </c>
      <c r="F2742" t="s">
        <v>0</v>
      </c>
      <c r="G2742" t="str" cm="1">
        <f t="array" ref="G2742" xml:space="preserve"> FindCountryName(F2742)</f>
        <v>None</v>
      </c>
      <c r="H2742" s="1">
        <v>45264.72896990741</v>
      </c>
      <c r="I2742" s="1">
        <v>45264.72896990741</v>
      </c>
      <c r="J2742" s="1">
        <v>41038.279733796298</v>
      </c>
      <c r="K2742" cm="1">
        <f t="array" ref="K2742" xml:space="preserve"> sentimentCalc(C2742)</f>
        <v>4</v>
      </c>
      <c r="L2742" t="str" cm="1">
        <f t="array" ref="L2742" xml:space="preserve"> sentimentCategory(K2742)</f>
        <v>Positive</v>
      </c>
    </row>
    <row r="2743" spans="1:12">
      <c r="A2743" t="s">
        <v>6</v>
      </c>
      <c r="B2743" t="s">
        <v>1255</v>
      </c>
      <c r="C2743" t="str" cm="1">
        <f t="array" ref="C2743" xml:space="preserve"> CleanText(B2743)</f>
        <v>00 next game of thrones</v>
      </c>
      <c r="D2743">
        <v>0</v>
      </c>
      <c r="E2743">
        <v>0</v>
      </c>
      <c r="F2743" t="s">
        <v>0</v>
      </c>
      <c r="G2743" t="str" cm="1">
        <f t="array" ref="G2743" xml:space="preserve"> FindCountryName(F2743)</f>
        <v>None</v>
      </c>
      <c r="H2743" s="1">
        <v>45264.701909722222</v>
      </c>
      <c r="I2743" s="1">
        <v>45264.701909722222</v>
      </c>
      <c r="J2743" s="1">
        <v>44685.995046296295</v>
      </c>
      <c r="K2743" cm="1">
        <f t="array" ref="K2743" xml:space="preserve"> sentimentCalc(C2743)</f>
        <v>0</v>
      </c>
      <c r="L2743" t="str" cm="1">
        <f t="array" ref="L2743" xml:space="preserve"> sentimentCategory(K2743)</f>
        <v>Neutral</v>
      </c>
    </row>
    <row r="2744" spans="1:12">
      <c r="A2744" t="s">
        <v>1254</v>
      </c>
      <c r="B2744" t="s">
        <v>1253</v>
      </c>
      <c r="C2744" t="str" cm="1">
        <f t="array" ref="C2744" xml:space="preserve"> CleanText(B2744)</f>
        <v>this actually looks kinda good</v>
      </c>
      <c r="D2744">
        <v>0</v>
      </c>
      <c r="E2744">
        <v>0</v>
      </c>
      <c r="F2744" t="s">
        <v>0</v>
      </c>
      <c r="G2744" t="str" cm="1">
        <f t="array" ref="G2744" xml:space="preserve"> FindCountryName(F2744)</f>
        <v>None</v>
      </c>
      <c r="H2744" s="1">
        <v>45264.687650462962</v>
      </c>
      <c r="I2744" s="1">
        <v>45264.687650462962</v>
      </c>
      <c r="J2744" s="1">
        <v>38817.82135416667</v>
      </c>
      <c r="K2744" cm="1">
        <f t="array" ref="K2744" xml:space="preserve"> sentimentCalc(C2744)</f>
        <v>3</v>
      </c>
      <c r="L2744" t="str" cm="1">
        <f t="array" ref="L2744" xml:space="preserve"> sentimentCategory(K2744)</f>
        <v>Positive</v>
      </c>
    </row>
    <row r="2745" spans="1:12">
      <c r="A2745" t="s">
        <v>830</v>
      </c>
      <c r="B2745" t="s">
        <v>1252</v>
      </c>
      <c r="C2745" t="str" cm="1">
        <f t="array" ref="C2745" xml:space="preserve"> CleanText(B2745)</f>
        <v>chumlee has iroh gj netflix</v>
      </c>
      <c r="D2745">
        <v>0</v>
      </c>
      <c r="E2745">
        <v>0</v>
      </c>
      <c r="F2745" t="s">
        <v>0</v>
      </c>
      <c r="G2745" t="str" cm="1">
        <f t="array" ref="G2745" xml:space="preserve"> FindCountryName(F2745)</f>
        <v>None</v>
      </c>
      <c r="H2745" s="1">
        <v>45264.685081018521</v>
      </c>
      <c r="I2745" s="1">
        <v>45264.685081018521</v>
      </c>
      <c r="J2745" s="1">
        <v>41269.624432870369</v>
      </c>
      <c r="K2745" cm="1">
        <f t="array" ref="K2745" xml:space="preserve"> sentimentCalc(C2745)</f>
        <v>0</v>
      </c>
      <c r="L2745" t="str" cm="1">
        <f t="array" ref="L2745" xml:space="preserve"> sentimentCategory(K2745)</f>
        <v>Neutral</v>
      </c>
    </row>
    <row r="2746" spans="1:12">
      <c r="A2746" t="s">
        <v>86</v>
      </c>
      <c r="B2746" t="s">
        <v>1251</v>
      </c>
      <c r="C2746" t="str" cm="1">
        <f t="array" ref="C2746" xml:space="preserve"> CleanText(B2746)</f>
        <v>menos mal ya daba cringe que al avatar lo interpretara una nia gorda calva</v>
      </c>
      <c r="D2746">
        <v>0</v>
      </c>
      <c r="E2746">
        <v>0</v>
      </c>
      <c r="F2746" t="s">
        <v>1250</v>
      </c>
      <c r="G2746" t="str" cm="1">
        <f t="array" ref="G2746" xml:space="preserve"> FindCountryName(F2746)</f>
        <v>Argentina</v>
      </c>
      <c r="H2746" s="1">
        <v>45264.659386574072</v>
      </c>
      <c r="I2746" s="1">
        <v>45264.659386574072</v>
      </c>
      <c r="J2746" s="1">
        <v>43304.940266203703</v>
      </c>
      <c r="K2746" cm="1">
        <f t="array" ref="K2746" xml:space="preserve"> sentimentCalc(C2746)</f>
        <v>0</v>
      </c>
      <c r="L2746" t="str" cm="1">
        <f t="array" ref="L2746" xml:space="preserve"> sentimentCategory(K2746)</f>
        <v>Neutral</v>
      </c>
    </row>
    <row r="2747" spans="1:12">
      <c r="A2747" t="s">
        <v>6</v>
      </c>
      <c r="B2747" t="s">
        <v>1249</v>
      </c>
      <c r="C2747" t="str" cm="1">
        <f t="array" ref="C2747" xml:space="preserve"> CleanText(B2747)</f>
        <v>the worst thing that is associated with avatar series is nickelodeon imagine if it was more of a brutal anime to begin with nobody would talk about dbz or naruto period</v>
      </c>
      <c r="D2747">
        <v>1</v>
      </c>
      <c r="E2747">
        <v>0</v>
      </c>
      <c r="F2747" t="s">
        <v>0</v>
      </c>
      <c r="G2747" t="str" cm="1">
        <f t="array" ref="G2747" xml:space="preserve"> FindCountryName(F2747)</f>
        <v>None</v>
      </c>
      <c r="H2747" s="1">
        <v>45264.659131944441</v>
      </c>
      <c r="I2747" s="1">
        <v>45264.659131944441</v>
      </c>
      <c r="J2747" s="1">
        <v>44685.995046296295</v>
      </c>
      <c r="K2747" cm="1">
        <f t="array" ref="K2747" xml:space="preserve"> sentimentCalc(C2747)</f>
        <v>-3</v>
      </c>
      <c r="L2747" t="str" cm="1">
        <f t="array" ref="L2747" xml:space="preserve"> sentimentCategory(K2747)</f>
        <v>Negative</v>
      </c>
    </row>
    <row r="2748" spans="1:12">
      <c r="A2748" t="s">
        <v>72</v>
      </c>
      <c r="B2748" t="s">
        <v>1248</v>
      </c>
      <c r="C2748" t="str" cm="1">
        <f t="array" ref="C2748" xml:space="preserve"> CleanText(B2748)</f>
        <v>it looks amazing</v>
      </c>
      <c r="D2748">
        <v>0</v>
      </c>
      <c r="E2748">
        <v>0</v>
      </c>
      <c r="F2748" t="s">
        <v>0</v>
      </c>
      <c r="G2748" t="str" cm="1">
        <f t="array" ref="G2748" xml:space="preserve"> FindCountryName(F2748)</f>
        <v>None</v>
      </c>
      <c r="H2748" s="1">
        <v>45264.653483796297</v>
      </c>
      <c r="I2748" s="1">
        <v>45264.653483796297</v>
      </c>
      <c r="J2748" s="1">
        <v>45104.333252314813</v>
      </c>
      <c r="K2748" cm="1">
        <f t="array" ref="K2748" xml:space="preserve"> sentimentCalc(C2748)</f>
        <v>4</v>
      </c>
      <c r="L2748" t="str" cm="1">
        <f t="array" ref="L2748" xml:space="preserve"> sentimentCategory(K2748)</f>
        <v>Positive</v>
      </c>
    </row>
    <row r="2749" spans="1:12">
      <c r="A2749" t="s">
        <v>1247</v>
      </c>
      <c r="B2749" t="s">
        <v>1246</v>
      </c>
      <c r="C2749" t="str" cm="1">
        <f t="array" ref="C2749" xml:space="preserve"> CleanText(B2749)</f>
        <v>katara and  sokka doesnt look even remotely similar lol this is just another hollywood race swap to appease somebody</v>
      </c>
      <c r="D2749">
        <v>1</v>
      </c>
      <c r="E2749">
        <v>1</v>
      </c>
      <c r="F2749" t="s">
        <v>0</v>
      </c>
      <c r="G2749" t="str" cm="1">
        <f t="array" ref="G2749" xml:space="preserve"> FindCountryName(F2749)</f>
        <v>None</v>
      </c>
      <c r="H2749" s="1">
        <v>45264.653321759259</v>
      </c>
      <c r="I2749" s="1">
        <v>45264.653321759259</v>
      </c>
      <c r="J2749" s="1">
        <v>42622.856249999997</v>
      </c>
      <c r="K2749" cm="1">
        <f t="array" ref="K2749" xml:space="preserve"> sentimentCalc(C2749)</f>
        <v>2</v>
      </c>
      <c r="L2749" t="str" cm="1">
        <f t="array" ref="L2749" xml:space="preserve"> sentimentCategory(K2749)</f>
        <v>Positive</v>
      </c>
    </row>
    <row r="2750" spans="1:12">
      <c r="A2750" t="s">
        <v>1129</v>
      </c>
      <c r="B2750" t="s">
        <v>1245</v>
      </c>
      <c r="C2750" t="str" cm="1">
        <f t="array" ref="C2750" xml:space="preserve"> CleanText(B2750)</f>
        <v>thats great</v>
      </c>
      <c r="D2750">
        <v>0</v>
      </c>
      <c r="E2750">
        <v>0</v>
      </c>
      <c r="F2750" t="s">
        <v>0</v>
      </c>
      <c r="G2750" t="str" cm="1">
        <f t="array" ref="G2750" xml:space="preserve"> FindCountryName(F2750)</f>
        <v>None</v>
      </c>
      <c r="H2750" s="1">
        <v>45264.643553240741</v>
      </c>
      <c r="I2750" s="1">
        <v>45264.643553240741</v>
      </c>
      <c r="J2750" s="1">
        <v>45264.64266203704</v>
      </c>
      <c r="K2750" cm="1">
        <f t="array" ref="K2750" xml:space="preserve"> sentimentCalc(C2750)</f>
        <v>3</v>
      </c>
      <c r="L2750" t="str" cm="1">
        <f t="array" ref="L2750" xml:space="preserve"> sentimentCategory(K2750)</f>
        <v>Positive</v>
      </c>
    </row>
    <row r="2751" spans="1:12">
      <c r="A2751" t="s">
        <v>1244</v>
      </c>
      <c r="B2751" t="s">
        <v>1243</v>
      </c>
      <c r="C2751" t="str" cm="1">
        <f t="array" ref="C2751" xml:space="preserve"> CleanText(B2751)</f>
        <v>learning from our mistakes are wethis movie is brought to you by because tony learns from his mistakes</v>
      </c>
      <c r="D2751">
        <v>0</v>
      </c>
      <c r="E2751">
        <v>0</v>
      </c>
      <c r="F2751" t="s">
        <v>0</v>
      </c>
      <c r="G2751" t="str" cm="1">
        <f t="array" ref="G2751" xml:space="preserve"> FindCountryName(F2751)</f>
        <v>None</v>
      </c>
      <c r="H2751" s="1">
        <v>45264.637557870374</v>
      </c>
      <c r="I2751" s="1">
        <v>45264.637557870374</v>
      </c>
      <c r="J2751" s="1">
        <v>44176.33520833333</v>
      </c>
      <c r="K2751" cm="1">
        <f t="array" ref="K2751" xml:space="preserve"> sentimentCalc(C2751)</f>
        <v>-4</v>
      </c>
      <c r="L2751" t="str" cm="1">
        <f t="array" ref="L2751" xml:space="preserve"> sentimentCategory(K2751)</f>
        <v>Negative</v>
      </c>
    </row>
    <row r="2752" spans="1:12">
      <c r="A2752" t="s">
        <v>187</v>
      </c>
      <c r="B2752" t="s">
        <v>1242</v>
      </c>
      <c r="C2752" t="str" cm="1">
        <f t="array" ref="C2752" xml:space="preserve"> CleanText(B2752)</f>
        <v>it looks promising but the actor playing sokka looks more like the ember island players performer  i hope when they get to book three netflix will find someone that looks like the original sokka to be part of the ember island players</v>
      </c>
      <c r="D2752">
        <v>1</v>
      </c>
      <c r="E2752">
        <v>0</v>
      </c>
      <c r="F2752" t="s">
        <v>0</v>
      </c>
      <c r="G2752" t="str" cm="1">
        <f t="array" ref="G2752" xml:space="preserve"> FindCountryName(F2752)</f>
        <v>None</v>
      </c>
      <c r="H2752" s="1">
        <v>45264.620266203703</v>
      </c>
      <c r="I2752" s="1">
        <v>45264.620266203703</v>
      </c>
      <c r="J2752" s="1">
        <v>40681.048784722225</v>
      </c>
      <c r="K2752" cm="1">
        <f t="array" ref="K2752" xml:space="preserve"> sentimentCalc(C2752)</f>
        <v>6</v>
      </c>
      <c r="L2752" t="str" cm="1">
        <f t="array" ref="L2752" xml:space="preserve"> sentimentCategory(K2752)</f>
        <v>Positive</v>
      </c>
    </row>
    <row r="2753" spans="1:12">
      <c r="A2753" t="s">
        <v>539</v>
      </c>
      <c r="B2753" t="s">
        <v>1241</v>
      </c>
      <c r="C2753" t="str" cm="1">
        <f t="array" ref="C2753" xml:space="preserve"> CleanText(B2753)</f>
        <v>lets hope netflix doesnt ruin a good story this time</v>
      </c>
      <c r="D2753">
        <v>0</v>
      </c>
      <c r="E2753">
        <v>0</v>
      </c>
      <c r="F2753" t="s">
        <v>124</v>
      </c>
      <c r="G2753" t="str" cm="1">
        <f t="array" ref="G2753" xml:space="preserve"> FindCountryName(F2753)</f>
        <v>Brazil</v>
      </c>
      <c r="H2753" s="1">
        <v>45264.612314814818</v>
      </c>
      <c r="I2753" s="1">
        <v>45264.612314814818</v>
      </c>
      <c r="J2753" s="1">
        <v>39882.661030092589</v>
      </c>
      <c r="K2753" cm="1">
        <f t="array" ref="K2753" xml:space="preserve"> sentimentCalc(C2753)</f>
        <v>3</v>
      </c>
      <c r="L2753" t="str" cm="1">
        <f t="array" ref="L2753" xml:space="preserve"> sentimentCategory(K2753)</f>
        <v>Positive</v>
      </c>
    </row>
    <row r="2754" spans="1:12">
      <c r="A2754" t="s">
        <v>887</v>
      </c>
      <c r="B2754" t="s">
        <v>1240</v>
      </c>
      <c r="C2754" t="str" cm="1">
        <f t="array" ref="C2754" xml:space="preserve"> CleanText(B2754)</f>
        <v>im very disappointed that firelord ozai isnt played by mark hamill</v>
      </c>
      <c r="D2754">
        <v>0</v>
      </c>
      <c r="E2754">
        <v>1</v>
      </c>
      <c r="F2754" t="s">
        <v>0</v>
      </c>
      <c r="G2754" t="str" cm="1">
        <f t="array" ref="G2754" xml:space="preserve"> FindCountryName(F2754)</f>
        <v>None</v>
      </c>
      <c r="H2754" s="1">
        <v>45264.598854166667</v>
      </c>
      <c r="I2754" s="1">
        <v>45264.598854166667</v>
      </c>
      <c r="J2754" s="1">
        <v>41017.556990740741</v>
      </c>
      <c r="K2754" cm="1">
        <f t="array" ref="K2754" xml:space="preserve"> sentimentCalc(C2754)</f>
        <v>-2</v>
      </c>
      <c r="L2754" t="str" cm="1">
        <f t="array" ref="L2754" xml:space="preserve"> sentimentCategory(K2754)</f>
        <v>Negative</v>
      </c>
    </row>
    <row r="2755" spans="1:12">
      <c r="A2755" t="s">
        <v>329</v>
      </c>
      <c r="B2755" t="s">
        <v>1239</v>
      </c>
      <c r="C2755" t="str" cm="1">
        <f t="array" ref="C2755" xml:space="preserve"> CleanText(B2755)</f>
        <v>my name is ong</v>
      </c>
      <c r="D2755">
        <v>0</v>
      </c>
      <c r="E2755">
        <v>0</v>
      </c>
      <c r="F2755" t="s">
        <v>0</v>
      </c>
      <c r="G2755" t="str" cm="1">
        <f t="array" ref="G2755" xml:space="preserve"> FindCountryName(F2755)</f>
        <v>None</v>
      </c>
      <c r="H2755" s="1">
        <v>45264.575509259259</v>
      </c>
      <c r="I2755" s="1">
        <v>45264.575509259259</v>
      </c>
      <c r="J2755" s="1">
        <v>42076.503171296295</v>
      </c>
      <c r="K2755" cm="1">
        <f t="array" ref="K2755" xml:space="preserve"> sentimentCalc(C2755)</f>
        <v>0</v>
      </c>
      <c r="L2755" t="str" cm="1">
        <f t="array" ref="L2755" xml:space="preserve"> sentimentCategory(K2755)</f>
        <v>Neutral</v>
      </c>
    </row>
    <row r="2756" spans="1:12">
      <c r="A2756" t="s">
        <v>284</v>
      </c>
      <c r="B2756" t="s">
        <v>1238</v>
      </c>
      <c r="C2756" t="str" cm="1">
        <f t="array" ref="C2756" xml:space="preserve"> CleanText(B2756)</f>
        <v>ahhh sh here we go again</v>
      </c>
      <c r="D2756">
        <v>0</v>
      </c>
      <c r="E2756">
        <v>0</v>
      </c>
      <c r="F2756" t="s">
        <v>0</v>
      </c>
      <c r="G2756" t="str" cm="1">
        <f t="array" ref="G2756" xml:space="preserve"> FindCountryName(F2756)</f>
        <v>None</v>
      </c>
      <c r="H2756" s="1">
        <v>45264.558020833334</v>
      </c>
      <c r="I2756" s="1">
        <v>45264.558020833334</v>
      </c>
      <c r="J2756" s="1">
        <v>44077.198460648149</v>
      </c>
      <c r="K2756" cm="1">
        <f t="array" ref="K2756" xml:space="preserve"> sentimentCalc(C2756)</f>
        <v>0</v>
      </c>
      <c r="L2756" t="str" cm="1">
        <f t="array" ref="L2756" xml:space="preserve"> sentimentCategory(K2756)</f>
        <v>Neutral</v>
      </c>
    </row>
    <row r="2757" spans="1:12">
      <c r="A2757" t="s">
        <v>1237</v>
      </c>
      <c r="B2757" t="s">
        <v>1236</v>
      </c>
      <c r="C2757" t="str" cm="1">
        <f t="array" ref="C2757" xml:space="preserve"> CleanText(B2757)</f>
        <v>the monks named me oong</v>
      </c>
      <c r="D2757">
        <v>0</v>
      </c>
      <c r="E2757">
        <v>0</v>
      </c>
      <c r="F2757" t="s">
        <v>0</v>
      </c>
      <c r="G2757" t="str" cm="1">
        <f t="array" ref="G2757" xml:space="preserve"> FindCountryName(F2757)</f>
        <v>None</v>
      </c>
      <c r="H2757" s="1">
        <v>45264.46429398148</v>
      </c>
      <c r="I2757" s="1">
        <v>45264.46429398148</v>
      </c>
      <c r="J2757" s="1">
        <v>41252.574247685188</v>
      </c>
      <c r="K2757" cm="1">
        <f t="array" ref="K2757" xml:space="preserve"> sentimentCalc(C2757)</f>
        <v>0</v>
      </c>
      <c r="L2757" t="str" cm="1">
        <f t="array" ref="L2757" xml:space="preserve"> sentimentCategory(K2757)</f>
        <v>Neutral</v>
      </c>
    </row>
    <row r="2758" spans="1:12">
      <c r="A2758" t="s">
        <v>1235</v>
      </c>
      <c r="B2758" t="s">
        <v>1234</v>
      </c>
      <c r="C2758" t="str" cm="1">
        <f t="array" ref="C2758" xml:space="preserve"> CleanText(B2758)</f>
        <v>now if they would only do a naruto oneof epic measures</v>
      </c>
      <c r="D2758">
        <v>1</v>
      </c>
      <c r="E2758">
        <v>0</v>
      </c>
      <c r="F2758" t="s">
        <v>0</v>
      </c>
      <c r="G2758" t="str" cm="1">
        <f t="array" ref="G2758" xml:space="preserve"> FindCountryName(F2758)</f>
        <v>None</v>
      </c>
      <c r="H2758" s="1">
        <v>45264.444780092592</v>
      </c>
      <c r="I2758" s="1">
        <v>45264.444780092592</v>
      </c>
      <c r="J2758" s="1">
        <v>40398.773877314816</v>
      </c>
      <c r="K2758" cm="1">
        <f t="array" ref="K2758" xml:space="preserve"> sentimentCalc(C2758)</f>
        <v>0</v>
      </c>
      <c r="L2758" t="str" cm="1">
        <f t="array" ref="L2758" xml:space="preserve"> sentimentCategory(K2758)</f>
        <v>Neutral</v>
      </c>
    </row>
    <row r="2759" spans="1:12">
      <c r="A2759" t="s">
        <v>1233</v>
      </c>
      <c r="B2759" t="s">
        <v>1232</v>
      </c>
      <c r="C2759" t="str" cm="1">
        <f t="array" ref="C2759" xml:space="preserve"> CleanText(B2759)</f>
        <v>thank you for respecting the appearance of the characters _xDD7A_ omg this looks so perfect i cant waaiiiitt _xDE0D__xD83C_✨❤</v>
      </c>
      <c r="D2759">
        <v>2</v>
      </c>
      <c r="E2759">
        <v>1</v>
      </c>
      <c r="F2759" t="s">
        <v>0</v>
      </c>
      <c r="G2759" t="str" cm="1">
        <f t="array" ref="G2759" xml:space="preserve"> FindCountryName(F2759)</f>
        <v>None</v>
      </c>
      <c r="H2759" s="1">
        <v>45264.413043981483</v>
      </c>
      <c r="I2759" s="1">
        <v>45264.413043981483</v>
      </c>
      <c r="J2759" s="1">
        <v>42080.979212962964</v>
      </c>
      <c r="K2759" cm="1">
        <f t="array" ref="K2759" xml:space="preserve"> sentimentCalc(C2759)</f>
        <v>5</v>
      </c>
      <c r="L2759" t="str" cm="1">
        <f t="array" ref="L2759" xml:space="preserve"> sentimentCategory(K2759)</f>
        <v>Positive</v>
      </c>
    </row>
    <row r="2760" spans="1:12">
      <c r="A2760" t="s">
        <v>1231</v>
      </c>
      <c r="B2760" t="s">
        <v>1230</v>
      </c>
      <c r="C2760" t="str" cm="1">
        <f t="array" ref="C2760" xml:space="preserve"> CleanText(B2760)</f>
        <v>i hope they followed the series step by step would be amazing af</v>
      </c>
      <c r="D2760">
        <v>0</v>
      </c>
      <c r="E2760">
        <v>0</v>
      </c>
      <c r="F2760" t="s">
        <v>0</v>
      </c>
      <c r="G2760" t="str" cm="1">
        <f t="array" ref="G2760" xml:space="preserve"> FindCountryName(F2760)</f>
        <v>None</v>
      </c>
      <c r="H2760" s="1">
        <v>45264.396516203706</v>
      </c>
      <c r="I2760" s="1">
        <v>45264.396516203706</v>
      </c>
      <c r="J2760" s="1">
        <v>41613.733263888891</v>
      </c>
      <c r="K2760" cm="1">
        <f t="array" ref="K2760" xml:space="preserve"> sentimentCalc(C2760)</f>
        <v>6</v>
      </c>
      <c r="L2760" t="str" cm="1">
        <f t="array" ref="L2760" xml:space="preserve"> sentimentCategory(K2760)</f>
        <v>Positive</v>
      </c>
    </row>
    <row r="2761" spans="1:12">
      <c r="A2761" t="s">
        <v>86</v>
      </c>
      <c r="B2761" t="s">
        <v>1229</v>
      </c>
      <c r="C2761" t="str" cm="1">
        <f t="array" ref="C2761" xml:space="preserve"> CleanText(B2761)</f>
        <v>papyrus</v>
      </c>
      <c r="D2761">
        <v>0</v>
      </c>
      <c r="E2761">
        <v>0</v>
      </c>
      <c r="F2761" t="s">
        <v>0</v>
      </c>
      <c r="G2761" t="str" cm="1">
        <f t="array" ref="G2761" xml:space="preserve"> FindCountryName(F2761)</f>
        <v>None</v>
      </c>
      <c r="H2761" s="1">
        <v>45264.35460648148</v>
      </c>
      <c r="I2761" s="1">
        <v>45264.35460648148</v>
      </c>
      <c r="J2761" s="1">
        <v>42888.318495370368</v>
      </c>
      <c r="K2761" cm="1">
        <f t="array" ref="K2761" xml:space="preserve"> sentimentCalc(C2761)</f>
        <v>0</v>
      </c>
      <c r="L2761" t="str" cm="1">
        <f t="array" ref="L2761" xml:space="preserve"> sentimentCategory(K2761)</f>
        <v>Neutral</v>
      </c>
    </row>
    <row r="2762" spans="1:12">
      <c r="A2762" t="s">
        <v>763</v>
      </c>
      <c r="B2762" t="s">
        <v>1228</v>
      </c>
      <c r="C2762" t="str" cm="1">
        <f t="array" ref="C2762" xml:space="preserve"> CleanText(B2762)</f>
        <v>you better do this justice netflix you better</v>
      </c>
      <c r="D2762">
        <v>0</v>
      </c>
      <c r="E2762">
        <v>0</v>
      </c>
      <c r="F2762" t="s">
        <v>0</v>
      </c>
      <c r="G2762" t="str" cm="1">
        <f t="array" ref="G2762" xml:space="preserve"> FindCountryName(F2762)</f>
        <v>None</v>
      </c>
      <c r="H2762" s="1">
        <v>45264.342592592591</v>
      </c>
      <c r="I2762" s="1">
        <v>45264.342592592591</v>
      </c>
      <c r="J2762" s="1">
        <v>41574.024537037039</v>
      </c>
      <c r="K2762" cm="1">
        <f t="array" ref="K2762" xml:space="preserve"> sentimentCalc(C2762)</f>
        <v>6</v>
      </c>
      <c r="L2762" t="str" cm="1">
        <f t="array" ref="L2762" xml:space="preserve"> sentimentCategory(K2762)</f>
        <v>Positive</v>
      </c>
    </row>
    <row r="2763" spans="1:12">
      <c r="A2763" t="s">
        <v>108</v>
      </c>
      <c r="B2763" t="s">
        <v>1227</v>
      </c>
      <c r="C2763" t="str" cm="1">
        <f t="array" ref="C2763" xml:space="preserve"> CleanText(B2763)</f>
        <v>netflix is beginning to understand</v>
      </c>
      <c r="D2763">
        <v>0</v>
      </c>
      <c r="E2763">
        <v>0</v>
      </c>
      <c r="F2763" t="s">
        <v>0</v>
      </c>
      <c r="G2763" t="str" cm="1">
        <f t="array" ref="G2763" xml:space="preserve"> FindCountryName(F2763)</f>
        <v>None</v>
      </c>
      <c r="H2763" s="1">
        <v>45264.331631944442</v>
      </c>
      <c r="I2763" s="1">
        <v>45264.331631944442</v>
      </c>
      <c r="J2763" s="1">
        <v>41271.992511574077</v>
      </c>
      <c r="K2763" cm="1">
        <f t="array" ref="K2763" xml:space="preserve"> sentimentCalc(C2763)</f>
        <v>0</v>
      </c>
      <c r="L2763" t="str" cm="1">
        <f t="array" ref="L2763" xml:space="preserve"> sentimentCategory(K2763)</f>
        <v>Neutral</v>
      </c>
    </row>
    <row r="2764" spans="1:12">
      <c r="A2764" t="s">
        <v>1226</v>
      </c>
      <c r="B2764" t="s">
        <v>1225</v>
      </c>
      <c r="C2764" t="str" cm="1">
        <f t="array" ref="C2764" xml:space="preserve"> CleanText(B2764)</f>
        <v>pleaseplease</v>
      </c>
      <c r="D2764">
        <v>0</v>
      </c>
      <c r="E2764">
        <v>0</v>
      </c>
      <c r="F2764" t="s">
        <v>0</v>
      </c>
      <c r="G2764" t="str" cm="1">
        <f t="array" ref="G2764" xml:space="preserve"> FindCountryName(F2764)</f>
        <v>None</v>
      </c>
      <c r="H2764" s="1">
        <v>45264.323981481481</v>
      </c>
      <c r="I2764" s="1">
        <v>45264.323981481481</v>
      </c>
      <c r="J2764" s="1">
        <v>44985.968564814815</v>
      </c>
      <c r="K2764" cm="1">
        <f t="array" ref="K2764" xml:space="preserve"> sentimentCalc(C2764)</f>
        <v>0</v>
      </c>
      <c r="L2764" t="str" cm="1">
        <f t="array" ref="L2764" xml:space="preserve"> sentimentCategory(K2764)</f>
        <v>Neutral</v>
      </c>
    </row>
    <row r="2765" spans="1:12">
      <c r="A2765" t="s">
        <v>1224</v>
      </c>
      <c r="B2765" t="s">
        <v>1223</v>
      </c>
      <c r="C2765" t="str" cm="1">
        <f t="array" ref="C2765" xml:space="preserve"> CleanText(B2765)</f>
        <v>lets just hope its be the exact opposite of the last airbender movie lol</v>
      </c>
      <c r="D2765">
        <v>0</v>
      </c>
      <c r="E2765">
        <v>0</v>
      </c>
      <c r="F2765" t="s">
        <v>0</v>
      </c>
      <c r="G2765" t="str" cm="1">
        <f t="array" ref="G2765" xml:space="preserve"> FindCountryName(F2765)</f>
        <v>None</v>
      </c>
      <c r="H2765" s="1">
        <v>45264.321226851855</v>
      </c>
      <c r="I2765" s="1">
        <v>45264.321226851855</v>
      </c>
      <c r="J2765" s="1">
        <v>40554.262442129628</v>
      </c>
      <c r="K2765" cm="1">
        <f t="array" ref="K2765" xml:space="preserve"> sentimentCalc(C2765)</f>
        <v>2</v>
      </c>
      <c r="L2765" t="str" cm="1">
        <f t="array" ref="L2765" xml:space="preserve"> sentimentCategory(K2765)</f>
        <v>Positive</v>
      </c>
    </row>
    <row r="2766" spans="1:12">
      <c r="A2766" t="s">
        <v>123</v>
      </c>
      <c r="B2766" t="s">
        <v>1222</v>
      </c>
      <c r="C2766" t="str" cm="1">
        <f t="array" ref="C2766" xml:space="preserve"> CleanText(B2766)</f>
        <v>no full indian representation  no  men for growing a stone</v>
      </c>
      <c r="D2766">
        <v>1</v>
      </c>
      <c r="E2766">
        <v>0</v>
      </c>
      <c r="F2766" t="s">
        <v>0</v>
      </c>
      <c r="G2766" t="str" cm="1">
        <f t="array" ref="G2766" xml:space="preserve"> FindCountryName(F2766)</f>
        <v>None</v>
      </c>
      <c r="H2766" s="1">
        <v>45264.30028935185</v>
      </c>
      <c r="I2766" s="1">
        <v>45264.30028935185</v>
      </c>
      <c r="J2766" s="1">
        <v>42768.063402777778</v>
      </c>
      <c r="K2766" cm="1">
        <f t="array" ref="K2766" xml:space="preserve"> sentimentCalc(C2766)</f>
        <v>-1</v>
      </c>
      <c r="L2766" t="str" cm="1">
        <f t="array" ref="L2766" xml:space="preserve"> sentimentCategory(K2766)</f>
        <v>Negative</v>
      </c>
    </row>
    <row r="2767" spans="1:12">
      <c r="A2767" t="s">
        <v>1221</v>
      </c>
      <c r="B2767" t="s">
        <v>1220</v>
      </c>
      <c r="C2767" t="str" cm="1">
        <f t="array" ref="C2767" xml:space="preserve"> CleanText(B2767)</f>
        <v>netflix please do this justice    long time coming     havent seen this show in ages</v>
      </c>
      <c r="D2767">
        <v>0</v>
      </c>
      <c r="E2767">
        <v>0</v>
      </c>
      <c r="F2767" t="s">
        <v>0</v>
      </c>
      <c r="G2767" t="str" cm="1">
        <f t="array" ref="G2767" xml:space="preserve"> FindCountryName(F2767)</f>
        <v>None</v>
      </c>
      <c r="H2767" s="1">
        <v>45264.299942129626</v>
      </c>
      <c r="I2767" s="1">
        <v>45264.299942129626</v>
      </c>
      <c r="J2767" s="1">
        <v>44428.431840277779</v>
      </c>
      <c r="K2767" cm="1">
        <f t="array" ref="K2767" xml:space="preserve"> sentimentCalc(C2767)</f>
        <v>3</v>
      </c>
      <c r="L2767" t="str" cm="1">
        <f t="array" ref="L2767" xml:space="preserve"> sentimentCategory(K2767)</f>
        <v>Positive</v>
      </c>
    </row>
    <row r="2768" spans="1:12">
      <c r="A2768" t="s">
        <v>308</v>
      </c>
      <c r="B2768" t="s">
        <v>1219</v>
      </c>
      <c r="C2768" t="str" cm="1">
        <f t="array" ref="C2768" xml:space="preserve"> CleanText(B2768)</f>
        <v>i hope they release the episodes weekly makes things rare and it wont be forgotten within one week</v>
      </c>
      <c r="D2768">
        <v>3</v>
      </c>
      <c r="E2768">
        <v>0</v>
      </c>
      <c r="F2768" t="s">
        <v>0</v>
      </c>
      <c r="G2768" t="str" cm="1">
        <f t="array" ref="G2768" xml:space="preserve"> FindCountryName(F2768)</f>
        <v>None</v>
      </c>
      <c r="H2768" s="1">
        <v>45264.296956018516</v>
      </c>
      <c r="I2768" s="1">
        <v>45264.296956018516</v>
      </c>
      <c r="J2768" s="1">
        <v>40136.608043981483</v>
      </c>
      <c r="K2768" cm="1">
        <f t="array" ref="K2768" xml:space="preserve"> sentimentCalc(C2768)</f>
        <v>1</v>
      </c>
      <c r="L2768" t="str" cm="1">
        <f t="array" ref="L2768" xml:space="preserve"> sentimentCategory(K2768)</f>
        <v>Positive</v>
      </c>
    </row>
    <row r="2769" spans="1:12">
      <c r="A2769" t="s">
        <v>445</v>
      </c>
      <c r="B2769" t="s">
        <v>1218</v>
      </c>
      <c r="C2769" t="str" cm="1">
        <f t="array" ref="C2769" xml:space="preserve"> CleanText(B2769)</f>
        <v>the fact that sokka and katara are black in cartoon version now its hollywood</v>
      </c>
      <c r="D2769">
        <v>0</v>
      </c>
      <c r="E2769">
        <v>1</v>
      </c>
      <c r="F2769" t="s">
        <v>0</v>
      </c>
      <c r="G2769" t="str" cm="1">
        <f t="array" ref="G2769" xml:space="preserve"> FindCountryName(F2769)</f>
        <v>None</v>
      </c>
      <c r="H2769" s="1">
        <v>45264.269525462965</v>
      </c>
      <c r="I2769" s="1">
        <v>45264.269525462965</v>
      </c>
      <c r="J2769" s="1">
        <v>43472.39984953704</v>
      </c>
      <c r="K2769" cm="1">
        <f t="array" ref="K2769" xml:space="preserve"> sentimentCalc(C2769)</f>
        <v>0</v>
      </c>
      <c r="L2769" t="str" cm="1">
        <f t="array" ref="L2769" xml:space="preserve"> sentimentCategory(K2769)</f>
        <v>Neutral</v>
      </c>
    </row>
    <row r="2770" spans="1:12">
      <c r="A2770" t="s">
        <v>1217</v>
      </c>
      <c r="B2770" t="s">
        <v>1216</v>
      </c>
      <c r="C2770" t="str" cm="1">
        <f t="array" ref="C2770" xml:space="preserve"> CleanText(B2770)</f>
        <v>momo  we all know the cgi will be crap but i hope it will not be like the movie a disgrace i loved the show so much its one of the most powerful i saw when i was a kid and i loved korra even more for the more seriousgrown up ambiance  the show is so great they will never top it the animation give more freedom but i hope it will at least be fun to watch and not another useless adaptation without a soul</v>
      </c>
      <c r="D2770">
        <v>0</v>
      </c>
      <c r="E2770">
        <v>0</v>
      </c>
      <c r="F2770" t="s">
        <v>0</v>
      </c>
      <c r="G2770" t="str" cm="1">
        <f t="array" ref="G2770" xml:space="preserve"> FindCountryName(F2770)</f>
        <v>None</v>
      </c>
      <c r="H2770" s="1">
        <v>45264.266805555555</v>
      </c>
      <c r="I2770" s="1">
        <v>45264.266805555555</v>
      </c>
      <c r="J2770" s="1">
        <v>40876.664756944447</v>
      </c>
      <c r="K2770" cm="1">
        <f t="array" ref="K2770" xml:space="preserve"> sentimentCalc(C2770)</f>
        <v>18</v>
      </c>
      <c r="L2770" t="str" cm="1">
        <f t="array" ref="L2770" xml:space="preserve"> sentimentCategory(K2770)</f>
        <v>Positive</v>
      </c>
    </row>
    <row r="2771" spans="1:12">
      <c r="A2771" t="s">
        <v>566</v>
      </c>
      <c r="B2771" t="s">
        <v>1215</v>
      </c>
      <c r="C2771" t="str" cm="1">
        <f t="array" ref="C2771" xml:space="preserve"> CleanText(B2771)</f>
        <v>please the participation of the cabbage seller is so necessary _xDE02_</v>
      </c>
      <c r="D2771">
        <v>0</v>
      </c>
      <c r="E2771">
        <v>1</v>
      </c>
      <c r="F2771" t="s">
        <v>0</v>
      </c>
      <c r="G2771" t="str" cm="1">
        <f t="array" ref="G2771" xml:space="preserve"> FindCountryName(F2771)</f>
        <v>None</v>
      </c>
      <c r="H2771" s="1">
        <v>45264.264965277776</v>
      </c>
      <c r="I2771" s="1">
        <v>45264.265787037039</v>
      </c>
      <c r="J2771" s="1">
        <v>41589.809884259259</v>
      </c>
      <c r="K2771" cm="1">
        <f t="array" ref="K2771" xml:space="preserve"> sentimentCalc(C2771)</f>
        <v>1</v>
      </c>
      <c r="L2771" t="str" cm="1">
        <f t="array" ref="L2771" xml:space="preserve"> sentimentCategory(K2771)</f>
        <v>Positive</v>
      </c>
    </row>
    <row r="2772" spans="1:12">
      <c r="A2772" t="s">
        <v>284</v>
      </c>
      <c r="B2772" t="s">
        <v>1214</v>
      </c>
      <c r="C2772" t="str" cm="1">
        <f t="array" ref="C2772" xml:space="preserve"> CleanText(B2772)</f>
        <v>please do not f this up_xDE4F_</v>
      </c>
      <c r="D2772">
        <v>0</v>
      </c>
      <c r="E2772">
        <v>0</v>
      </c>
      <c r="F2772" t="s">
        <v>0</v>
      </c>
      <c r="G2772" t="str" cm="1">
        <f t="array" ref="G2772" xml:space="preserve"> FindCountryName(F2772)</f>
        <v>None</v>
      </c>
      <c r="H2772" s="1">
        <v>45264.239930555559</v>
      </c>
      <c r="I2772" s="1">
        <v>45264.239930555559</v>
      </c>
      <c r="J2772" s="1">
        <v>40566.327280092592</v>
      </c>
      <c r="K2772" cm="1">
        <f t="array" ref="K2772" xml:space="preserve"> sentimentCalc(C2772)</f>
        <v>1</v>
      </c>
      <c r="L2772" t="str" cm="1">
        <f t="array" ref="L2772" xml:space="preserve"> sentimentCategory(K2772)</f>
        <v>Positive</v>
      </c>
    </row>
    <row r="2773" spans="1:12">
      <c r="A2773" t="s">
        <v>1213</v>
      </c>
      <c r="B2773" t="s">
        <v>1212</v>
      </c>
      <c r="C2773" t="str" cm="1">
        <f t="array" ref="C2773" xml:space="preserve"> CleanText(B2773)</f>
        <v>please dont stuff this up keep hollywoke and marvel madness out of this</v>
      </c>
      <c r="D2773">
        <v>0</v>
      </c>
      <c r="E2773">
        <v>1</v>
      </c>
      <c r="F2773" t="s">
        <v>0</v>
      </c>
      <c r="G2773" t="str" cm="1">
        <f t="array" ref="G2773" xml:space="preserve"> FindCountryName(F2773)</f>
        <v>None</v>
      </c>
      <c r="H2773" s="1">
        <v>45264.230682870373</v>
      </c>
      <c r="I2773" s="1">
        <v>45264.230682870373</v>
      </c>
      <c r="J2773" s="1">
        <v>40997.317002314812</v>
      </c>
      <c r="K2773" cm="1">
        <f t="array" ref="K2773" xml:space="preserve"> sentimentCalc(C2773)</f>
        <v>1</v>
      </c>
      <c r="L2773" t="str" cm="1">
        <f t="array" ref="L2773" xml:space="preserve"> sentimentCategory(K2773)</f>
        <v>Positive</v>
      </c>
    </row>
    <row r="2774" spans="1:12">
      <c r="A2774" t="s">
        <v>830</v>
      </c>
      <c r="B2774" t="s">
        <v>1211</v>
      </c>
      <c r="C2774" t="str" cm="1">
        <f t="array" ref="C2774" xml:space="preserve"> CleanText(B2774)</f>
        <v>take ma moneyyy</v>
      </c>
      <c r="D2774">
        <v>0</v>
      </c>
      <c r="E2774">
        <v>0</v>
      </c>
      <c r="F2774" t="s">
        <v>0</v>
      </c>
      <c r="G2774" t="str" cm="1">
        <f t="array" ref="G2774" xml:space="preserve"> FindCountryName(F2774)</f>
        <v>None</v>
      </c>
      <c r="H2774" s="1">
        <v>45264.20826388889</v>
      </c>
      <c r="I2774" s="1">
        <v>45264.20826388889</v>
      </c>
      <c r="J2774" s="1">
        <v>44351.491967592592</v>
      </c>
      <c r="K2774" cm="1">
        <f t="array" ref="K2774" xml:space="preserve"> sentimentCalc(C2774)</f>
        <v>0</v>
      </c>
      <c r="L2774" t="str" cm="1">
        <f t="array" ref="L2774" xml:space="preserve"> sentimentCategory(K2774)</f>
        <v>Neutral</v>
      </c>
    </row>
    <row r="2775" spans="1:12">
      <c r="A2775" t="s">
        <v>483</v>
      </c>
      <c r="B2775" t="s">
        <v>1210</v>
      </c>
      <c r="C2775" t="str" cm="1">
        <f t="array" ref="C2775" xml:space="preserve"> CleanText(B2775)</f>
        <v>total misscast</v>
      </c>
      <c r="D2775">
        <v>0</v>
      </c>
      <c r="E2775">
        <v>1</v>
      </c>
      <c r="F2775" t="s">
        <v>0</v>
      </c>
      <c r="G2775" t="str" cm="1">
        <f t="array" ref="G2775" xml:space="preserve"> FindCountryName(F2775)</f>
        <v>None</v>
      </c>
      <c r="H2775" s="1">
        <v>45264.204340277778</v>
      </c>
      <c r="I2775" s="1">
        <v>45264.204340277778</v>
      </c>
      <c r="J2775" s="1">
        <v>44139.451898148145</v>
      </c>
      <c r="K2775" cm="1">
        <f t="array" ref="K2775" xml:space="preserve"> sentimentCalc(C2775)</f>
        <v>0</v>
      </c>
      <c r="L2775" t="str" cm="1">
        <f t="array" ref="L2775" xml:space="preserve"> sentimentCategory(K2775)</f>
        <v>Neutral</v>
      </c>
    </row>
    <row r="2776" spans="1:12">
      <c r="A2776" t="s">
        <v>1209</v>
      </c>
      <c r="B2776" t="s">
        <v>1208</v>
      </c>
      <c r="C2776" t="str" cm="1">
        <f t="array" ref="C2776" xml:space="preserve"> CleanText(B2776)</f>
        <v>please be great</v>
      </c>
      <c r="D2776">
        <v>0</v>
      </c>
      <c r="E2776">
        <v>0</v>
      </c>
      <c r="F2776" t="s">
        <v>0</v>
      </c>
      <c r="G2776" t="str" cm="1">
        <f t="array" ref="G2776" xml:space="preserve"> FindCountryName(F2776)</f>
        <v>None</v>
      </c>
      <c r="H2776" s="1">
        <v>45264.167337962965</v>
      </c>
      <c r="I2776" s="1">
        <v>45264.167337962965</v>
      </c>
      <c r="J2776" s="1">
        <v>39243.370879629627</v>
      </c>
      <c r="K2776" cm="1">
        <f t="array" ref="K2776" xml:space="preserve"> sentimentCalc(C2776)</f>
        <v>4</v>
      </c>
      <c r="L2776" t="str" cm="1">
        <f t="array" ref="L2776" xml:space="preserve"> sentimentCategory(K2776)</f>
        <v>Positive</v>
      </c>
    </row>
    <row r="2777" spans="1:12">
      <c r="A2777" t="s">
        <v>821</v>
      </c>
      <c r="B2777" t="s">
        <v>1207</v>
      </c>
      <c r="C2777" t="str" cm="1">
        <f t="array" ref="C2777" xml:space="preserve"> CleanText(B2777)</f>
        <v>this could be just as good as one piece can they do a dragonball one too</v>
      </c>
      <c r="D2777">
        <v>0</v>
      </c>
      <c r="E2777">
        <v>0</v>
      </c>
      <c r="F2777" t="s">
        <v>0</v>
      </c>
      <c r="G2777" t="str" cm="1">
        <f t="array" ref="G2777" xml:space="preserve"> FindCountryName(F2777)</f>
        <v>None</v>
      </c>
      <c r="H2777" s="1">
        <v>45264.148518518516</v>
      </c>
      <c r="I2777" s="1">
        <v>45264.148518518516</v>
      </c>
      <c r="J2777" s="1">
        <v>40827.204305555555</v>
      </c>
      <c r="K2777" cm="1">
        <f t="array" ref="K2777" xml:space="preserve"> sentimentCalc(C2777)</f>
        <v>3</v>
      </c>
      <c r="L2777" t="str" cm="1">
        <f t="array" ref="L2777" xml:space="preserve"> sentimentCategory(K2777)</f>
        <v>Positive</v>
      </c>
    </row>
    <row r="2778" spans="1:12">
      <c r="A2778" t="s">
        <v>1206</v>
      </c>
      <c r="B2778" t="s">
        <v>1205</v>
      </c>
      <c r="C2778" t="str" cm="1">
        <f t="array" ref="C2778" xml:space="preserve"> CleanText(B2778)</f>
        <v>they remade it in fully chinese version</v>
      </c>
      <c r="D2778">
        <v>0</v>
      </c>
      <c r="E2778">
        <v>0</v>
      </c>
      <c r="F2778" t="s">
        <v>0</v>
      </c>
      <c r="G2778" t="str" cm="1">
        <f t="array" ref="G2778" xml:space="preserve"> FindCountryName(F2778)</f>
        <v>None</v>
      </c>
      <c r="H2778" s="1">
        <v>45264.101261574076</v>
      </c>
      <c r="I2778" s="1">
        <v>45264.1015162037</v>
      </c>
      <c r="J2778" s="1">
        <v>42436.084861111114</v>
      </c>
      <c r="K2778" cm="1">
        <f t="array" ref="K2778" xml:space="preserve"> sentimentCalc(C2778)</f>
        <v>0</v>
      </c>
      <c r="L2778" t="str" cm="1">
        <f t="array" ref="L2778" xml:space="preserve"> sentimentCategory(K2778)</f>
        <v>Neutral</v>
      </c>
    </row>
    <row r="2779" spans="1:12">
      <c r="A2779" t="s">
        <v>1204</v>
      </c>
      <c r="B2779" t="s">
        <v>1203</v>
      </c>
      <c r="C2779" t="str" cm="1">
        <f t="array" ref="C2779" xml:space="preserve"> CleanText(B2779)</f>
        <v>finally its here _xDDF5_</v>
      </c>
      <c r="D2779">
        <v>0</v>
      </c>
      <c r="E2779">
        <v>0</v>
      </c>
      <c r="F2779" t="s">
        <v>1202</v>
      </c>
      <c r="G2779" t="str" cm="1">
        <f t="array" ref="G2779" xml:space="preserve"> FindCountryName(F2779)</f>
        <v>Pakistan</v>
      </c>
      <c r="H2779" s="1">
        <v>45264.092245370368</v>
      </c>
      <c r="I2779" s="1">
        <v>45264.092245370368</v>
      </c>
      <c r="J2779" s="1">
        <v>42396.967233796298</v>
      </c>
      <c r="K2779" cm="1">
        <f t="array" ref="K2779" xml:space="preserve"> sentimentCalc(C2779)</f>
        <v>0</v>
      </c>
      <c r="L2779" t="str" cm="1">
        <f t="array" ref="L2779" xml:space="preserve"> sentimentCategory(K2779)</f>
        <v>Neutral</v>
      </c>
    </row>
    <row r="2780" spans="1:12">
      <c r="A2780" t="s">
        <v>223</v>
      </c>
      <c r="B2780" t="s">
        <v>1201</v>
      </c>
      <c r="C2780" t="str" cm="1">
        <f t="array" ref="C2780" xml:space="preserve"> CleanText(B2780)</f>
        <v>appa yip yip</v>
      </c>
      <c r="D2780">
        <v>0</v>
      </c>
      <c r="E2780">
        <v>0</v>
      </c>
      <c r="F2780" t="s">
        <v>0</v>
      </c>
      <c r="G2780" t="str" cm="1">
        <f t="array" ref="G2780" xml:space="preserve"> FindCountryName(F2780)</f>
        <v>None</v>
      </c>
      <c r="H2780" s="1">
        <v>45263.98841435185</v>
      </c>
      <c r="I2780" s="1">
        <v>45263.98841435185</v>
      </c>
      <c r="J2780" s="1">
        <v>41443.567708333336</v>
      </c>
      <c r="K2780" cm="1">
        <f t="array" ref="K2780" xml:space="preserve"> sentimentCalc(C2780)</f>
        <v>0</v>
      </c>
      <c r="L2780" t="str" cm="1">
        <f t="array" ref="L2780" xml:space="preserve"> sentimentCategory(K2780)</f>
        <v>Neutral</v>
      </c>
    </row>
    <row r="2781" spans="1:12">
      <c r="A2781" t="s">
        <v>1200</v>
      </c>
      <c r="B2781" t="s">
        <v>1199</v>
      </c>
      <c r="C2781" t="str" cm="1">
        <f t="array" ref="C2781" xml:space="preserve"> CleanText(B2781)</f>
        <v>overall it looks really goodjust one question why sokka and katara are white</v>
      </c>
      <c r="D2781">
        <v>0</v>
      </c>
      <c r="E2781">
        <v>2</v>
      </c>
      <c r="F2781" t="s">
        <v>0</v>
      </c>
      <c r="G2781" t="str" cm="1">
        <f t="array" ref="G2781" xml:space="preserve"> FindCountryName(F2781)</f>
        <v>None</v>
      </c>
      <c r="H2781" s="1">
        <v>45263.980555555558</v>
      </c>
      <c r="I2781" s="1">
        <v>45263.980555555558</v>
      </c>
      <c r="J2781" s="1">
        <v>44719.855046296296</v>
      </c>
      <c r="K2781" cm="1">
        <f t="array" ref="K2781" xml:space="preserve"> sentimentCalc(C2781)</f>
        <v>0</v>
      </c>
      <c r="L2781" t="str" cm="1">
        <f t="array" ref="L2781" xml:space="preserve"> sentimentCategory(K2781)</f>
        <v>Neutral</v>
      </c>
    </row>
    <row r="2782" spans="1:12">
      <c r="A2782" t="s">
        <v>1198</v>
      </c>
      <c r="B2782" t="s">
        <v>1197</v>
      </c>
      <c r="C2782" t="str" cm="1">
        <f t="array" ref="C2782" xml:space="preserve"> CleanText(B2782)</f>
        <v>ini baru live action aang avatar</v>
      </c>
      <c r="D2782">
        <v>0</v>
      </c>
      <c r="E2782">
        <v>0</v>
      </c>
      <c r="F2782" t="s">
        <v>633</v>
      </c>
      <c r="G2782" t="str" cm="1">
        <f t="array" ref="G2782" xml:space="preserve"> FindCountryName(F2782)</f>
        <v>Indonesia</v>
      </c>
      <c r="H2782" s="1">
        <v>45263.975300925929</v>
      </c>
      <c r="I2782" s="1">
        <v>45263.975300925929</v>
      </c>
      <c r="J2782" s="1">
        <v>40921.327974537038</v>
      </c>
      <c r="K2782" cm="1">
        <f t="array" ref="K2782" xml:space="preserve"> sentimentCalc(C2782)</f>
        <v>0</v>
      </c>
      <c r="L2782" t="str" cm="1">
        <f t="array" ref="L2782" xml:space="preserve"> sentimentCategory(K2782)</f>
        <v>Neutral</v>
      </c>
    </row>
    <row r="2783" spans="1:12">
      <c r="A2783" t="s">
        <v>144</v>
      </c>
      <c r="B2783" t="s">
        <v>1196</v>
      </c>
      <c r="C2783" t="str" cm="1">
        <f t="array" ref="C2783" xml:space="preserve"> CleanText(B2783)</f>
        <v>where are the black people cant believe my favorite anime is getting yellowwashed_xD83D_</v>
      </c>
      <c r="D2783">
        <v>0</v>
      </c>
      <c r="E2783">
        <v>1</v>
      </c>
      <c r="F2783" t="s">
        <v>0</v>
      </c>
      <c r="G2783" t="str" cm="1">
        <f t="array" ref="G2783" xml:space="preserve"> FindCountryName(F2783)</f>
        <v>None</v>
      </c>
      <c r="H2783" s="1">
        <v>45263.973391203705</v>
      </c>
      <c r="I2783" s="1">
        <v>45263.973391203705</v>
      </c>
      <c r="J2783" s="1">
        <v>41347.873043981483</v>
      </c>
      <c r="K2783" cm="1">
        <f t="array" ref="K2783" xml:space="preserve"> sentimentCalc(C2783)</f>
        <v>2</v>
      </c>
      <c r="L2783" t="str" cm="1">
        <f t="array" ref="L2783" xml:space="preserve"> sentimentCategory(K2783)</f>
        <v>Positive</v>
      </c>
    </row>
    <row r="2784" spans="1:12">
      <c r="A2784" t="s">
        <v>1195</v>
      </c>
      <c r="B2784" t="s">
        <v>1194</v>
      </c>
      <c r="C2784" t="str" cm="1">
        <f t="array" ref="C2784" xml:space="preserve"> CleanText(B2784)</f>
        <v>look how they massacred iroh</v>
      </c>
      <c r="D2784">
        <v>1</v>
      </c>
      <c r="E2784">
        <v>0</v>
      </c>
      <c r="F2784" t="s">
        <v>0</v>
      </c>
      <c r="G2784" t="str" cm="1">
        <f t="array" ref="G2784" xml:space="preserve"> FindCountryName(F2784)</f>
        <v>None</v>
      </c>
      <c r="H2784" s="1">
        <v>45263.954664351855</v>
      </c>
      <c r="I2784" s="1">
        <v>45263.954664351855</v>
      </c>
      <c r="J2784" s="1">
        <v>42261.50105324074</v>
      </c>
      <c r="K2784" cm="1">
        <f t="array" ref="K2784" xml:space="preserve"> sentimentCalc(C2784)</f>
        <v>0</v>
      </c>
      <c r="L2784" t="str" cm="1">
        <f t="array" ref="L2784" xml:space="preserve"> sentimentCategory(K2784)</f>
        <v>Neutral</v>
      </c>
    </row>
    <row r="2785" spans="1:12">
      <c r="A2785" t="s">
        <v>1193</v>
      </c>
      <c r="B2785" t="s">
        <v>1192</v>
      </c>
      <c r="C2785" t="str" cm="1">
        <f t="array" ref="C2785" xml:space="preserve"> CleanText(B2785)</f>
        <v>im pissed</v>
      </c>
      <c r="D2785">
        <v>0</v>
      </c>
      <c r="E2785">
        <v>0</v>
      </c>
      <c r="F2785" t="s">
        <v>0</v>
      </c>
      <c r="G2785" t="str" cm="1">
        <f t="array" ref="G2785" xml:space="preserve"> FindCountryName(F2785)</f>
        <v>None</v>
      </c>
      <c r="H2785" s="1">
        <v>45263.947048611109</v>
      </c>
      <c r="I2785" s="1">
        <v>45263.947048611109</v>
      </c>
      <c r="J2785" s="1">
        <v>44717.047696759262</v>
      </c>
      <c r="K2785" cm="1">
        <f t="array" ref="K2785" xml:space="preserve"> sentimentCalc(C2785)</f>
        <v>-4</v>
      </c>
      <c r="L2785" t="str" cm="1">
        <f t="array" ref="L2785" xml:space="preserve"> sentimentCategory(K2785)</f>
        <v>Negative</v>
      </c>
    </row>
    <row r="2786" spans="1:12">
      <c r="A2786" t="s">
        <v>76</v>
      </c>
      <c r="B2786" t="s">
        <v>1191</v>
      </c>
      <c r="C2786" t="str" cm="1">
        <f t="array" ref="C2786" xml:space="preserve"> CleanText(B2786)</f>
        <v>in the first 0 seconds it already looks promising and a lot better than what we got a few years back netflix so far so good dont woke it up</v>
      </c>
      <c r="D2786">
        <v>0</v>
      </c>
      <c r="E2786">
        <v>0</v>
      </c>
      <c r="F2786" t="s">
        <v>0</v>
      </c>
      <c r="G2786" t="str" cm="1">
        <f t="array" ref="G2786" xml:space="preserve"> FindCountryName(F2786)</f>
        <v>None</v>
      </c>
      <c r="H2786" s="1">
        <v>45263.946099537039</v>
      </c>
      <c r="I2786" s="1">
        <v>45263.946099537039</v>
      </c>
      <c r="J2786" s="1">
        <v>42207.440833333334</v>
      </c>
      <c r="K2786" cm="1">
        <f t="array" ref="K2786" xml:space="preserve"> sentimentCalc(C2786)</f>
        <v>5</v>
      </c>
      <c r="L2786" t="str" cm="1">
        <f t="array" ref="L2786" xml:space="preserve"> sentimentCategory(K2786)</f>
        <v>Positive</v>
      </c>
    </row>
    <row r="2787" spans="1:12">
      <c r="A2787" t="s">
        <v>1190</v>
      </c>
      <c r="B2787" t="s">
        <v>1189</v>
      </c>
      <c r="C2787" t="str" cm="1">
        <f t="array" ref="C2787" xml:space="preserve"> CleanText(B2787)</f>
        <v>show or movie</v>
      </c>
      <c r="D2787">
        <v>0</v>
      </c>
      <c r="E2787">
        <v>1</v>
      </c>
      <c r="F2787" t="s">
        <v>0</v>
      </c>
      <c r="G2787" t="str" cm="1">
        <f t="array" ref="G2787" xml:space="preserve"> FindCountryName(F2787)</f>
        <v>None</v>
      </c>
      <c r="H2787" s="1">
        <v>45263.909004629626</v>
      </c>
      <c r="I2787" s="1">
        <v>45263.909004629626</v>
      </c>
      <c r="J2787" s="1">
        <v>41081.662511574075</v>
      </c>
      <c r="K2787" cm="1">
        <f t="array" ref="K2787" xml:space="preserve"> sentimentCalc(C2787)</f>
        <v>0</v>
      </c>
      <c r="L2787" t="str" cm="1">
        <f t="array" ref="L2787" xml:space="preserve"> sentimentCategory(K2787)</f>
        <v>Neutral</v>
      </c>
    </row>
    <row r="2788" spans="1:12">
      <c r="A2788" t="s">
        <v>16</v>
      </c>
      <c r="B2788" t="s">
        <v>1188</v>
      </c>
      <c r="C2788" t="str" cm="1">
        <f t="array" ref="C2788" xml:space="preserve"> CleanText(B2788)</f>
        <v>bruh ang is way to youngfix this please</v>
      </c>
      <c r="D2788">
        <v>1</v>
      </c>
      <c r="E2788">
        <v>1</v>
      </c>
      <c r="F2788" t="s">
        <v>0</v>
      </c>
      <c r="G2788" t="str" cm="1">
        <f t="array" ref="G2788" xml:space="preserve"> FindCountryName(F2788)</f>
        <v>None</v>
      </c>
      <c r="H2788" s="1">
        <v>45263.874374999999</v>
      </c>
      <c r="I2788" s="1">
        <v>45263.874374999999</v>
      </c>
      <c r="J2788" s="1">
        <v>44279.980324074073</v>
      </c>
      <c r="K2788" cm="1">
        <f t="array" ref="K2788" xml:space="preserve"> sentimentCalc(C2788)</f>
        <v>1</v>
      </c>
      <c r="L2788" t="str" cm="1">
        <f t="array" ref="L2788" xml:space="preserve"> sentimentCategory(K2788)</f>
        <v>Positive</v>
      </c>
    </row>
    <row r="2789" spans="1:12">
      <c r="A2789" t="s">
        <v>1187</v>
      </c>
      <c r="B2789" t="s">
        <v>1186</v>
      </c>
      <c r="C2789" t="str" cm="1">
        <f t="array" ref="C2789" xml:space="preserve"> CleanText(B2789)</f>
        <v>jesus christ the amount of autistic dip shits in this comment section like ur watching the same show from  years ago with a new coat of paint and knowing netflix probably worse</v>
      </c>
      <c r="D2789">
        <v>1</v>
      </c>
      <c r="E2789">
        <v>0</v>
      </c>
      <c r="F2789" t="s">
        <v>0</v>
      </c>
      <c r="G2789" t="str" cm="1">
        <f t="array" ref="G2789" xml:space="preserve"> FindCountryName(F2789)</f>
        <v>None</v>
      </c>
      <c r="H2789" s="1">
        <v>45263.868402777778</v>
      </c>
      <c r="I2789" s="1">
        <v>45263.868402777778</v>
      </c>
      <c r="J2789" s="1">
        <v>44087.864814814813</v>
      </c>
      <c r="K2789" cm="1">
        <f t="array" ref="K2789" xml:space="preserve"> sentimentCalc(C2789)</f>
        <v>0</v>
      </c>
      <c r="L2789" t="str" cm="1">
        <f t="array" ref="L2789" xml:space="preserve"> sentimentCategory(K2789)</f>
        <v>Neutral</v>
      </c>
    </row>
    <row r="2790" spans="1:12">
      <c r="A2790" t="s">
        <v>1185</v>
      </c>
      <c r="B2790" t="s">
        <v>1184</v>
      </c>
      <c r="C2790" t="str" cm="1">
        <f t="array" ref="C2790" xml:space="preserve"> CleanText(B2790)</f>
        <v>cant efn wait</v>
      </c>
      <c r="D2790">
        <v>0</v>
      </c>
      <c r="E2790">
        <v>0</v>
      </c>
      <c r="F2790" t="s">
        <v>0</v>
      </c>
      <c r="G2790" t="str" cm="1">
        <f t="array" ref="G2790" xml:space="preserve"> FindCountryName(F2790)</f>
        <v>None</v>
      </c>
      <c r="H2790" s="1">
        <v>45263.861805555556</v>
      </c>
      <c r="I2790" s="1">
        <v>45263.861805555556</v>
      </c>
      <c r="J2790" s="1">
        <v>42282.78</v>
      </c>
      <c r="K2790" cm="1">
        <f t="array" ref="K2790" xml:space="preserve"> sentimentCalc(C2790)</f>
        <v>0</v>
      </c>
      <c r="L2790" t="str" cm="1">
        <f t="array" ref="L2790" xml:space="preserve"> sentimentCategory(K2790)</f>
        <v>Neutral</v>
      </c>
    </row>
    <row r="2791" spans="1:12">
      <c r="A2791" t="s">
        <v>26</v>
      </c>
      <c r="B2791" t="s">
        <v>1183</v>
      </c>
      <c r="C2791" t="str" cm="1">
        <f t="array" ref="C2791" xml:space="preserve"> CleanText(B2791)</f>
        <v>not again</v>
      </c>
      <c r="D2791">
        <v>0</v>
      </c>
      <c r="E2791">
        <v>0</v>
      </c>
      <c r="F2791" t="s">
        <v>0</v>
      </c>
      <c r="G2791" t="str" cm="1">
        <f t="array" ref="G2791" xml:space="preserve"> FindCountryName(F2791)</f>
        <v>None</v>
      </c>
      <c r="H2791" s="1">
        <v>45263.85974537037</v>
      </c>
      <c r="I2791" s="1">
        <v>45263.85974537037</v>
      </c>
      <c r="J2791" s="1">
        <v>44246.811886574076</v>
      </c>
      <c r="K2791" cm="1">
        <f t="array" ref="K2791" xml:space="preserve"> sentimentCalc(C2791)</f>
        <v>0</v>
      </c>
      <c r="L2791" t="str" cm="1">
        <f t="array" ref="L2791" xml:space="preserve"> sentimentCategory(K2791)</f>
        <v>Neutral</v>
      </c>
    </row>
    <row r="2792" spans="1:12">
      <c r="A2792" t="s">
        <v>415</v>
      </c>
      <c r="B2792" t="s">
        <v>1182</v>
      </c>
      <c r="C2792" t="str" cm="1">
        <f t="array" ref="C2792" xml:space="preserve"> CleanText(B2792)</f>
        <v>least their asian this time</v>
      </c>
      <c r="D2792">
        <v>0</v>
      </c>
      <c r="E2792">
        <v>0</v>
      </c>
      <c r="F2792" t="s">
        <v>19</v>
      </c>
      <c r="G2792" t="str" cm="1">
        <f t="array" ref="G2792" xml:space="preserve"> FindCountryName(F2792)</f>
        <v>United States of America (the)</v>
      </c>
      <c r="H2792" s="1">
        <v>45263.8591087963</v>
      </c>
      <c r="I2792" s="1">
        <v>45263.8591087963</v>
      </c>
      <c r="J2792" s="1">
        <v>41490.593645833331</v>
      </c>
      <c r="K2792" cm="1">
        <f t="array" ref="K2792" xml:space="preserve"> sentimentCalc(C2792)</f>
        <v>0</v>
      </c>
      <c r="L2792" t="str" cm="1">
        <f t="array" ref="L2792" xml:space="preserve"> sentimentCategory(K2792)</f>
        <v>Neutral</v>
      </c>
    </row>
    <row r="2793" spans="1:12">
      <c r="A2793" t="s">
        <v>1181</v>
      </c>
      <c r="B2793" t="s">
        <v>1180</v>
      </c>
      <c r="C2793" t="str" cm="1">
        <f t="array" ref="C2793" xml:space="preserve"> CleanText(B2793)</f>
        <v>it wouldve been cool if they had zukos voice actor play his character</v>
      </c>
      <c r="D2793">
        <v>0</v>
      </c>
      <c r="E2793">
        <v>3</v>
      </c>
      <c r="F2793" t="s">
        <v>0</v>
      </c>
      <c r="G2793" t="str" cm="1">
        <f t="array" ref="G2793" xml:space="preserve"> FindCountryName(F2793)</f>
        <v>None</v>
      </c>
      <c r="H2793" s="1">
        <v>45263.800682870373</v>
      </c>
      <c r="I2793" s="1">
        <v>45263.800682870373</v>
      </c>
      <c r="J2793" s="1">
        <v>38829.248090277775</v>
      </c>
      <c r="K2793" cm="1">
        <f t="array" ref="K2793" xml:space="preserve"> sentimentCalc(C2793)</f>
        <v>1</v>
      </c>
      <c r="L2793" t="str" cm="1">
        <f t="array" ref="L2793" xml:space="preserve"> sentimentCategory(K2793)</f>
        <v>Positive</v>
      </c>
    </row>
    <row r="2794" spans="1:12">
      <c r="A2794" t="s">
        <v>1069</v>
      </c>
      <c r="B2794" t="s">
        <v>1179</v>
      </c>
      <c r="C2794" t="str" cm="1">
        <f t="array" ref="C2794" xml:space="preserve"> CleanText(B2794)</f>
        <v>this looks really awesomeand that is a very believable uncle iroh</v>
      </c>
      <c r="D2794">
        <v>1</v>
      </c>
      <c r="E2794">
        <v>0</v>
      </c>
      <c r="F2794" t="s">
        <v>0</v>
      </c>
      <c r="G2794" t="str" cm="1">
        <f t="array" ref="G2794" xml:space="preserve"> FindCountryName(F2794)</f>
        <v>None</v>
      </c>
      <c r="H2794" s="1">
        <v>45263.772743055553</v>
      </c>
      <c r="I2794" s="1">
        <v>45263.772743055553</v>
      </c>
      <c r="J2794" s="1">
        <v>43992.746053240742</v>
      </c>
      <c r="K2794" cm="1">
        <f t="array" ref="K2794" xml:space="preserve"> sentimentCalc(C2794)</f>
        <v>0</v>
      </c>
      <c r="L2794" t="str" cm="1">
        <f t="array" ref="L2794" xml:space="preserve"> sentimentCategory(K2794)</f>
        <v>Neutral</v>
      </c>
    </row>
    <row r="2795" spans="1:12">
      <c r="A2795" t="s">
        <v>1178</v>
      </c>
      <c r="B2795" t="s">
        <v>1177</v>
      </c>
      <c r="C2795" t="str" cm="1">
        <f t="array" ref="C2795" xml:space="preserve"> CleanText(B2795)</f>
        <v>even though i appreciate the good looking trailer i still dont understand why do we need a live action avatar</v>
      </c>
      <c r="D2795">
        <v>0</v>
      </c>
      <c r="E2795">
        <v>1</v>
      </c>
      <c r="F2795" t="s">
        <v>0</v>
      </c>
      <c r="G2795" t="str" cm="1">
        <f t="array" ref="G2795" xml:space="preserve"> FindCountryName(F2795)</f>
        <v>None</v>
      </c>
      <c r="H2795" s="1">
        <v>45263.771678240744</v>
      </c>
      <c r="I2795" s="1">
        <v>45263.771678240744</v>
      </c>
      <c r="J2795" s="1">
        <v>42583.632800925923</v>
      </c>
      <c r="K2795" cm="1">
        <f t="array" ref="K2795" xml:space="preserve"> sentimentCalc(C2795)</f>
        <v>5</v>
      </c>
      <c r="L2795" t="str" cm="1">
        <f t="array" ref="L2795" xml:space="preserve"> sentimentCategory(K2795)</f>
        <v>Positive</v>
      </c>
    </row>
    <row r="2796" spans="1:12">
      <c r="A2796" t="s">
        <v>830</v>
      </c>
      <c r="B2796" t="s">
        <v>1176</v>
      </c>
      <c r="C2796" t="str" cm="1">
        <f t="array" ref="C2796" xml:space="preserve"> CleanText(B2796)</f>
        <v>hopefully this will make up for what shyamalan did</v>
      </c>
      <c r="D2796">
        <v>0</v>
      </c>
      <c r="E2796">
        <v>1</v>
      </c>
      <c r="F2796" t="s">
        <v>0</v>
      </c>
      <c r="G2796" t="str" cm="1">
        <f t="array" ref="G2796" xml:space="preserve"> FindCountryName(F2796)</f>
        <v>None</v>
      </c>
      <c r="H2796" s="1">
        <v>45263.758726851855</v>
      </c>
      <c r="I2796" s="1">
        <v>45263.758726851855</v>
      </c>
      <c r="J2796" s="1">
        <v>41840.263842592591</v>
      </c>
      <c r="K2796" cm="1">
        <f t="array" ref="K2796" xml:space="preserve"> sentimentCalc(C2796)</f>
        <v>2</v>
      </c>
      <c r="L2796" t="str" cm="1">
        <f t="array" ref="L2796" xml:space="preserve"> sentimentCategory(K2796)</f>
        <v>Positive</v>
      </c>
    </row>
    <row r="2797" spans="1:12">
      <c r="A2797" t="s">
        <v>401</v>
      </c>
      <c r="B2797" t="s">
        <v>1175</v>
      </c>
      <c r="C2797" t="str" cm="1">
        <f t="array" ref="C2797" xml:space="preserve"> CleanText(B2797)</f>
        <v>the only whitewashing im willing to accept is if they had casted mark hamill as ozai grey n fat n all _xDE0A_</v>
      </c>
      <c r="D2797">
        <v>1</v>
      </c>
      <c r="E2797">
        <v>0</v>
      </c>
      <c r="F2797" t="s">
        <v>0</v>
      </c>
      <c r="G2797" t="str" cm="1">
        <f t="array" ref="G2797" xml:space="preserve"> FindCountryName(F2797)</f>
        <v>None</v>
      </c>
      <c r="H2797" s="1">
        <v>45263.740439814814</v>
      </c>
      <c r="I2797" s="1">
        <v>45263.740439814814</v>
      </c>
      <c r="J2797" s="1">
        <v>43952.106898148151</v>
      </c>
      <c r="K2797" cm="1">
        <f t="array" ref="K2797" xml:space="preserve"> sentimentCalc(C2797)</f>
        <v>0</v>
      </c>
      <c r="L2797" t="str" cm="1">
        <f t="array" ref="L2797" xml:space="preserve"> sentimentCategory(K2797)</f>
        <v>Neutral</v>
      </c>
    </row>
    <row r="2798" spans="1:12">
      <c r="A2798" t="s">
        <v>1174</v>
      </c>
      <c r="B2798" t="s">
        <v>1173</v>
      </c>
      <c r="C2798" t="str" cm="1">
        <f t="array" ref="C2798" xml:space="preserve"> CleanText(B2798)</f>
        <v>this is the live action that we the real fans have been waiting for years</v>
      </c>
      <c r="D2798">
        <v>0</v>
      </c>
      <c r="E2798">
        <v>0</v>
      </c>
      <c r="F2798" t="s">
        <v>941</v>
      </c>
      <c r="G2798" t="str" cm="1">
        <f t="array" ref="G2798" xml:space="preserve"> FindCountryName(F2798)</f>
        <v>Peru</v>
      </c>
      <c r="H2798" s="1">
        <v>45263.732083333336</v>
      </c>
      <c r="I2798" s="1">
        <v>45263.732083333336</v>
      </c>
      <c r="J2798" s="1">
        <v>42543.923668981479</v>
      </c>
      <c r="K2798" cm="1">
        <f t="array" ref="K2798" xml:space="preserve"> sentimentCalc(C2798)</f>
        <v>0</v>
      </c>
      <c r="L2798" t="str" cm="1">
        <f t="array" ref="L2798" xml:space="preserve"> sentimentCategory(K2798)</f>
        <v>Neutral</v>
      </c>
    </row>
    <row r="2799" spans="1:12">
      <c r="A2799" t="s">
        <v>1172</v>
      </c>
      <c r="B2799" t="s">
        <v>1171</v>
      </c>
      <c r="C2799" t="str" cm="1">
        <f t="array" ref="C2799" xml:space="preserve"> CleanText(B2799)</f>
        <v>öp</v>
      </c>
      <c r="D2799">
        <v>0</v>
      </c>
      <c r="E2799">
        <v>0</v>
      </c>
      <c r="F2799" t="s">
        <v>0</v>
      </c>
      <c r="G2799" t="str" cm="1">
        <f t="array" ref="G2799" xml:space="preserve"> FindCountryName(F2799)</f>
        <v>None</v>
      </c>
      <c r="H2799" s="1">
        <v>45263.716053240743</v>
      </c>
      <c r="I2799" s="1">
        <v>45263.716053240743</v>
      </c>
      <c r="J2799" s="1">
        <v>45018.731550925928</v>
      </c>
      <c r="K2799" cm="1">
        <f t="array" ref="K2799" xml:space="preserve"> sentimentCalc(C2799)</f>
        <v>0</v>
      </c>
      <c r="L2799" t="str" cm="1">
        <f t="array" ref="L2799" xml:space="preserve"> sentimentCategory(K2799)</f>
        <v>Neutral</v>
      </c>
    </row>
    <row r="2800" spans="1:12">
      <c r="A2800" t="s">
        <v>1170</v>
      </c>
      <c r="B2800" t="s">
        <v>1169</v>
      </c>
      <c r="C2800" t="str" cm="1">
        <f t="array" ref="C2800" xml:space="preserve"> CleanText(B2800)</f>
        <v>dopeeee</v>
      </c>
      <c r="D2800">
        <v>0</v>
      </c>
      <c r="E2800">
        <v>0</v>
      </c>
      <c r="F2800" t="s">
        <v>1168</v>
      </c>
      <c r="G2800" t="str" cm="1">
        <f t="array" ref="G2800" xml:space="preserve"> FindCountryName(F2800)</f>
        <v>Latvia</v>
      </c>
      <c r="H2800" s="1">
        <v>45263.710995370369</v>
      </c>
      <c r="I2800" s="1">
        <v>45263.710995370369</v>
      </c>
      <c r="J2800" s="1">
        <v>42684.516446759262</v>
      </c>
      <c r="K2800" cm="1">
        <f t="array" ref="K2800" xml:space="preserve"> sentimentCalc(C2800)</f>
        <v>0</v>
      </c>
      <c r="L2800" t="str" cm="1">
        <f t="array" ref="L2800" xml:space="preserve"> sentimentCategory(K2800)</f>
        <v>Neutral</v>
      </c>
    </row>
    <row r="2801" spans="1:12">
      <c r="A2801" t="s">
        <v>1167</v>
      </c>
      <c r="B2801" t="s">
        <v>1166</v>
      </c>
      <c r="C2801" t="str" cm="1">
        <f t="array" ref="C2801" xml:space="preserve"> CleanText(B2801)</f>
        <v>en efecto muchachos es cine _xDDFF_</v>
      </c>
      <c r="D2801">
        <v>0</v>
      </c>
      <c r="E2801">
        <v>0</v>
      </c>
      <c r="F2801" t="s">
        <v>0</v>
      </c>
      <c r="G2801" t="str" cm="1">
        <f t="array" ref="G2801" xml:space="preserve"> FindCountryName(F2801)</f>
        <v>None</v>
      </c>
      <c r="H2801" s="1">
        <v>45263.669178240743</v>
      </c>
      <c r="I2801" s="1">
        <v>45263.669178240743</v>
      </c>
      <c r="J2801" s="1">
        <v>42687.541030092594</v>
      </c>
      <c r="K2801" cm="1">
        <f t="array" ref="K2801" xml:space="preserve"> sentimentCalc(C2801)</f>
        <v>0</v>
      </c>
      <c r="L2801" t="str" cm="1">
        <f t="array" ref="L2801" xml:space="preserve"> sentimentCategory(K2801)</f>
        <v>Neutral</v>
      </c>
    </row>
    <row r="2802" spans="1:12">
      <c r="A2802" t="s">
        <v>806</v>
      </c>
      <c r="B2802" t="s">
        <v>1165</v>
      </c>
      <c r="C2802" t="str" cm="1">
        <f t="array" ref="C2802" xml:space="preserve"> CleanText(B2802)</f>
        <v>absolutely not hyped</v>
      </c>
      <c r="D2802">
        <v>0</v>
      </c>
      <c r="E2802">
        <v>0</v>
      </c>
      <c r="F2802" t="s">
        <v>0</v>
      </c>
      <c r="G2802" t="str" cm="1">
        <f t="array" ref="G2802" xml:space="preserve"> FindCountryName(F2802)</f>
        <v>None</v>
      </c>
      <c r="H2802" s="1">
        <v>45263.668287037035</v>
      </c>
      <c r="I2802" s="1">
        <v>45263.668287037035</v>
      </c>
      <c r="J2802" s="1">
        <v>41457.713090277779</v>
      </c>
      <c r="K2802" cm="1">
        <f t="array" ref="K2802" xml:space="preserve"> sentimentCalc(C2802)</f>
        <v>0</v>
      </c>
      <c r="L2802" t="str" cm="1">
        <f t="array" ref="L2802" xml:space="preserve"> sentimentCategory(K2802)</f>
        <v>Neutral</v>
      </c>
    </row>
    <row r="2803" spans="1:12">
      <c r="A2803" t="s">
        <v>32</v>
      </c>
      <c r="B2803" t="s">
        <v>1164</v>
      </c>
      <c r="C2803" t="str" cm="1">
        <f t="array" ref="C2803" xml:space="preserve"> CleanText(B2803)</f>
        <v>why i can already feel its gonna be bad</v>
      </c>
      <c r="D2803">
        <v>0</v>
      </c>
      <c r="E2803">
        <v>0</v>
      </c>
      <c r="F2803" t="s">
        <v>0</v>
      </c>
      <c r="G2803" t="str" cm="1">
        <f t="array" ref="G2803" xml:space="preserve"> FindCountryName(F2803)</f>
        <v>None</v>
      </c>
      <c r="H2803" s="1">
        <v>45263.628738425927</v>
      </c>
      <c r="I2803" s="1">
        <v>45263.628738425927</v>
      </c>
      <c r="J2803" s="1">
        <v>42013.509398148148</v>
      </c>
      <c r="K2803" cm="1">
        <f t="array" ref="K2803" xml:space="preserve"> sentimentCalc(C2803)</f>
        <v>-3</v>
      </c>
      <c r="L2803" t="str" cm="1">
        <f t="array" ref="L2803" xml:space="preserve"> sentimentCategory(K2803)</f>
        <v>Negative</v>
      </c>
    </row>
    <row r="2804" spans="1:12">
      <c r="A2804" t="s">
        <v>153</v>
      </c>
      <c r="B2804" t="s">
        <v>1163</v>
      </c>
      <c r="C2804" t="str" cm="1">
        <f t="array" ref="C2804" xml:space="preserve"> CleanText(B2804)</f>
        <v>hopefully there will be a complete story after the firelord is defeated</v>
      </c>
      <c r="D2804">
        <v>0</v>
      </c>
      <c r="E2804">
        <v>0</v>
      </c>
      <c r="F2804" t="s">
        <v>0</v>
      </c>
      <c r="G2804" t="str" cm="1">
        <f t="array" ref="G2804" xml:space="preserve"> FindCountryName(F2804)</f>
        <v>None</v>
      </c>
      <c r="H2804" s="1">
        <v>45263.62699074074</v>
      </c>
      <c r="I2804" s="1">
        <v>45263.62699074074</v>
      </c>
      <c r="J2804" s="1">
        <v>42728.275590277779</v>
      </c>
      <c r="K2804" cm="1">
        <f t="array" ref="K2804" xml:space="preserve"> sentimentCalc(C2804)</f>
        <v>0</v>
      </c>
      <c r="L2804" t="str" cm="1">
        <f t="array" ref="L2804" xml:space="preserve"> sentimentCategory(K2804)</f>
        <v>Neutral</v>
      </c>
    </row>
    <row r="2805" spans="1:12">
      <c r="A2805" t="s">
        <v>728</v>
      </c>
      <c r="B2805" t="s">
        <v>1162</v>
      </c>
      <c r="C2805" t="str" cm="1">
        <f t="array" ref="C2805" xml:space="preserve"> CleanText(B2805)</f>
        <v>cant wait for avatar  and kiri</v>
      </c>
      <c r="D2805">
        <v>0</v>
      </c>
      <c r="E2805">
        <v>0</v>
      </c>
      <c r="F2805" t="s">
        <v>0</v>
      </c>
      <c r="G2805" t="str" cm="1">
        <f t="array" ref="G2805" xml:space="preserve"> FindCountryName(F2805)</f>
        <v>None</v>
      </c>
      <c r="H2805" s="1">
        <v>45263.625115740739</v>
      </c>
      <c r="I2805" s="1">
        <v>45263.625115740739</v>
      </c>
      <c r="J2805" s="1">
        <v>41865.182546296295</v>
      </c>
      <c r="K2805" cm="1">
        <f t="array" ref="K2805" xml:space="preserve"> sentimentCalc(C2805)</f>
        <v>0</v>
      </c>
      <c r="L2805" t="str" cm="1">
        <f t="array" ref="L2805" xml:space="preserve"> sentimentCategory(K2805)</f>
        <v>Neutral</v>
      </c>
    </row>
    <row r="2806" spans="1:12">
      <c r="A2806" t="s">
        <v>1161</v>
      </c>
      <c r="B2806" t="s">
        <v>1160</v>
      </c>
      <c r="C2806" t="str" cm="1">
        <f t="array" ref="C2806" xml:space="preserve"> CleanText(B2806)</f>
        <v>i have goosebumps _xDE0D_</v>
      </c>
      <c r="D2806">
        <v>0</v>
      </c>
      <c r="E2806">
        <v>0</v>
      </c>
      <c r="F2806" t="s">
        <v>0</v>
      </c>
      <c r="G2806" t="str" cm="1">
        <f t="array" ref="G2806" xml:space="preserve"> FindCountryName(F2806)</f>
        <v>None</v>
      </c>
      <c r="H2806" s="1">
        <v>45263.610138888886</v>
      </c>
      <c r="I2806" s="1">
        <v>45263.610138888886</v>
      </c>
      <c r="J2806" s="1">
        <v>41077.404965277776</v>
      </c>
      <c r="K2806" cm="1">
        <f t="array" ref="K2806" xml:space="preserve"> sentimentCalc(C2806)</f>
        <v>0</v>
      </c>
      <c r="L2806" t="str" cm="1">
        <f t="array" ref="L2806" xml:space="preserve"> sentimentCategory(K2806)</f>
        <v>Neutral</v>
      </c>
    </row>
    <row r="2807" spans="1:12">
      <c r="A2807" t="s">
        <v>1159</v>
      </c>
      <c r="B2807" t="s">
        <v>1158</v>
      </c>
      <c r="C2807" t="str" cm="1">
        <f t="array" ref="C2807" xml:space="preserve"> CleanText(B2807)</f>
        <v>the film was shit hope it will be great</v>
      </c>
      <c r="D2807">
        <v>0</v>
      </c>
      <c r="E2807">
        <v>0</v>
      </c>
      <c r="F2807" t="s">
        <v>0</v>
      </c>
      <c r="G2807" t="str" cm="1">
        <f t="array" ref="G2807" xml:space="preserve"> FindCountryName(F2807)</f>
        <v>None</v>
      </c>
      <c r="H2807" s="1">
        <v>45263.59511574074</v>
      </c>
      <c r="I2807" s="1">
        <v>45263.59511574074</v>
      </c>
      <c r="J2807" s="1">
        <v>40710.349710648145</v>
      </c>
      <c r="K2807" cm="1">
        <f t="array" ref="K2807" xml:space="preserve"> sentimentCalc(C2807)</f>
        <v>5</v>
      </c>
      <c r="L2807" t="str" cm="1">
        <f t="array" ref="L2807" xml:space="preserve"> sentimentCategory(K2807)</f>
        <v>Positive</v>
      </c>
    </row>
    <row r="2808" spans="1:12">
      <c r="A2808" t="s">
        <v>26</v>
      </c>
      <c r="B2808" t="s">
        <v>1157</v>
      </c>
      <c r="C2808" t="str" cm="1">
        <f t="array" ref="C2808" xml:space="preserve"> CleanText(B2808)</f>
        <v>this looks so good</v>
      </c>
      <c r="D2808">
        <v>0</v>
      </c>
      <c r="E2808">
        <v>0</v>
      </c>
      <c r="F2808" t="s">
        <v>0</v>
      </c>
      <c r="G2808" t="str" cm="1">
        <f t="array" ref="G2808" xml:space="preserve"> FindCountryName(F2808)</f>
        <v>None</v>
      </c>
      <c r="H2808" s="1">
        <v>45263.594849537039</v>
      </c>
      <c r="I2808" s="1">
        <v>45263.594849537039</v>
      </c>
      <c r="J2808" s="1">
        <v>44343.013379629629</v>
      </c>
      <c r="K2808" cm="1">
        <f t="array" ref="K2808" xml:space="preserve"> sentimentCalc(C2808)</f>
        <v>3</v>
      </c>
      <c r="L2808" t="str" cm="1">
        <f t="array" ref="L2808" xml:space="preserve"> sentimentCategory(K2808)</f>
        <v>Positive</v>
      </c>
    </row>
    <row r="2809" spans="1:12">
      <c r="A2809" t="s">
        <v>1156</v>
      </c>
      <c r="B2809" t="s">
        <v>1155</v>
      </c>
      <c r="C2809" t="str" cm="1">
        <f t="array" ref="C2809" xml:space="preserve"> CleanText(B2809)</f>
        <v>please dont suck please dont suck please dont suck please dont suck please dont suck please dont suck please dont suck please dont suck please dont suck please dont suck please dont suck please dont suck please dont suck please dont suck please dont suck</v>
      </c>
      <c r="D2809">
        <v>0</v>
      </c>
      <c r="E2809">
        <v>0</v>
      </c>
      <c r="F2809" t="s">
        <v>0</v>
      </c>
      <c r="G2809" t="str" cm="1">
        <f t="array" ref="G2809" xml:space="preserve"> FindCountryName(F2809)</f>
        <v>None</v>
      </c>
      <c r="H2809" s="1">
        <v>45263.585833333331</v>
      </c>
      <c r="I2809" s="1">
        <v>45263.585833333331</v>
      </c>
      <c r="J2809" s="1">
        <v>40846.775682870371</v>
      </c>
      <c r="K2809" cm="1">
        <f t="array" ref="K2809" xml:space="preserve"> sentimentCalc(C2809)</f>
        <v>-30</v>
      </c>
      <c r="L2809" t="str" cm="1">
        <f t="array" ref="L2809" xml:space="preserve"> sentimentCategory(K2809)</f>
        <v>Negative</v>
      </c>
    </row>
    <row r="2810" spans="1:12">
      <c r="A2810" t="s">
        <v>1154</v>
      </c>
      <c r="B2810" t="s">
        <v>1153</v>
      </c>
      <c r="C2810" t="str" cm="1">
        <f t="array" ref="C2810" xml:space="preserve"> CleanText(B2810)</f>
        <v>looks like its gonna turn out real nice aslong as they dont try to cover the entire story in one go</v>
      </c>
      <c r="D2810">
        <v>0</v>
      </c>
      <c r="E2810">
        <v>0</v>
      </c>
      <c r="F2810" t="s">
        <v>0</v>
      </c>
      <c r="G2810" t="str" cm="1">
        <f t="array" ref="G2810" xml:space="preserve"> FindCountryName(F2810)</f>
        <v>None</v>
      </c>
      <c r="H2810" s="1">
        <v>45263.572847222225</v>
      </c>
      <c r="I2810" s="1">
        <v>45263.572847222225</v>
      </c>
      <c r="J2810" s="1">
        <v>42799.262337962966</v>
      </c>
      <c r="K2810" cm="1">
        <f t="array" ref="K2810" xml:space="preserve"> sentimentCalc(C2810)</f>
        <v>5</v>
      </c>
      <c r="L2810" t="str" cm="1">
        <f t="array" ref="L2810" xml:space="preserve"> sentimentCategory(K2810)</f>
        <v>Positive</v>
      </c>
    </row>
    <row r="2811" spans="1:12">
      <c r="A2811" t="s">
        <v>653</v>
      </c>
      <c r="B2811" t="s">
        <v>1152</v>
      </c>
      <c r="C2811" t="str" cm="1">
        <f t="array" ref="C2811" xml:space="preserve"> CleanText(B2811)</f>
        <v>i just dont get why a live action avatar even needs to be made all this effort to retell the same story that was already told perfectly but now with the limitations of live action avatar lent itself so well to animation as a medium i dont understand what could possibly be gained by recreating it in this way the transition away from animation means losing so much of the humour and the style and the imagination that made the show so greati appreciate that effort is being put into avatar but i wish it was directed at continuing the series rather than recreating it when it was beloved to begin with attempting to outright recreate something that we all feel so nostalgic for is just never going to work out</v>
      </c>
      <c r="D2811">
        <v>0</v>
      </c>
      <c r="E2811">
        <v>1</v>
      </c>
      <c r="F2811" t="s">
        <v>0</v>
      </c>
      <c r="G2811" t="str" cm="1">
        <f t="array" ref="G2811" xml:space="preserve"> FindCountryName(F2811)</f>
        <v>None</v>
      </c>
      <c r="H2811" s="1">
        <v>45263.544652777775</v>
      </c>
      <c r="I2811" s="1">
        <v>45263.544652777775</v>
      </c>
      <c r="J2811" s="1">
        <v>42396.605729166666</v>
      </c>
      <c r="K2811" cm="1">
        <f t="array" ref="K2811" xml:space="preserve"> sentimentCalc(C2811)</f>
        <v>10</v>
      </c>
      <c r="L2811" t="str" cm="1">
        <f t="array" ref="L2811" xml:space="preserve"> sentimentCategory(K2811)</f>
        <v>Positive</v>
      </c>
    </row>
    <row r="2812" spans="1:12">
      <c r="A2812" t="s">
        <v>68</v>
      </c>
      <c r="B2812" t="s">
        <v>1151</v>
      </c>
      <c r="C2812" t="str" cm="1">
        <f t="array" ref="C2812" xml:space="preserve"> CleanText(B2812)</f>
        <v>omg i cant wait anymore</v>
      </c>
      <c r="D2812">
        <v>0</v>
      </c>
      <c r="E2812">
        <v>0</v>
      </c>
      <c r="F2812" t="s">
        <v>0</v>
      </c>
      <c r="G2812" t="str" cm="1">
        <f t="array" ref="G2812" xml:space="preserve"> FindCountryName(F2812)</f>
        <v>None</v>
      </c>
      <c r="H2812" s="1">
        <v>45263.494270833333</v>
      </c>
      <c r="I2812" s="1">
        <v>45263.494270833333</v>
      </c>
      <c r="J2812" s="1">
        <v>44940.589120370372</v>
      </c>
      <c r="K2812" cm="1">
        <f t="array" ref="K2812" xml:space="preserve"> sentimentCalc(C2812)</f>
        <v>0</v>
      </c>
      <c r="L2812" t="str" cm="1">
        <f t="array" ref="L2812" xml:space="preserve"> sentimentCategory(K2812)</f>
        <v>Neutral</v>
      </c>
    </row>
    <row r="2813" spans="1:12">
      <c r="A2813" t="s">
        <v>1150</v>
      </c>
      <c r="B2813" t="s">
        <v>1149</v>
      </c>
      <c r="C2813" t="str" cm="1">
        <f t="array" ref="C2813" xml:space="preserve"> CleanText(B2813)</f>
        <v>watch sukis gonna be gay and get together with tai lee</v>
      </c>
      <c r="D2813">
        <v>0</v>
      </c>
      <c r="E2813">
        <v>0</v>
      </c>
      <c r="F2813" t="s">
        <v>0</v>
      </c>
      <c r="G2813" t="str" cm="1">
        <f t="array" ref="G2813" xml:space="preserve"> FindCountryName(F2813)</f>
        <v>None</v>
      </c>
      <c r="H2813" s="1">
        <v>45263.492199074077</v>
      </c>
      <c r="I2813" s="1">
        <v>45263.492199074077</v>
      </c>
      <c r="J2813" s="1">
        <v>41767.909201388888</v>
      </c>
      <c r="K2813" cm="1">
        <f t="array" ref="K2813" xml:space="preserve"> sentimentCalc(C2813)</f>
        <v>0</v>
      </c>
      <c r="L2813" t="str" cm="1">
        <f t="array" ref="L2813" xml:space="preserve"> sentimentCategory(K2813)</f>
        <v>Neutral</v>
      </c>
    </row>
    <row r="2814" spans="1:12">
      <c r="A2814" t="s">
        <v>1148</v>
      </c>
      <c r="B2814" t="s">
        <v>1147</v>
      </c>
      <c r="C2814" t="str" cm="1">
        <f t="array" ref="C2814" xml:space="preserve"> CleanText(B2814)</f>
        <v>hell yeah</v>
      </c>
      <c r="D2814">
        <v>0</v>
      </c>
      <c r="E2814">
        <v>0</v>
      </c>
      <c r="F2814" t="s">
        <v>0</v>
      </c>
      <c r="G2814" t="str" cm="1">
        <f t="array" ref="G2814" xml:space="preserve"> FindCountryName(F2814)</f>
        <v>None</v>
      </c>
      <c r="H2814" s="1">
        <v>45263.492002314815</v>
      </c>
      <c r="I2814" s="1">
        <v>45263.492002314815</v>
      </c>
      <c r="J2814" s="1">
        <v>41739.530624999999</v>
      </c>
      <c r="K2814" cm="1">
        <f t="array" ref="K2814" xml:space="preserve"> sentimentCalc(C2814)</f>
        <v>-3</v>
      </c>
      <c r="L2814" t="str" cm="1">
        <f t="array" ref="L2814" xml:space="preserve"> sentimentCategory(K2814)</f>
        <v>Negative</v>
      </c>
    </row>
    <row r="2815" spans="1:12">
      <c r="A2815" t="s">
        <v>121</v>
      </c>
      <c r="B2815" t="s">
        <v>1146</v>
      </c>
      <c r="C2815" t="str" cm="1">
        <f t="array" ref="C2815" xml:space="preserve"> CleanText(B2815)</f>
        <v>no manches esta chingona la peli del abatar tiene mucha drama como a bentura como aschion ectselas recomiendo</v>
      </c>
      <c r="D2815">
        <v>0</v>
      </c>
      <c r="E2815">
        <v>0</v>
      </c>
      <c r="F2815" t="s">
        <v>0</v>
      </c>
      <c r="G2815" t="str" cm="1">
        <f t="array" ref="G2815" xml:space="preserve"> FindCountryName(F2815)</f>
        <v>None</v>
      </c>
      <c r="H2815" s="1">
        <v>45263.489652777775</v>
      </c>
      <c r="I2815" s="1">
        <v>45263.489652777775</v>
      </c>
      <c r="J2815" s="1">
        <v>45263.484907407408</v>
      </c>
      <c r="K2815" cm="1">
        <f t="array" ref="K2815" xml:space="preserve"> sentimentCalc(C2815)</f>
        <v>-1</v>
      </c>
      <c r="L2815" t="str" cm="1">
        <f t="array" ref="L2815" xml:space="preserve"> sentimentCategory(K2815)</f>
        <v>Negative</v>
      </c>
    </row>
    <row r="2816" spans="1:12">
      <c r="A2816" t="s">
        <v>1145</v>
      </c>
      <c r="B2816" t="s">
        <v>1144</v>
      </c>
      <c r="C2816" t="str" cm="1">
        <f t="array" ref="C2816" xml:space="preserve"> CleanText(B2816)</f>
        <v>damn the cgi looks good</v>
      </c>
      <c r="D2816">
        <v>0</v>
      </c>
      <c r="E2816">
        <v>0</v>
      </c>
      <c r="F2816" t="s">
        <v>633</v>
      </c>
      <c r="G2816" t="str" cm="1">
        <f t="array" ref="G2816" xml:space="preserve"> FindCountryName(F2816)</f>
        <v>Indonesia</v>
      </c>
      <c r="H2816" s="1">
        <v>45263.476331018515</v>
      </c>
      <c r="I2816" s="1">
        <v>45263.476331018515</v>
      </c>
      <c r="J2816" s="1">
        <v>43901.51834490741</v>
      </c>
      <c r="K2816" cm="1">
        <f t="array" ref="K2816" xml:space="preserve"> sentimentCalc(C2816)</f>
        <v>-1</v>
      </c>
      <c r="L2816" t="str" cm="1">
        <f t="array" ref="L2816" xml:space="preserve"> sentimentCategory(K2816)</f>
        <v>Negative</v>
      </c>
    </row>
    <row r="2817" spans="1:12">
      <c r="A2817" t="s">
        <v>198</v>
      </c>
      <c r="B2817" t="s">
        <v>1143</v>
      </c>
      <c r="C2817" t="str" cm="1">
        <f t="array" ref="C2817" xml:space="preserve"> CleanText(B2817)</f>
        <v>aang debera tener 2 o  aos no  xdtodo lo daan</v>
      </c>
      <c r="D2817">
        <v>0</v>
      </c>
      <c r="E2817">
        <v>0</v>
      </c>
      <c r="F2817" t="s">
        <v>0</v>
      </c>
      <c r="G2817" t="str" cm="1">
        <f t="array" ref="G2817" xml:space="preserve"> FindCountryName(F2817)</f>
        <v>None</v>
      </c>
      <c r="H2817" s="1">
        <v>45263.472326388888</v>
      </c>
      <c r="I2817" s="1">
        <v>45263.472326388888</v>
      </c>
      <c r="J2817" s="1">
        <v>40855.816423611112</v>
      </c>
      <c r="K2817" cm="1">
        <f t="array" ref="K2817" xml:space="preserve"> sentimentCalc(C2817)</f>
        <v>-1</v>
      </c>
      <c r="L2817" t="str" cm="1">
        <f t="array" ref="L2817" xml:space="preserve"> sentimentCategory(K2817)</f>
        <v>Negative</v>
      </c>
    </row>
    <row r="2818" spans="1:12">
      <c r="A2818" t="s">
        <v>640</v>
      </c>
      <c r="B2818" t="s">
        <v>1142</v>
      </c>
      <c r="C2818" t="str" cm="1">
        <f t="array" ref="C2818" xml:space="preserve"> CleanText(B2818)</f>
        <v>yes cant wait love avatar</v>
      </c>
      <c r="D2818">
        <v>0</v>
      </c>
      <c r="E2818">
        <v>0</v>
      </c>
      <c r="F2818" t="s">
        <v>0</v>
      </c>
      <c r="G2818" t="str" cm="1">
        <f t="array" ref="G2818" xml:space="preserve"> FindCountryName(F2818)</f>
        <v>None</v>
      </c>
      <c r="H2818" s="1">
        <v>45263.44189814815</v>
      </c>
      <c r="I2818" s="1">
        <v>45263.44189814815</v>
      </c>
      <c r="J2818" s="1">
        <v>42028.604050925926</v>
      </c>
      <c r="K2818" cm="1">
        <f t="array" ref="K2818" xml:space="preserve"> sentimentCalc(C2818)</f>
        <v>4</v>
      </c>
      <c r="L2818" t="str" cm="1">
        <f t="array" ref="L2818" xml:space="preserve"> sentimentCategory(K2818)</f>
        <v>Positive</v>
      </c>
    </row>
    <row r="2819" spans="1:12">
      <c r="A2819" t="s">
        <v>816</v>
      </c>
      <c r="B2819" t="s">
        <v>1141</v>
      </c>
      <c r="C2819" t="str" cm="1">
        <f t="array" ref="C2819" xml:space="preserve"> CleanText(B2819)</f>
        <v>katara is black sokka is black it aint hard to find that</v>
      </c>
      <c r="D2819">
        <v>0</v>
      </c>
      <c r="E2819">
        <v>4</v>
      </c>
      <c r="F2819" t="s">
        <v>0</v>
      </c>
      <c r="G2819" t="str" cm="1">
        <f t="array" ref="G2819" xml:space="preserve"> FindCountryName(F2819)</f>
        <v>None</v>
      </c>
      <c r="H2819" s="1">
        <v>45263.421481481484</v>
      </c>
      <c r="I2819" s="1">
        <v>45263.421481481484</v>
      </c>
      <c r="J2819" s="1">
        <v>41003.409641203703</v>
      </c>
      <c r="K2819" cm="1">
        <f t="array" ref="K2819" xml:space="preserve"> sentimentCalc(C2819)</f>
        <v>-1</v>
      </c>
      <c r="L2819" t="str" cm="1">
        <f t="array" ref="L2819" xml:space="preserve"> sentimentCategory(K2819)</f>
        <v>Negative</v>
      </c>
    </row>
    <row r="2820" spans="1:12">
      <c r="A2820" t="s">
        <v>1140</v>
      </c>
      <c r="B2820" t="s">
        <v>1139</v>
      </c>
      <c r="C2820" t="str" cm="1">
        <f t="array" ref="C2820" xml:space="preserve"> CleanText(B2820)</f>
        <v>isnt avatar full of blue elfs</v>
      </c>
      <c r="D2820">
        <v>0</v>
      </c>
      <c r="E2820">
        <v>0</v>
      </c>
      <c r="F2820" t="s">
        <v>1138</v>
      </c>
      <c r="G2820" t="str" cm="1">
        <f t="array" ref="G2820" xml:space="preserve"> FindCountryName(F2820)</f>
        <v>Singapore</v>
      </c>
      <c r="H2820" s="1">
        <v>45263.367685185185</v>
      </c>
      <c r="I2820" s="1">
        <v>45263.367685185185</v>
      </c>
      <c r="J2820" s="1">
        <v>38892.228078703702</v>
      </c>
      <c r="K2820" cm="1">
        <f t="array" ref="K2820" xml:space="preserve"> sentimentCalc(C2820)</f>
        <v>0</v>
      </c>
      <c r="L2820" t="str" cm="1">
        <f t="array" ref="L2820" xml:space="preserve"> sentimentCategory(K2820)</f>
        <v>Neutral</v>
      </c>
    </row>
    <row r="2821" spans="1:12">
      <c r="A2821" t="s">
        <v>955</v>
      </c>
      <c r="B2821" t="s">
        <v>1137</v>
      </c>
      <c r="C2821" t="str" cm="1">
        <f t="array" ref="C2821" xml:space="preserve"> CleanText(B2821)</f>
        <v>film</v>
      </c>
      <c r="D2821">
        <v>0</v>
      </c>
      <c r="E2821">
        <v>0</v>
      </c>
      <c r="F2821" t="s">
        <v>633</v>
      </c>
      <c r="G2821" t="str" cm="1">
        <f t="array" ref="G2821" xml:space="preserve"> FindCountryName(F2821)</f>
        <v>Indonesia</v>
      </c>
      <c r="H2821" s="1">
        <v>45263.348958333336</v>
      </c>
      <c r="I2821" s="1">
        <v>45263.348958333336</v>
      </c>
      <c r="J2821" s="1">
        <v>44802.017164351855</v>
      </c>
      <c r="K2821" cm="1">
        <f t="array" ref="K2821" xml:space="preserve"> sentimentCalc(C2821)</f>
        <v>0</v>
      </c>
      <c r="L2821" t="str" cm="1">
        <f t="array" ref="L2821" xml:space="preserve"> sentimentCategory(K2821)</f>
        <v>Neutral</v>
      </c>
    </row>
    <row r="2822" spans="1:12">
      <c r="A2822" t="s">
        <v>43</v>
      </c>
      <c r="B2822" t="s">
        <v>1136</v>
      </c>
      <c r="C2822" t="str" cm="1">
        <f t="array" ref="C2822" xml:space="preserve"> CleanText(B2822)</f>
        <v>i wanna see the mouth foaming guy in this please</v>
      </c>
      <c r="D2822">
        <v>1</v>
      </c>
      <c r="E2822">
        <v>0</v>
      </c>
      <c r="F2822" t="s">
        <v>0</v>
      </c>
      <c r="G2822" t="str" cm="1">
        <f t="array" ref="G2822" xml:space="preserve"> FindCountryName(F2822)</f>
        <v>None</v>
      </c>
      <c r="H2822" s="1">
        <v>45263.344629629632</v>
      </c>
      <c r="I2822" s="1">
        <v>45263.344629629632</v>
      </c>
      <c r="J2822" s="1">
        <v>44439.527858796297</v>
      </c>
      <c r="K2822" cm="1">
        <f t="array" ref="K2822" xml:space="preserve"> sentimentCalc(C2822)</f>
        <v>1</v>
      </c>
      <c r="L2822" t="str" cm="1">
        <f t="array" ref="L2822" xml:space="preserve"> sentimentCategory(K2822)</f>
        <v>Positive</v>
      </c>
    </row>
    <row r="2823" spans="1:12">
      <c r="A2823" t="s">
        <v>1135</v>
      </c>
      <c r="B2823" t="s">
        <v>1134</v>
      </c>
      <c r="C2823" t="str" cm="1">
        <f t="array" ref="C2823" xml:space="preserve"> CleanText(B2823)</f>
        <v>i got the chills this looks absolutely awesome btw bravo for the casting i cant wait to see this</v>
      </c>
      <c r="D2823">
        <v>20</v>
      </c>
      <c r="E2823">
        <v>0</v>
      </c>
      <c r="F2823" t="s">
        <v>0</v>
      </c>
      <c r="G2823" t="str" cm="1">
        <f t="array" ref="G2823" xml:space="preserve"> FindCountryName(F2823)</f>
        <v>None</v>
      </c>
      <c r="H2823" s="1">
        <v>45263.315625000003</v>
      </c>
      <c r="I2823" s="1">
        <v>45263.315625000003</v>
      </c>
      <c r="J2823" s="1">
        <v>43896.74255787037</v>
      </c>
      <c r="K2823" cm="1">
        <f t="array" ref="K2823" xml:space="preserve"> sentimentCalc(C2823)</f>
        <v>4</v>
      </c>
      <c r="L2823" t="str" cm="1">
        <f t="array" ref="L2823" xml:space="preserve"> sentimentCategory(K2823)</f>
        <v>Positive</v>
      </c>
    </row>
    <row r="2824" spans="1:12">
      <c r="A2824" t="s">
        <v>796</v>
      </c>
      <c r="B2824" t="s">
        <v>1133</v>
      </c>
      <c r="C2824" t="str" cm="1">
        <f t="array" ref="C2824" xml:space="preserve"> CleanText(B2824)</f>
        <v>uffff se ve bastante bueno esperemos que esta sea la buena</v>
      </c>
      <c r="D2824">
        <v>0</v>
      </c>
      <c r="E2824">
        <v>0</v>
      </c>
      <c r="F2824" t="s">
        <v>0</v>
      </c>
      <c r="G2824" t="str" cm="1">
        <f t="array" ref="G2824" xml:space="preserve"> FindCountryName(F2824)</f>
        <v>None</v>
      </c>
      <c r="H2824" s="1">
        <v>45263.263229166667</v>
      </c>
      <c r="I2824" s="1">
        <v>45263.263229166667</v>
      </c>
      <c r="J2824" s="1">
        <v>43571.666666666664</v>
      </c>
      <c r="K2824" cm="1">
        <f t="array" ref="K2824" xml:space="preserve"> sentimentCalc(C2824)</f>
        <v>0</v>
      </c>
      <c r="L2824" t="str" cm="1">
        <f t="array" ref="L2824" xml:space="preserve"> sentimentCategory(K2824)</f>
        <v>Neutral</v>
      </c>
    </row>
    <row r="2825" spans="1:12">
      <c r="A2825" t="s">
        <v>86</v>
      </c>
      <c r="B2825" t="s">
        <v>1132</v>
      </c>
      <c r="C2825" t="str" cm="1">
        <f t="array" ref="C2825" xml:space="preserve"> CleanText(B2825)</f>
        <v>cant wait</v>
      </c>
      <c r="D2825">
        <v>0</v>
      </c>
      <c r="E2825">
        <v>0</v>
      </c>
      <c r="F2825" t="s">
        <v>0</v>
      </c>
      <c r="G2825" t="str" cm="1">
        <f t="array" ref="G2825" xml:space="preserve"> FindCountryName(F2825)</f>
        <v>None</v>
      </c>
      <c r="H2825" s="1">
        <v>45263.22861111111</v>
      </c>
      <c r="I2825" s="1">
        <v>45263.22861111111</v>
      </c>
      <c r="J2825" s="1">
        <v>42609.303240740737</v>
      </c>
      <c r="K2825" cm="1">
        <f t="array" ref="K2825" xml:space="preserve"> sentimentCalc(C2825)</f>
        <v>0</v>
      </c>
      <c r="L2825" t="str" cm="1">
        <f t="array" ref="L2825" xml:space="preserve"> sentimentCategory(K2825)</f>
        <v>Neutral</v>
      </c>
    </row>
    <row r="2826" spans="1:12">
      <c r="A2826" t="s">
        <v>1131</v>
      </c>
      <c r="B2826" t="s">
        <v>1130</v>
      </c>
      <c r="C2826" t="str" cm="1">
        <f t="array" ref="C2826" xml:space="preserve"> CleanText(B2826)</f>
        <v>im still wating for the day they actually do sokka and katara right like is it really that hard to find the right skin color</v>
      </c>
      <c r="D2826">
        <v>0</v>
      </c>
      <c r="E2826">
        <v>0</v>
      </c>
      <c r="F2826" t="s">
        <v>112</v>
      </c>
      <c r="G2826" t="str" cm="1">
        <f t="array" ref="G2826" xml:space="preserve"> FindCountryName(F2826)</f>
        <v>Canada</v>
      </c>
      <c r="H2826" s="1">
        <v>45263.227233796293</v>
      </c>
      <c r="I2826" s="1">
        <v>45263.227233796293</v>
      </c>
      <c r="J2826" s="1">
        <v>39627.698055555556</v>
      </c>
      <c r="K2826" cm="1">
        <f t="array" ref="K2826" xml:space="preserve"> sentimentCalc(C2826)</f>
        <v>1</v>
      </c>
      <c r="L2826" t="str" cm="1">
        <f t="array" ref="L2826" xml:space="preserve"> sentimentCategory(K2826)</f>
        <v>Positive</v>
      </c>
    </row>
    <row r="2827" spans="1:12">
      <c r="A2827" t="s">
        <v>1129</v>
      </c>
      <c r="B2827" t="s">
        <v>1128</v>
      </c>
      <c r="C2827" t="str" cm="1">
        <f t="array" ref="C2827" xml:space="preserve"> CleanText(B2827)</f>
        <v>й    ж   ж      . й х  й        ж щ    n</v>
      </c>
      <c r="D2827">
        <v>0</v>
      </c>
      <c r="E2827">
        <v>0</v>
      </c>
      <c r="F2827" t="s">
        <v>944</v>
      </c>
      <c r="G2827" t="str" cm="1">
        <f t="array" ref="G2827" xml:space="preserve"> FindCountryName(F2827)</f>
        <v>Russian Federation (the)</v>
      </c>
      <c r="H2827" s="1">
        <v>45263.219282407408</v>
      </c>
      <c r="I2827" s="1">
        <v>45263.219282407408</v>
      </c>
      <c r="J2827" s="1">
        <v>42107.485381944447</v>
      </c>
      <c r="K2827" cm="1">
        <f t="array" ref="K2827" xml:space="preserve"> sentimentCalc(C2827)</f>
        <v>0</v>
      </c>
      <c r="L2827" t="str" cm="1">
        <f t="array" ref="L2827" xml:space="preserve"> sentimentCategory(K2827)</f>
        <v>Neutral</v>
      </c>
    </row>
    <row r="2828" spans="1:12">
      <c r="A2828" t="s">
        <v>1006</v>
      </c>
      <c r="B2828" t="s">
        <v>1127</v>
      </c>
      <c r="C2828" t="str" cm="1">
        <f t="array" ref="C2828" xml:space="preserve"> CleanText(B2828)</f>
        <v>looks promising hopefully they stick to the story and do it justice</v>
      </c>
      <c r="D2828">
        <v>0</v>
      </c>
      <c r="E2828">
        <v>0</v>
      </c>
      <c r="F2828" t="s">
        <v>19</v>
      </c>
      <c r="G2828" t="str" cm="1">
        <f t="array" ref="G2828" xml:space="preserve"> FindCountryName(F2828)</f>
        <v>United States of America (the)</v>
      </c>
      <c r="H2828" s="1">
        <v>45263.21303240741</v>
      </c>
      <c r="I2828" s="1">
        <v>45263.21303240741</v>
      </c>
      <c r="J2828" s="1">
        <v>44963.592557870368</v>
      </c>
      <c r="K2828" cm="1">
        <f t="array" ref="K2828" xml:space="preserve"> sentimentCalc(C2828)</f>
        <v>4</v>
      </c>
      <c r="L2828" t="str" cm="1">
        <f t="array" ref="L2828" xml:space="preserve"> sentimentCategory(K2828)</f>
        <v>Positive</v>
      </c>
    </row>
    <row r="2829" spans="1:12">
      <c r="A2829" t="s">
        <v>1126</v>
      </c>
      <c r="B2829" t="s">
        <v>1125</v>
      </c>
      <c r="C2829" t="str" cm="1">
        <f t="array" ref="C2829" xml:space="preserve"> CleanText(B2829)</f>
        <v>ok lets try this one more time</v>
      </c>
      <c r="D2829">
        <v>0</v>
      </c>
      <c r="E2829">
        <v>0</v>
      </c>
      <c r="F2829" t="s">
        <v>0</v>
      </c>
      <c r="G2829" t="str" cm="1">
        <f t="array" ref="G2829" xml:space="preserve"> FindCountryName(F2829)</f>
        <v>None</v>
      </c>
      <c r="H2829" s="1">
        <v>45263.194664351853</v>
      </c>
      <c r="I2829" s="1">
        <v>45263.194664351853</v>
      </c>
      <c r="J2829" s="1">
        <v>43837.222210648149</v>
      </c>
      <c r="K2829" cm="1">
        <f t="array" ref="K2829" xml:space="preserve"> sentimentCalc(C2829)</f>
        <v>0</v>
      </c>
      <c r="L2829" t="str" cm="1">
        <f t="array" ref="L2829" xml:space="preserve"> sentimentCategory(K2829)</f>
        <v>Neutral</v>
      </c>
    </row>
    <row r="2830" spans="1:12">
      <c r="A2830" t="s">
        <v>1112</v>
      </c>
      <c r="B2830" t="s">
        <v>1124</v>
      </c>
      <c r="C2830" t="str" cm="1">
        <f t="array" ref="C2830" xml:space="preserve"> CleanText(B2830)</f>
        <v>i hope its as accurate as they can make it be ill really love that</v>
      </c>
      <c r="D2830">
        <v>0</v>
      </c>
      <c r="E2830">
        <v>0</v>
      </c>
      <c r="F2830" t="s">
        <v>0</v>
      </c>
      <c r="G2830" t="str" cm="1">
        <f t="array" ref="G2830" xml:space="preserve"> FindCountryName(F2830)</f>
        <v>None</v>
      </c>
      <c r="H2830" s="1">
        <v>45263.163935185185</v>
      </c>
      <c r="I2830" s="1">
        <v>45263.163935185185</v>
      </c>
      <c r="J2830" s="1">
        <v>44620.794502314813</v>
      </c>
      <c r="K2830" cm="1">
        <f t="array" ref="K2830" xml:space="preserve"> sentimentCalc(C2830)</f>
        <v>3</v>
      </c>
      <c r="L2830" t="str" cm="1">
        <f t="array" ref="L2830" xml:space="preserve"> sentimentCategory(K2830)</f>
        <v>Positive</v>
      </c>
    </row>
    <row r="2831" spans="1:12">
      <c r="A2831" t="s">
        <v>902</v>
      </c>
      <c r="B2831" t="s">
        <v>1123</v>
      </c>
      <c r="C2831" t="str" cm="1">
        <f t="array" ref="C2831" xml:space="preserve"> CleanText(B2831)</f>
        <v>if all goes well this is gonna be the next stranger things for sure</v>
      </c>
      <c r="D2831">
        <v>0</v>
      </c>
      <c r="E2831">
        <v>0</v>
      </c>
      <c r="F2831" t="s">
        <v>0</v>
      </c>
      <c r="G2831" t="str" cm="1">
        <f t="array" ref="G2831" xml:space="preserve"> FindCountryName(F2831)</f>
        <v>None</v>
      </c>
      <c r="H2831" s="1">
        <v>45263.142962962964</v>
      </c>
      <c r="I2831" s="1">
        <v>45263.143645833334</v>
      </c>
      <c r="J2831" s="1">
        <v>41607.754930555559</v>
      </c>
      <c r="K2831" cm="1">
        <f t="array" ref="K2831" xml:space="preserve"> sentimentCalc(C2831)</f>
        <v>0</v>
      </c>
      <c r="L2831" t="str" cm="1">
        <f t="array" ref="L2831" xml:space="preserve"> sentimentCategory(K2831)</f>
        <v>Neutral</v>
      </c>
    </row>
    <row r="2832" spans="1:12">
      <c r="A2832" t="s">
        <v>653</v>
      </c>
      <c r="B2832" t="s">
        <v>1122</v>
      </c>
      <c r="C2832" t="str" cm="1">
        <f t="array" ref="C2832" xml:space="preserve"> CleanText(B2832)</f>
        <v>kereeeennn anjiirrr</v>
      </c>
      <c r="D2832">
        <v>0</v>
      </c>
      <c r="E2832">
        <v>0</v>
      </c>
      <c r="F2832" t="s">
        <v>0</v>
      </c>
      <c r="G2832" t="str" cm="1">
        <f t="array" ref="G2832" xml:space="preserve"> FindCountryName(F2832)</f>
        <v>None</v>
      </c>
      <c r="H2832" s="1">
        <v>45263.104131944441</v>
      </c>
      <c r="I2832" s="1">
        <v>45263.104131944441</v>
      </c>
      <c r="J2832" s="1">
        <v>43600.179236111115</v>
      </c>
      <c r="K2832" cm="1">
        <f t="array" ref="K2832" xml:space="preserve"> sentimentCalc(C2832)</f>
        <v>0</v>
      </c>
      <c r="L2832" t="str" cm="1">
        <f t="array" ref="L2832" xml:space="preserve"> sentimentCategory(K2832)</f>
        <v>Neutral</v>
      </c>
    </row>
    <row r="2833" spans="1:12">
      <c r="A2833" t="s">
        <v>357</v>
      </c>
      <c r="B2833" t="s">
        <v>63</v>
      </c>
      <c r="C2833" t="str" cm="1">
        <f t="array" ref="C2833" xml:space="preserve"> CleanText(B2833)</f>
        <v>release it now</v>
      </c>
      <c r="D2833">
        <v>0</v>
      </c>
      <c r="E2833">
        <v>0</v>
      </c>
      <c r="F2833" t="s">
        <v>0</v>
      </c>
      <c r="G2833" t="str" cm="1">
        <f t="array" ref="G2833" xml:space="preserve"> FindCountryName(F2833)</f>
        <v>None</v>
      </c>
      <c r="H2833" s="1">
        <v>45263.089236111111</v>
      </c>
      <c r="I2833" s="1">
        <v>45263.089236111111</v>
      </c>
      <c r="J2833" s="1">
        <v>41233.774247685185</v>
      </c>
      <c r="K2833" cm="1">
        <f t="array" ref="K2833" xml:space="preserve"> sentimentCalc(C2833)</f>
        <v>0</v>
      </c>
      <c r="L2833" t="str" cm="1">
        <f t="array" ref="L2833" xml:space="preserve"> sentimentCategory(K2833)</f>
        <v>Neutral</v>
      </c>
    </row>
    <row r="2834" spans="1:12">
      <c r="A2834" t="s">
        <v>1121</v>
      </c>
      <c r="B2834" t="s">
        <v>1120</v>
      </c>
      <c r="C2834" t="str" cm="1">
        <f t="array" ref="C2834" xml:space="preserve"> CleanText(B2834)</f>
        <v>wtf if 5 its zuko he shouldnt have a face afterwards</v>
      </c>
      <c r="D2834">
        <v>0</v>
      </c>
      <c r="E2834">
        <v>0</v>
      </c>
      <c r="F2834" t="s">
        <v>0</v>
      </c>
      <c r="G2834" t="str" cm="1">
        <f t="array" ref="G2834" xml:space="preserve"> FindCountryName(F2834)</f>
        <v>None</v>
      </c>
      <c r="H2834" s="1">
        <v>45263.070277777777</v>
      </c>
      <c r="I2834" s="1">
        <v>45263.070277777777</v>
      </c>
      <c r="J2834" s="1">
        <v>43597.715995370374</v>
      </c>
      <c r="K2834" cm="1">
        <f t="array" ref="K2834" xml:space="preserve"> sentimentCalc(C2834)</f>
        <v>0</v>
      </c>
      <c r="L2834" t="str" cm="1">
        <f t="array" ref="L2834" xml:space="preserve"> sentimentCategory(K2834)</f>
        <v>Neutral</v>
      </c>
    </row>
    <row r="2835" spans="1:12">
      <c r="A2835" t="s">
        <v>1119</v>
      </c>
      <c r="B2835" t="s">
        <v>1118</v>
      </c>
      <c r="C2835" t="str" cm="1">
        <f t="array" ref="C2835" xml:space="preserve"> CleanText(B2835)</f>
        <v>i thought this was avatar  what is this nonsense</v>
      </c>
      <c r="D2835">
        <v>0</v>
      </c>
      <c r="E2835">
        <v>3</v>
      </c>
      <c r="F2835" t="s">
        <v>0</v>
      </c>
      <c r="G2835" t="str" cm="1">
        <f t="array" ref="G2835" xml:space="preserve"> FindCountryName(F2835)</f>
        <v>None</v>
      </c>
      <c r="H2835" s="1">
        <v>45263.012812499997</v>
      </c>
      <c r="I2835" s="1">
        <v>45263.012812499997</v>
      </c>
      <c r="J2835" s="1">
        <v>44264.495937500003</v>
      </c>
      <c r="K2835" cm="1">
        <f t="array" ref="K2835" xml:space="preserve"> sentimentCalc(C2835)</f>
        <v>-2</v>
      </c>
      <c r="L2835" t="str" cm="1">
        <f t="array" ref="L2835" xml:space="preserve"> sentimentCategory(K2835)</f>
        <v>Negative</v>
      </c>
    </row>
    <row r="2836" spans="1:12">
      <c r="A2836" t="s">
        <v>1117</v>
      </c>
      <c r="B2836" t="s">
        <v>1116</v>
      </c>
      <c r="C2836" t="str" cm="1">
        <f t="array" ref="C2836" xml:space="preserve"> CleanText(B2836)</f>
        <v>yeah just go ahead and cancel this one delete all the files</v>
      </c>
      <c r="D2836">
        <v>0</v>
      </c>
      <c r="E2836">
        <v>0</v>
      </c>
      <c r="F2836" t="s">
        <v>0</v>
      </c>
      <c r="G2836" t="str" cm="1">
        <f t="array" ref="G2836" xml:space="preserve"> FindCountryName(F2836)</f>
        <v>None</v>
      </c>
      <c r="H2836" s="1">
        <v>45262.988749999997</v>
      </c>
      <c r="I2836" s="1">
        <v>45262.988749999997</v>
      </c>
      <c r="J2836" s="1">
        <v>45043.36917824074</v>
      </c>
      <c r="K2836" cm="1">
        <f t="array" ref="K2836" xml:space="preserve"> sentimentCalc(C2836)</f>
        <v>0</v>
      </c>
      <c r="L2836" t="str" cm="1">
        <f t="array" ref="L2836" xml:space="preserve"> sentimentCategory(K2836)</f>
        <v>Neutral</v>
      </c>
    </row>
    <row r="2837" spans="1:12">
      <c r="A2837" t="s">
        <v>1112</v>
      </c>
      <c r="B2837" t="s">
        <v>1115</v>
      </c>
      <c r="C2837" t="str" cm="1">
        <f t="array" ref="C2837" xml:space="preserve"> CleanText(B2837)</f>
        <v>cant wait to see aang become the ocean spirit in the live action</v>
      </c>
      <c r="D2837">
        <v>0</v>
      </c>
      <c r="E2837">
        <v>0</v>
      </c>
      <c r="F2837" t="s">
        <v>0</v>
      </c>
      <c r="G2837" t="str" cm="1">
        <f t="array" ref="G2837" xml:space="preserve"> FindCountryName(F2837)</f>
        <v>None</v>
      </c>
      <c r="H2837" s="1">
        <v>45262.987291666665</v>
      </c>
      <c r="I2837" s="1">
        <v>45262.987291666665</v>
      </c>
      <c r="J2837" s="1">
        <v>44780.166967592595</v>
      </c>
      <c r="K2837" cm="1">
        <f t="array" ref="K2837" xml:space="preserve"> sentimentCalc(C2837)</f>
        <v>1</v>
      </c>
      <c r="L2837" t="str" cm="1">
        <f t="array" ref="L2837" xml:space="preserve"> sentimentCategory(K2837)</f>
        <v>Positive</v>
      </c>
    </row>
    <row r="2838" spans="1:12">
      <c r="A2838" t="s">
        <v>1114</v>
      </c>
      <c r="B2838" t="s">
        <v>1113</v>
      </c>
      <c r="C2838" t="str" cm="1">
        <f t="array" ref="C2838" xml:space="preserve"> CleanText(B2838)</f>
        <v>cant truly wait</v>
      </c>
      <c r="D2838">
        <v>0</v>
      </c>
      <c r="E2838">
        <v>0</v>
      </c>
      <c r="F2838" t="s">
        <v>0</v>
      </c>
      <c r="G2838" t="str" cm="1">
        <f t="array" ref="G2838" xml:space="preserve"> FindCountryName(F2838)</f>
        <v>None</v>
      </c>
      <c r="H2838" s="1">
        <v>45262.984027777777</v>
      </c>
      <c r="I2838" s="1">
        <v>45262.984027777777</v>
      </c>
      <c r="J2838" s="1">
        <v>41649.801458333335</v>
      </c>
      <c r="K2838" cm="1">
        <f t="array" ref="K2838" xml:space="preserve"> sentimentCalc(C2838)</f>
        <v>0</v>
      </c>
      <c r="L2838" t="str" cm="1">
        <f t="array" ref="L2838" xml:space="preserve"> sentimentCategory(K2838)</f>
        <v>Neutral</v>
      </c>
    </row>
    <row r="2839" spans="1:12">
      <c r="A2839" t="s">
        <v>1112</v>
      </c>
      <c r="B2839" t="s">
        <v>1111</v>
      </c>
      <c r="C2839" t="str" cm="1">
        <f t="array" ref="C2839" xml:space="preserve"> CleanText(B2839)</f>
        <v>heyy when is the trailer release</v>
      </c>
      <c r="D2839">
        <v>0</v>
      </c>
      <c r="E2839">
        <v>0</v>
      </c>
      <c r="F2839" t="s">
        <v>0</v>
      </c>
      <c r="G2839" t="str" cm="1">
        <f t="array" ref="G2839" xml:space="preserve"> FindCountryName(F2839)</f>
        <v>None</v>
      </c>
      <c r="H2839" s="1">
        <v>45262.980069444442</v>
      </c>
      <c r="I2839" s="1">
        <v>45262.980069444442</v>
      </c>
      <c r="J2839" s="1">
        <v>44780.166967592595</v>
      </c>
      <c r="K2839" cm="1">
        <f t="array" ref="K2839" xml:space="preserve"> sentimentCalc(C2839)</f>
        <v>0</v>
      </c>
      <c r="L2839" t="str" cm="1">
        <f t="array" ref="L2839" xml:space="preserve"> sentimentCategory(K2839)</f>
        <v>Neutral</v>
      </c>
    </row>
    <row r="2840" spans="1:12">
      <c r="A2840" t="s">
        <v>483</v>
      </c>
      <c r="B2840" t="s">
        <v>1110</v>
      </c>
      <c r="C2840" t="str" cm="1">
        <f t="array" ref="C2840" xml:space="preserve"> CleanText(B2840)</f>
        <v>really sad that toph wasnt shown here it wouldve all too perfect of a fit for her too</v>
      </c>
      <c r="D2840">
        <v>0</v>
      </c>
      <c r="E2840">
        <v>2</v>
      </c>
      <c r="F2840" t="s">
        <v>0</v>
      </c>
      <c r="G2840" t="str" cm="1">
        <f t="array" ref="G2840" xml:space="preserve"> FindCountryName(F2840)</f>
        <v>None</v>
      </c>
      <c r="H2840" s="1">
        <v>45262.965937499997</v>
      </c>
      <c r="I2840" s="1">
        <v>45262.965937499997</v>
      </c>
      <c r="J2840" s="1">
        <v>42088.001979166664</v>
      </c>
      <c r="K2840" cm="1">
        <f t="array" ref="K2840" xml:space="preserve"> sentimentCalc(C2840)</f>
        <v>2</v>
      </c>
      <c r="L2840" t="str" cm="1">
        <f t="array" ref="L2840" xml:space="preserve"> sentimentCategory(K2840)</f>
        <v>Positive</v>
      </c>
    </row>
    <row r="2841" spans="1:12">
      <c r="A2841" t="s">
        <v>483</v>
      </c>
      <c r="B2841" t="s">
        <v>1109</v>
      </c>
      <c r="C2841" t="str" cm="1">
        <f t="array" ref="C2841" xml:space="preserve"> CleanText(B2841)</f>
        <v>0 thats azula she could pass off for more of ty lee but okay i guess ill roll with it</v>
      </c>
      <c r="D2841">
        <v>0</v>
      </c>
      <c r="E2841">
        <v>1</v>
      </c>
      <c r="F2841" t="s">
        <v>0</v>
      </c>
      <c r="G2841" t="str" cm="1">
        <f t="array" ref="G2841" xml:space="preserve"> FindCountryName(F2841)</f>
        <v>None</v>
      </c>
      <c r="H2841" s="1">
        <v>45262.963865740741</v>
      </c>
      <c r="I2841" s="1">
        <v>45262.964039351849</v>
      </c>
      <c r="J2841" s="1">
        <v>42088.001979166664</v>
      </c>
      <c r="K2841" cm="1">
        <f t="array" ref="K2841" xml:space="preserve"> sentimentCalc(C2841)</f>
        <v>-2</v>
      </c>
      <c r="L2841" t="str" cm="1">
        <f t="array" ref="L2841" xml:space="preserve"> sentimentCategory(K2841)</f>
        <v>Negative</v>
      </c>
    </row>
    <row r="2842" spans="1:12">
      <c r="A2842" t="s">
        <v>1108</v>
      </c>
      <c r="B2842" t="s">
        <v>1107</v>
      </c>
      <c r="C2842" t="str" cm="1">
        <f t="array" ref="C2842" xml:space="preserve"> CleanText(B2842)</f>
        <v>fuu man chuu</v>
      </c>
      <c r="D2842">
        <v>0</v>
      </c>
      <c r="E2842">
        <v>0</v>
      </c>
      <c r="F2842" t="s">
        <v>39</v>
      </c>
      <c r="G2842" t="str" cm="1">
        <f t="array" ref="G2842" xml:space="preserve"> FindCountryName(F2842)</f>
        <v>United Kingdom of Great Britain and Northern Ireland (the)</v>
      </c>
      <c r="H2842" s="1">
        <v>45262.938506944447</v>
      </c>
      <c r="I2842" s="1">
        <v>45262.938506944447</v>
      </c>
      <c r="J2842" s="1">
        <v>44530.510023148148</v>
      </c>
      <c r="K2842" cm="1">
        <f t="array" ref="K2842" xml:space="preserve"> sentimentCalc(C2842)</f>
        <v>0</v>
      </c>
      <c r="L2842" t="str" cm="1">
        <f t="array" ref="L2842" xml:space="preserve"> sentimentCategory(K2842)</f>
        <v>Neutral</v>
      </c>
    </row>
    <row r="2843" spans="1:12">
      <c r="A2843" t="s">
        <v>1106</v>
      </c>
      <c r="B2843" t="s">
        <v>1105</v>
      </c>
      <c r="C2843" t="str" cm="1">
        <f t="array" ref="C2843" xml:space="preserve"> CleanText(B2843)</f>
        <v>better then the last one right</v>
      </c>
      <c r="D2843">
        <v>1</v>
      </c>
      <c r="E2843">
        <v>0</v>
      </c>
      <c r="F2843" t="s">
        <v>0</v>
      </c>
      <c r="G2843" t="str" cm="1">
        <f t="array" ref="G2843" xml:space="preserve"> FindCountryName(F2843)</f>
        <v>None</v>
      </c>
      <c r="H2843" s="1">
        <v>45262.925995370373</v>
      </c>
      <c r="I2843" s="1">
        <v>45262.925995370373</v>
      </c>
      <c r="J2843" s="1">
        <v>45023.84065972222</v>
      </c>
      <c r="K2843" cm="1">
        <f t="array" ref="K2843" xml:space="preserve"> sentimentCalc(C2843)</f>
        <v>2</v>
      </c>
      <c r="L2843" t="str" cm="1">
        <f t="array" ref="L2843" xml:space="preserve"> sentimentCategory(K2843)</f>
        <v>Positive</v>
      </c>
    </row>
    <row r="2844" spans="1:12">
      <c r="A2844" t="s">
        <v>259</v>
      </c>
      <c r="B2844" t="s">
        <v>1104</v>
      </c>
      <c r="C2844" t="str" cm="1">
        <f t="array" ref="C2844" xml:space="preserve"> CleanText(B2844)</f>
        <v>it actually looks like from the original series</v>
      </c>
      <c r="D2844">
        <v>0</v>
      </c>
      <c r="E2844">
        <v>0</v>
      </c>
      <c r="F2844" t="s">
        <v>0</v>
      </c>
      <c r="G2844" t="str" cm="1">
        <f t="array" ref="G2844" xml:space="preserve"> FindCountryName(F2844)</f>
        <v>None</v>
      </c>
      <c r="H2844" s="1">
        <v>45262.889548611114</v>
      </c>
      <c r="I2844" s="1">
        <v>45262.889548611114</v>
      </c>
      <c r="J2844" s="1">
        <v>44117.339849537035</v>
      </c>
      <c r="K2844" cm="1">
        <f t="array" ref="K2844" xml:space="preserve"> sentimentCalc(C2844)</f>
        <v>2</v>
      </c>
      <c r="L2844" t="str" cm="1">
        <f t="array" ref="L2844" xml:space="preserve"> sentimentCategory(K2844)</f>
        <v>Positive</v>
      </c>
    </row>
    <row r="2845" spans="1:12">
      <c r="A2845" t="s">
        <v>357</v>
      </c>
      <c r="B2845" t="s">
        <v>1103</v>
      </c>
      <c r="C2845" t="str" cm="1">
        <f t="array" ref="C2845" xml:space="preserve"> CleanText(B2845)</f>
        <v>, you know sts about to go hard when this banger of a theme kicks in</v>
      </c>
      <c r="D2845">
        <v>0</v>
      </c>
      <c r="E2845">
        <v>0</v>
      </c>
      <c r="F2845" t="s">
        <v>19</v>
      </c>
      <c r="G2845" t="str" cm="1">
        <f t="array" ref="G2845" xml:space="preserve"> FindCountryName(F2845)</f>
        <v>United States of America (the)</v>
      </c>
      <c r="H2845" s="1">
        <v>45262.84951388889</v>
      </c>
      <c r="I2845" s="1">
        <v>45262.84951388889</v>
      </c>
      <c r="J2845" s="1">
        <v>43543.843333333331</v>
      </c>
      <c r="K2845" cm="1">
        <f t="array" ref="K2845" xml:space="preserve"> sentimentCalc(C2845)</f>
        <v>-1</v>
      </c>
      <c r="L2845" t="str" cm="1">
        <f t="array" ref="L2845" xml:space="preserve"> sentimentCategory(K2845)</f>
        <v>Negative</v>
      </c>
    </row>
    <row r="2846" spans="1:12">
      <c r="A2846" t="s">
        <v>824</v>
      </c>
      <c r="B2846" t="s">
        <v>1102</v>
      </c>
      <c r="C2846" t="str" cm="1">
        <f t="array" ref="C2846" xml:space="preserve"> CleanText(B2846)</f>
        <v>i hope shamalamalan looks at this and regrets his decision to treat such an amazing franchise with the amount of disdain that he did</v>
      </c>
      <c r="D2846">
        <v>2</v>
      </c>
      <c r="E2846">
        <v>0</v>
      </c>
      <c r="F2846" t="s">
        <v>0</v>
      </c>
      <c r="G2846" t="str" cm="1">
        <f t="array" ref="G2846" xml:space="preserve"> FindCountryName(F2846)</f>
        <v>None</v>
      </c>
      <c r="H2846" s="1">
        <v>45262.841296296298</v>
      </c>
      <c r="I2846" s="1">
        <v>45262.841296296298</v>
      </c>
      <c r="J2846" s="1">
        <v>42201.9140162037</v>
      </c>
      <c r="K2846" cm="1">
        <f t="array" ref="K2846" xml:space="preserve"> sentimentCalc(C2846)</f>
        <v>2</v>
      </c>
      <c r="L2846" t="str" cm="1">
        <f t="array" ref="L2846" xml:space="preserve"> sentimentCategory(K2846)</f>
        <v>Positive</v>
      </c>
    </row>
    <row r="2847" spans="1:12">
      <c r="A2847" t="s">
        <v>462</v>
      </c>
      <c r="B2847" t="s">
        <v>457</v>
      </c>
      <c r="C2847" t="str" cm="1">
        <f t="array" ref="C2847" xml:space="preserve"> CleanText(B2847)</f>
        <v>n</v>
      </c>
      <c r="D2847">
        <v>1</v>
      </c>
      <c r="E2847">
        <v>0</v>
      </c>
      <c r="F2847" t="s">
        <v>0</v>
      </c>
      <c r="G2847" t="str" cm="1">
        <f t="array" ref="G2847" xml:space="preserve"> FindCountryName(F2847)</f>
        <v>None</v>
      </c>
      <c r="H2847" s="1">
        <v>45262.804247685184</v>
      </c>
      <c r="I2847" s="1">
        <v>45262.804247685184</v>
      </c>
      <c r="J2847" s="1">
        <v>43883.210358796299</v>
      </c>
      <c r="K2847" cm="1">
        <f t="array" ref="K2847" xml:space="preserve"> sentimentCalc(C2847)</f>
        <v>0</v>
      </c>
      <c r="L2847" t="str" cm="1">
        <f t="array" ref="L2847" xml:space="preserve"> sentimentCategory(K2847)</f>
        <v>Neutral</v>
      </c>
    </row>
    <row r="2848" spans="1:12">
      <c r="A2848" t="s">
        <v>30</v>
      </c>
      <c r="B2848" t="s">
        <v>1101</v>
      </c>
      <c r="C2848" t="str" cm="1">
        <f t="array" ref="C2848" xml:space="preserve"> CleanText(B2848)</f>
        <v>i dont like the aang actor he seems way too serious aaang is a friendly happy boy</v>
      </c>
      <c r="D2848">
        <v>0</v>
      </c>
      <c r="E2848">
        <v>1</v>
      </c>
      <c r="F2848" t="s">
        <v>0</v>
      </c>
      <c r="G2848" t="str" cm="1">
        <f t="array" ref="G2848" xml:space="preserve"> FindCountryName(F2848)</f>
        <v>None</v>
      </c>
      <c r="H2848" s="1">
        <v>45262.771527777775</v>
      </c>
      <c r="I2848" s="1">
        <v>45262.771527777775</v>
      </c>
      <c r="J2848" s="1">
        <v>43924.184814814813</v>
      </c>
      <c r="K2848" cm="1">
        <f t="array" ref="K2848" xml:space="preserve"> sentimentCalc(C2848)</f>
        <v>7</v>
      </c>
      <c r="L2848" t="str" cm="1">
        <f t="array" ref="L2848" xml:space="preserve"> sentimentCategory(K2848)</f>
        <v>Positive</v>
      </c>
    </row>
    <row r="2849" spans="1:12">
      <c r="A2849" t="s">
        <v>1100</v>
      </c>
      <c r="B2849" t="s">
        <v>1099</v>
      </c>
      <c r="C2849" t="str" cm="1">
        <f t="array" ref="C2849" xml:space="preserve"> CleanText(B2849)</f>
        <v>this looks like trash  again</v>
      </c>
      <c r="D2849">
        <v>0</v>
      </c>
      <c r="E2849">
        <v>0</v>
      </c>
      <c r="F2849" t="s">
        <v>0</v>
      </c>
      <c r="G2849" t="str" cm="1">
        <f t="array" ref="G2849" xml:space="preserve"> FindCountryName(F2849)</f>
        <v>None</v>
      </c>
      <c r="H2849" s="1">
        <v>45262.680231481485</v>
      </c>
      <c r="I2849" s="1">
        <v>45262.680231481485</v>
      </c>
      <c r="J2849" s="1">
        <v>39313.518194444441</v>
      </c>
      <c r="K2849" cm="1">
        <f t="array" ref="K2849" xml:space="preserve"> sentimentCalc(C2849)</f>
        <v>2</v>
      </c>
      <c r="L2849" t="str" cm="1">
        <f t="array" ref="L2849" xml:space="preserve"> sentimentCategory(K2849)</f>
        <v>Positive</v>
      </c>
    </row>
    <row r="2850" spans="1:12">
      <c r="A2850" t="s">
        <v>47</v>
      </c>
      <c r="B2850" t="s">
        <v>1098</v>
      </c>
      <c r="C2850" t="str" cm="1">
        <f t="array" ref="C2850" xml:space="preserve"> CleanText(B2850)</f>
        <v>thats delicioso</v>
      </c>
      <c r="D2850">
        <v>1</v>
      </c>
      <c r="E2850">
        <v>0</v>
      </c>
      <c r="F2850" t="s">
        <v>0</v>
      </c>
      <c r="G2850" t="str" cm="1">
        <f t="array" ref="G2850" xml:space="preserve"> FindCountryName(F2850)</f>
        <v>None</v>
      </c>
      <c r="H2850" s="1">
        <v>45262.660127314812</v>
      </c>
      <c r="I2850" s="1">
        <v>45262.660127314812</v>
      </c>
      <c r="J2850" s="1">
        <v>43921.732592592591</v>
      </c>
      <c r="K2850" cm="1">
        <f t="array" ref="K2850" xml:space="preserve"> sentimentCalc(C2850)</f>
        <v>0</v>
      </c>
      <c r="L2850" t="str" cm="1">
        <f t="array" ref="L2850" xml:space="preserve"> sentimentCategory(K2850)</f>
        <v>Neutral</v>
      </c>
    </row>
    <row r="2851" spans="1:12">
      <c r="A2851" t="s">
        <v>291</v>
      </c>
      <c r="B2851" t="s">
        <v>1097</v>
      </c>
      <c r="C2851" t="str" cm="1">
        <f t="array" ref="C2851" xml:space="preserve"> CleanText(B2851)</f>
        <v>truly speaking i luv this trailer  im pleased with the characters looks much like the cartoon characters .  this will be way better than the first freaking movie</v>
      </c>
      <c r="D2851">
        <v>1</v>
      </c>
      <c r="E2851">
        <v>0</v>
      </c>
      <c r="F2851" t="s">
        <v>0</v>
      </c>
      <c r="G2851" t="str" cm="1">
        <f t="array" ref="G2851" xml:space="preserve"> FindCountryName(F2851)</f>
        <v>None</v>
      </c>
      <c r="H2851" s="1">
        <v>45262.643842592595</v>
      </c>
      <c r="I2851" s="1">
        <v>45262.643842592595</v>
      </c>
      <c r="J2851" s="1">
        <v>44616.544432870367</v>
      </c>
      <c r="K2851" cm="1">
        <f t="array" ref="K2851" xml:space="preserve"> sentimentCalc(C2851)</f>
        <v>7</v>
      </c>
      <c r="L2851" t="str" cm="1">
        <f t="array" ref="L2851" xml:space="preserve"> sentimentCategory(K2851)</f>
        <v>Positive</v>
      </c>
    </row>
    <row r="2852" spans="1:12">
      <c r="A2852" t="s">
        <v>1096</v>
      </c>
      <c r="B2852" t="s">
        <v>1095</v>
      </c>
      <c r="C2852" t="str" cm="1">
        <f t="array" ref="C2852" xml:space="preserve"> CleanText(B2852)</f>
        <v>they better continue the storyline and not cancel it like the first avatar</v>
      </c>
      <c r="D2852">
        <v>1</v>
      </c>
      <c r="E2852">
        <v>0</v>
      </c>
      <c r="F2852" t="s">
        <v>0</v>
      </c>
      <c r="G2852" t="str" cm="1">
        <f t="array" ref="G2852" xml:space="preserve"> FindCountryName(F2852)</f>
        <v>None</v>
      </c>
      <c r="H2852" s="1">
        <v>45262.639907407407</v>
      </c>
      <c r="I2852" s="1">
        <v>45262.639907407407</v>
      </c>
      <c r="J2852" s="1">
        <v>43194.662685185183</v>
      </c>
      <c r="K2852" cm="1">
        <f t="array" ref="K2852" xml:space="preserve"> sentimentCalc(C2852)</f>
        <v>3</v>
      </c>
      <c r="L2852" t="str" cm="1">
        <f t="array" ref="L2852" xml:space="preserve"> sentimentCategory(K2852)</f>
        <v>Positive</v>
      </c>
    </row>
    <row r="2853" spans="1:12">
      <c r="A2853" t="s">
        <v>4</v>
      </c>
      <c r="B2853" t="s">
        <v>1094</v>
      </c>
      <c r="C2853" t="str" cm="1">
        <f t="array" ref="C2853" xml:space="preserve"> CleanText(B2853)</f>
        <v>ok en netflix pero me encantara en el cine en d</v>
      </c>
      <c r="D2853">
        <v>1</v>
      </c>
      <c r="E2853">
        <v>0</v>
      </c>
      <c r="F2853" t="s">
        <v>1093</v>
      </c>
      <c r="G2853" t="str" cm="1">
        <f t="array" ref="G2853" xml:space="preserve"> FindCountryName(F2853)</f>
        <v>Mexico</v>
      </c>
      <c r="H2853" s="1">
        <v>45262.63857638889</v>
      </c>
      <c r="I2853" s="1">
        <v>45262.63857638889</v>
      </c>
      <c r="J2853" s="1">
        <v>42780.076990740738</v>
      </c>
      <c r="K2853" cm="1">
        <f t="array" ref="K2853" xml:space="preserve"> sentimentCalc(C2853)</f>
        <v>0</v>
      </c>
      <c r="L2853" t="str" cm="1">
        <f t="array" ref="L2853" xml:space="preserve"> sentimentCategory(K2853)</f>
        <v>Neutral</v>
      </c>
    </row>
    <row r="2854" spans="1:12">
      <c r="A2854" t="s">
        <v>653</v>
      </c>
      <c r="B2854" t="s">
        <v>1092</v>
      </c>
      <c r="C2854" t="str" cm="1">
        <f t="array" ref="C2854" xml:space="preserve"> CleanText(B2854)</f>
        <v>heres hoping its better than the movie although it would be nice if they did follow the original manga like the movie tired to</v>
      </c>
      <c r="D2854">
        <v>1</v>
      </c>
      <c r="E2854">
        <v>0</v>
      </c>
      <c r="F2854" t="s">
        <v>0</v>
      </c>
      <c r="G2854" t="str" cm="1">
        <f t="array" ref="G2854" xml:space="preserve"> FindCountryName(F2854)</f>
        <v>None</v>
      </c>
      <c r="H2854" s="1">
        <v>45262.634351851855</v>
      </c>
      <c r="I2854" s="1">
        <v>45262.634351851855</v>
      </c>
      <c r="J2854" s="1">
        <v>42592.768726851849</v>
      </c>
      <c r="K2854" cm="1">
        <f t="array" ref="K2854" xml:space="preserve"> sentimentCalc(C2854)</f>
        <v>7</v>
      </c>
      <c r="L2854" t="str" cm="1">
        <f t="array" ref="L2854" xml:space="preserve"> sentimentCategory(K2854)</f>
        <v>Positive</v>
      </c>
    </row>
    <row r="2855" spans="1:12">
      <c r="A2855" t="s">
        <v>1067</v>
      </c>
      <c r="B2855" t="s">
        <v>1091</v>
      </c>
      <c r="C2855" t="str" cm="1">
        <f t="array" ref="C2855" xml:space="preserve"> CleanText(B2855)</f>
        <v>neflix entendio todo</v>
      </c>
      <c r="D2855">
        <v>1</v>
      </c>
      <c r="E2855">
        <v>0</v>
      </c>
      <c r="F2855" t="s">
        <v>0</v>
      </c>
      <c r="G2855" t="str" cm="1">
        <f t="array" ref="G2855" xml:space="preserve"> FindCountryName(F2855)</f>
        <v>None</v>
      </c>
      <c r="H2855" s="1">
        <v>45262.587835648148</v>
      </c>
      <c r="I2855" s="1">
        <v>45262.587835648148</v>
      </c>
      <c r="J2855" s="1">
        <v>40744.051053240742</v>
      </c>
      <c r="K2855" cm="1">
        <f t="array" ref="K2855" xml:space="preserve"> sentimentCalc(C2855)</f>
        <v>0</v>
      </c>
      <c r="L2855" t="str" cm="1">
        <f t="array" ref="L2855" xml:space="preserve"> sentimentCategory(K2855)</f>
        <v>Neutral</v>
      </c>
    </row>
    <row r="2856" spans="1:12">
      <c r="A2856" t="s">
        <v>411</v>
      </c>
      <c r="B2856" t="s">
        <v>1090</v>
      </c>
      <c r="C2856" t="str" cm="1">
        <f t="array" ref="C2856" xml:space="preserve"> CleanText(B2856)</f>
        <v>me va a dar algo</v>
      </c>
      <c r="D2856">
        <v>1</v>
      </c>
      <c r="E2856">
        <v>0</v>
      </c>
      <c r="F2856" t="s">
        <v>0</v>
      </c>
      <c r="G2856" t="str" cm="1">
        <f t="array" ref="G2856" xml:space="preserve"> FindCountryName(F2856)</f>
        <v>None</v>
      </c>
      <c r="H2856" s="1">
        <v>45262.585578703707</v>
      </c>
      <c r="I2856" s="1">
        <v>45262.585578703707</v>
      </c>
      <c r="J2856" s="1">
        <v>41511.858599537038</v>
      </c>
      <c r="K2856" cm="1">
        <f t="array" ref="K2856" xml:space="preserve"> sentimentCalc(C2856)</f>
        <v>0</v>
      </c>
      <c r="L2856" t="str" cm="1">
        <f t="array" ref="L2856" xml:space="preserve"> sentimentCategory(K2856)</f>
        <v>Neutral</v>
      </c>
    </row>
    <row r="2857" spans="1:12">
      <c r="A2857" t="s">
        <v>1089</v>
      </c>
      <c r="B2857" t="s">
        <v>1088</v>
      </c>
      <c r="C2857" t="str" cm="1">
        <f t="array" ref="C2857" xml:space="preserve"> CleanText(B2857)</f>
        <v>cant wait</v>
      </c>
      <c r="D2857">
        <v>1</v>
      </c>
      <c r="E2857">
        <v>0</v>
      </c>
      <c r="F2857" t="s">
        <v>0</v>
      </c>
      <c r="G2857" t="str" cm="1">
        <f t="array" ref="G2857" xml:space="preserve"> FindCountryName(F2857)</f>
        <v>None</v>
      </c>
      <c r="H2857" s="1">
        <v>45262.580567129633</v>
      </c>
      <c r="I2857" s="1">
        <v>45262.580567129633</v>
      </c>
      <c r="J2857" s="1">
        <v>42729.004131944443</v>
      </c>
      <c r="K2857" cm="1">
        <f t="array" ref="K2857" xml:space="preserve"> sentimentCalc(C2857)</f>
        <v>0</v>
      </c>
      <c r="L2857" t="str" cm="1">
        <f t="array" ref="L2857" xml:space="preserve"> sentimentCategory(K2857)</f>
        <v>Neutral</v>
      </c>
    </row>
    <row r="2858" spans="1:12">
      <c r="A2858" t="s">
        <v>273</v>
      </c>
      <c r="B2858" t="s">
        <v>272</v>
      </c>
      <c r="C2858" t="str" cm="1">
        <f t="array" ref="C2858" xml:space="preserve"> CleanText(B2858)</f>
        <v>حه ئة دة _xDC4F__xDC4F_ n</v>
      </c>
      <c r="D2858">
        <v>1</v>
      </c>
      <c r="E2858">
        <v>0</v>
      </c>
      <c r="F2858" t="s">
        <v>0</v>
      </c>
      <c r="G2858" t="str" cm="1">
        <f t="array" ref="G2858" xml:space="preserve"> FindCountryName(F2858)</f>
        <v>None</v>
      </c>
      <c r="H2858" s="1">
        <v>45262.485347222224</v>
      </c>
      <c r="I2858" s="1">
        <v>45262.485347222224</v>
      </c>
      <c r="J2858" s="1">
        <v>44585.899699074071</v>
      </c>
      <c r="K2858" cm="1">
        <f t="array" ref="K2858" xml:space="preserve"> sentimentCalc(C2858)</f>
        <v>0</v>
      </c>
      <c r="L2858" t="str" cm="1">
        <f t="array" ref="L2858" xml:space="preserve"> sentimentCategory(K2858)</f>
        <v>Neutral</v>
      </c>
    </row>
    <row r="2859" spans="1:12">
      <c r="A2859" t="s">
        <v>1087</v>
      </c>
      <c r="B2859" t="s">
        <v>1086</v>
      </c>
      <c r="C2859" t="str" cm="1">
        <f t="array" ref="C2859" xml:space="preserve"> CleanText(B2859)</f>
        <v>ohhh yess</v>
      </c>
      <c r="D2859">
        <v>1</v>
      </c>
      <c r="E2859">
        <v>0</v>
      </c>
      <c r="F2859" t="s">
        <v>0</v>
      </c>
      <c r="G2859" t="str" cm="1">
        <f t="array" ref="G2859" xml:space="preserve"> FindCountryName(F2859)</f>
        <v>None</v>
      </c>
      <c r="H2859" s="1">
        <v>45262.472094907411</v>
      </c>
      <c r="I2859" s="1">
        <v>45262.472094907411</v>
      </c>
      <c r="J2859" s="1">
        <v>44971.334861111114</v>
      </c>
      <c r="K2859" cm="1">
        <f t="array" ref="K2859" xml:space="preserve"> sentimentCalc(C2859)</f>
        <v>0</v>
      </c>
      <c r="L2859" t="str" cm="1">
        <f t="array" ref="L2859" xml:space="preserve"> sentimentCategory(K2859)</f>
        <v>Neutral</v>
      </c>
    </row>
    <row r="2860" spans="1:12">
      <c r="A2860" t="s">
        <v>806</v>
      </c>
      <c r="B2860" t="s">
        <v>1085</v>
      </c>
      <c r="C2860" t="str" cm="1">
        <f t="array" ref="C2860" xml:space="preserve"> CleanText(B2860)</f>
        <v>my name is ong_xDD23_</v>
      </c>
      <c r="D2860">
        <v>1</v>
      </c>
      <c r="E2860">
        <v>0</v>
      </c>
      <c r="F2860" t="s">
        <v>19</v>
      </c>
      <c r="G2860" t="str" cm="1">
        <f t="array" ref="G2860" xml:space="preserve"> FindCountryName(F2860)</f>
        <v>United States of America (the)</v>
      </c>
      <c r="H2860" s="1">
        <v>45262.470277777778</v>
      </c>
      <c r="I2860" s="1">
        <v>45262.470277777778</v>
      </c>
      <c r="J2860" s="1">
        <v>42444.62840277778</v>
      </c>
      <c r="K2860" cm="1">
        <f t="array" ref="K2860" xml:space="preserve"> sentimentCalc(C2860)</f>
        <v>0</v>
      </c>
      <c r="L2860" t="str" cm="1">
        <f t="array" ref="L2860" xml:space="preserve"> sentimentCategory(K2860)</f>
        <v>Neutral</v>
      </c>
    </row>
    <row r="2861" spans="1:12">
      <c r="A2861" t="s">
        <v>1084</v>
      </c>
      <c r="B2861" t="s">
        <v>1083</v>
      </c>
      <c r="C2861" t="str" cm="1">
        <f t="array" ref="C2861" xml:space="preserve"> CleanText(B2861)</f>
        <v>im still scared out of my wits it cant be worse than the abomination that shall not be named but im still scared i never wanted live action i just wanted more of the gaang</v>
      </c>
      <c r="D2861">
        <v>0</v>
      </c>
      <c r="E2861">
        <v>0</v>
      </c>
      <c r="F2861" t="s">
        <v>0</v>
      </c>
      <c r="G2861" t="str" cm="1">
        <f t="array" ref="G2861" xml:space="preserve"> FindCountryName(F2861)</f>
        <v>None</v>
      </c>
      <c r="H2861" s="1">
        <v>45262.462453703702</v>
      </c>
      <c r="I2861" s="1">
        <v>45262.462453703702</v>
      </c>
      <c r="J2861" s="1">
        <v>41319.322372685187</v>
      </c>
      <c r="K2861" cm="1">
        <f t="array" ref="K2861" xml:space="preserve"> sentimentCalc(C2861)</f>
        <v>-7</v>
      </c>
      <c r="L2861" t="str" cm="1">
        <f t="array" ref="L2861" xml:space="preserve"> sentimentCategory(K2861)</f>
        <v>Negative</v>
      </c>
    </row>
    <row r="2862" spans="1:12">
      <c r="A2862" t="s">
        <v>603</v>
      </c>
      <c r="B2862" t="s">
        <v>1082</v>
      </c>
      <c r="C2862" t="str" cm="1">
        <f t="array" ref="C2862" xml:space="preserve"> CleanText(B2862)</f>
        <v>this looks promising</v>
      </c>
      <c r="D2862">
        <v>1</v>
      </c>
      <c r="E2862">
        <v>0</v>
      </c>
      <c r="F2862" t="s">
        <v>0</v>
      </c>
      <c r="G2862" t="str" cm="1">
        <f t="array" ref="G2862" xml:space="preserve"> FindCountryName(F2862)</f>
        <v>None</v>
      </c>
      <c r="H2862" s="1">
        <v>45262.454525462963</v>
      </c>
      <c r="I2862" s="1">
        <v>45262.454525462963</v>
      </c>
      <c r="J2862" s="1">
        <v>41346.990682870368</v>
      </c>
      <c r="K2862" cm="1">
        <f t="array" ref="K2862" xml:space="preserve"> sentimentCalc(C2862)</f>
        <v>0</v>
      </c>
      <c r="L2862" t="str" cm="1">
        <f t="array" ref="L2862" xml:space="preserve"> sentimentCategory(K2862)</f>
        <v>Neutral</v>
      </c>
    </row>
    <row r="2863" spans="1:12">
      <c r="A2863" t="s">
        <v>521</v>
      </c>
      <c r="B2863" t="s">
        <v>1081</v>
      </c>
      <c r="C2863" t="str" cm="1">
        <f t="array" ref="C2863" xml:space="preserve"> CleanText(B2863)</f>
        <v>finally not indian zukko</v>
      </c>
      <c r="D2863">
        <v>2</v>
      </c>
      <c r="E2863">
        <v>0</v>
      </c>
      <c r="F2863" t="s">
        <v>771</v>
      </c>
      <c r="G2863" t="str" cm="1">
        <f t="array" ref="G2863" xml:space="preserve"> FindCountryName(F2863)</f>
        <v>Malaysia</v>
      </c>
      <c r="H2863" s="1">
        <v>45262.452905092592</v>
      </c>
      <c r="I2863" s="1">
        <v>45262.452905092592</v>
      </c>
      <c r="J2863" s="1">
        <v>44110.381724537037</v>
      </c>
      <c r="K2863" cm="1">
        <f t="array" ref="K2863" xml:space="preserve"> sentimentCalc(C2863)</f>
        <v>0</v>
      </c>
      <c r="L2863" t="str" cm="1">
        <f t="array" ref="L2863" xml:space="preserve"> sentimentCategory(K2863)</f>
        <v>Neutral</v>
      </c>
    </row>
    <row r="2864" spans="1:12">
      <c r="A2864" t="s">
        <v>1080</v>
      </c>
      <c r="B2864" t="s">
        <v>1079</v>
      </c>
      <c r="C2864" t="str" cm="1">
        <f t="array" ref="C2864" xml:space="preserve"> CleanText(B2864)</f>
        <v>the trailer is very nice lets see if they dont screw up with the story and the characters performances</v>
      </c>
      <c r="D2864">
        <v>1</v>
      </c>
      <c r="E2864">
        <v>0</v>
      </c>
      <c r="F2864" t="s">
        <v>892</v>
      </c>
      <c r="G2864" t="str" cm="1">
        <f t="array" ref="G2864" xml:space="preserve"> FindCountryName(F2864)</f>
        <v>Dominican Republic (the)</v>
      </c>
      <c r="H2864" s="1">
        <v>45262.439814814818</v>
      </c>
      <c r="I2864" s="1">
        <v>45262.439814814818</v>
      </c>
      <c r="J2864" s="1">
        <v>43719.873599537037</v>
      </c>
      <c r="K2864" cm="1">
        <f t="array" ref="K2864" xml:space="preserve"> sentimentCalc(C2864)</f>
        <v>3</v>
      </c>
      <c r="L2864" t="str" cm="1">
        <f t="array" ref="L2864" xml:space="preserve"> sentimentCategory(K2864)</f>
        <v>Positive</v>
      </c>
    </row>
    <row r="2865" spans="1:12">
      <c r="A2865" t="s">
        <v>728</v>
      </c>
      <c r="B2865" t="s">
        <v>1078</v>
      </c>
      <c r="C2865" t="str" cm="1">
        <f t="array" ref="C2865" xml:space="preserve"> CleanText(B2865)</f>
        <v>what the movie whiffed on was missing the series sense of joy and light heartedness and being actually really funny among other really problematic matters i just hope this series can capture that fun which personally kept me coming back to the original</v>
      </c>
      <c r="D2865">
        <v>1</v>
      </c>
      <c r="E2865">
        <v>0</v>
      </c>
      <c r="F2865" t="s">
        <v>0</v>
      </c>
      <c r="G2865" t="str" cm="1">
        <f t="array" ref="G2865" xml:space="preserve"> FindCountryName(F2865)</f>
        <v>None</v>
      </c>
      <c r="H2865" s="1">
        <v>45262.431828703702</v>
      </c>
      <c r="I2865" s="1">
        <v>45262.431828703702</v>
      </c>
      <c r="J2865" s="1">
        <v>40776.939398148148</v>
      </c>
      <c r="K2865" cm="1">
        <f t="array" ref="K2865" xml:space="preserve"> sentimentCalc(C2865)</f>
        <v>12</v>
      </c>
      <c r="L2865" t="str" cm="1">
        <f t="array" ref="L2865" xml:space="preserve"> sentimentCategory(K2865)</f>
        <v>Positive</v>
      </c>
    </row>
    <row r="2866" spans="1:12">
      <c r="A2866" t="s">
        <v>1077</v>
      </c>
      <c r="B2866" t="s">
        <v>1076</v>
      </c>
      <c r="C2866" t="str" cm="1">
        <f t="array" ref="C2866" xml:space="preserve"> CleanText(B2866)</f>
        <v>thisdoesnt loool terrible surprisingly ive got some hope now</v>
      </c>
      <c r="D2866">
        <v>1</v>
      </c>
      <c r="E2866">
        <v>0</v>
      </c>
      <c r="F2866" t="s">
        <v>0</v>
      </c>
      <c r="G2866" t="str" cm="1">
        <f t="array" ref="G2866" xml:space="preserve"> FindCountryName(F2866)</f>
        <v>None</v>
      </c>
      <c r="H2866" s="1">
        <v>45262.428032407406</v>
      </c>
      <c r="I2866" s="1">
        <v>45262.428032407406</v>
      </c>
      <c r="J2866" s="1">
        <v>44987.501805555556</v>
      </c>
      <c r="K2866" cm="1">
        <f t="array" ref="K2866" xml:space="preserve"> sentimentCalc(C2866)</f>
        <v>-1</v>
      </c>
      <c r="L2866" t="str" cm="1">
        <f t="array" ref="L2866" xml:space="preserve"> sentimentCategory(K2866)</f>
        <v>Negative</v>
      </c>
    </row>
    <row r="2867" spans="1:12">
      <c r="A2867" t="s">
        <v>1075</v>
      </c>
      <c r="B2867" t="s">
        <v>1074</v>
      </c>
      <c r="C2867" t="str" cm="1">
        <f t="array" ref="C2867" xml:space="preserve"> CleanText(B2867)</f>
        <v>mieux beaucoup mieux l on sent le respect et la passion pour ce dessin anim mythique jai trs envie de le voir</v>
      </c>
      <c r="D2867">
        <v>1</v>
      </c>
      <c r="E2867">
        <v>0</v>
      </c>
      <c r="F2867" t="s">
        <v>0</v>
      </c>
      <c r="G2867" t="str" cm="1">
        <f t="array" ref="G2867" xml:space="preserve"> FindCountryName(F2867)</f>
        <v>None</v>
      </c>
      <c r="H2867" s="1">
        <v>45262.423229166663</v>
      </c>
      <c r="I2867" s="1">
        <v>45262.423229166663</v>
      </c>
      <c r="J2867" s="1">
        <v>43480.26357638889</v>
      </c>
      <c r="K2867" cm="1">
        <f t="array" ref="K2867" xml:space="preserve"> sentimentCalc(C2867)</f>
        <v>0</v>
      </c>
      <c r="L2867" t="str" cm="1">
        <f t="array" ref="L2867" xml:space="preserve"> sentimentCategory(K2867)</f>
        <v>Neutral</v>
      </c>
    </row>
    <row r="2868" spans="1:12">
      <c r="A2868" t="s">
        <v>8</v>
      </c>
      <c r="B2868" t="s">
        <v>1073</v>
      </c>
      <c r="C2868" t="str" cm="1">
        <f t="array" ref="C2868" xml:space="preserve"> CleanText(B2868)</f>
        <v>its literally this easy follow the original content instead of trying to make something great into your own</v>
      </c>
      <c r="D2868">
        <v>1</v>
      </c>
      <c r="E2868">
        <v>0</v>
      </c>
      <c r="F2868" t="s">
        <v>0</v>
      </c>
      <c r="G2868" t="str" cm="1">
        <f t="array" ref="G2868" xml:space="preserve"> FindCountryName(F2868)</f>
        <v>None</v>
      </c>
      <c r="H2868" s="1">
        <v>45262.413726851853</v>
      </c>
      <c r="I2868" s="1">
        <v>45262.413726851853</v>
      </c>
      <c r="J2868" s="1">
        <v>41846.75141203704</v>
      </c>
      <c r="K2868" cm="1">
        <f t="array" ref="K2868" xml:space="preserve"> sentimentCalc(C2868)</f>
        <v>4</v>
      </c>
      <c r="L2868" t="str" cm="1">
        <f t="array" ref="L2868" xml:space="preserve"> sentimentCategory(K2868)</f>
        <v>Positive</v>
      </c>
    </row>
    <row r="2869" spans="1:12">
      <c r="A2869" t="s">
        <v>1072</v>
      </c>
      <c r="B2869" t="s">
        <v>1071</v>
      </c>
      <c r="C2869" t="str" cm="1">
        <f t="array" ref="C2869" xml:space="preserve"> CleanText(B2869)</f>
        <v>finally aang is smiling_xDE0A_</v>
      </c>
      <c r="D2869">
        <v>1</v>
      </c>
      <c r="E2869">
        <v>0</v>
      </c>
      <c r="F2869" t="s">
        <v>0</v>
      </c>
      <c r="G2869" t="str" cm="1">
        <f t="array" ref="G2869" xml:space="preserve"> FindCountryName(F2869)</f>
        <v>None</v>
      </c>
      <c r="H2869" s="1">
        <v>45262.411446759259</v>
      </c>
      <c r="I2869" s="1">
        <v>45262.411446759259</v>
      </c>
      <c r="J2869" s="1">
        <v>45262.411435185182</v>
      </c>
      <c r="K2869" cm="1">
        <f t="array" ref="K2869" xml:space="preserve"> sentimentCalc(C2869)</f>
        <v>0</v>
      </c>
      <c r="L2869" t="str" cm="1">
        <f t="array" ref="L2869" xml:space="preserve"> sentimentCategory(K2869)</f>
        <v>Neutral</v>
      </c>
    </row>
    <row r="2870" spans="1:12">
      <c r="A2870" t="s">
        <v>950</v>
      </c>
      <c r="B2870" t="s">
        <v>1070</v>
      </c>
      <c r="C2870" t="str" cm="1">
        <f t="array" ref="C2870" xml:space="preserve"> CleanText(B2870)</f>
        <v>a day before my birthday _xDE06_</v>
      </c>
      <c r="D2870">
        <v>1</v>
      </c>
      <c r="E2870">
        <v>0</v>
      </c>
      <c r="F2870" t="s">
        <v>0</v>
      </c>
      <c r="G2870" t="str" cm="1">
        <f t="array" ref="G2870" xml:space="preserve"> FindCountryName(F2870)</f>
        <v>None</v>
      </c>
      <c r="H2870" s="1">
        <v>45262.405694444446</v>
      </c>
      <c r="I2870" s="1">
        <v>45262.405694444446</v>
      </c>
      <c r="J2870" s="1">
        <v>44911.743437500001</v>
      </c>
      <c r="K2870" cm="1">
        <f t="array" ref="K2870" xml:space="preserve"> sentimentCalc(C2870)</f>
        <v>0</v>
      </c>
      <c r="L2870" t="str" cm="1">
        <f t="array" ref="L2870" xml:space="preserve"> sentimentCategory(K2870)</f>
        <v>Neutral</v>
      </c>
    </row>
    <row r="2871" spans="1:12">
      <c r="A2871" t="s">
        <v>1069</v>
      </c>
      <c r="B2871" t="s">
        <v>1068</v>
      </c>
      <c r="C2871" t="str" cm="1">
        <f t="array" ref="C2871" xml:space="preserve"> CleanText(B2871)</f>
        <v>maybe we expect  lots of things i hope it will awesome_xD83E_</v>
      </c>
      <c r="D2871">
        <v>1</v>
      </c>
      <c r="E2871">
        <v>0</v>
      </c>
      <c r="F2871" t="s">
        <v>0</v>
      </c>
      <c r="G2871" t="str" cm="1">
        <f t="array" ref="G2871" xml:space="preserve"> FindCountryName(F2871)</f>
        <v>None</v>
      </c>
      <c r="H2871" s="1">
        <v>45262.400092592594</v>
      </c>
      <c r="I2871" s="1">
        <v>45262.400092592594</v>
      </c>
      <c r="J2871" s="1">
        <v>45259.743634259263</v>
      </c>
      <c r="K2871" cm="1">
        <f t="array" ref="K2871" xml:space="preserve"> sentimentCalc(C2871)</f>
        <v>2</v>
      </c>
      <c r="L2871" t="str" cm="1">
        <f t="array" ref="L2871" xml:space="preserve"> sentimentCategory(K2871)</f>
        <v>Positive</v>
      </c>
    </row>
    <row r="2872" spans="1:12">
      <c r="A2872" t="s">
        <v>1067</v>
      </c>
      <c r="B2872" t="s">
        <v>1066</v>
      </c>
      <c r="C2872" t="str" cm="1">
        <f t="array" ref="C2872" xml:space="preserve"> CleanText(B2872)</f>
        <v>hasta el momento se ve perfecta</v>
      </c>
      <c r="D2872">
        <v>1</v>
      </c>
      <c r="E2872">
        <v>0</v>
      </c>
      <c r="F2872" t="s">
        <v>0</v>
      </c>
      <c r="G2872" t="str" cm="1">
        <f t="array" ref="G2872" xml:space="preserve"> FindCountryName(F2872)</f>
        <v>None</v>
      </c>
      <c r="H2872" s="1">
        <v>45262.379965277774</v>
      </c>
      <c r="I2872" s="1">
        <v>45262.379965277774</v>
      </c>
      <c r="J2872" s="1">
        <v>44838.819791666669</v>
      </c>
      <c r="K2872" cm="1">
        <f t="array" ref="K2872" xml:space="preserve"> sentimentCalc(C2872)</f>
        <v>0</v>
      </c>
      <c r="L2872" t="str" cm="1">
        <f t="array" ref="L2872" xml:space="preserve"> sentimentCategory(K2872)</f>
        <v>Neutral</v>
      </c>
    </row>
    <row r="2873" spans="1:12">
      <c r="A2873" t="s">
        <v>1065</v>
      </c>
      <c r="B2873" t="s">
        <v>1064</v>
      </c>
      <c r="C2873" t="str" cm="1">
        <f t="array" ref="C2873" xml:space="preserve"> CleanText(B2873)</f>
        <v>they better include the secret tunellllll through the mountaaain</v>
      </c>
      <c r="D2873">
        <v>1</v>
      </c>
      <c r="E2873">
        <v>0</v>
      </c>
      <c r="F2873" t="s">
        <v>19</v>
      </c>
      <c r="G2873" t="str" cm="1">
        <f t="array" ref="G2873" xml:space="preserve"> FindCountryName(F2873)</f>
        <v>United States of America (the)</v>
      </c>
      <c r="H2873" s="1">
        <v>45262.333680555559</v>
      </c>
      <c r="I2873" s="1">
        <v>45262.333680555559</v>
      </c>
      <c r="J2873" s="1">
        <v>39321.737013888887</v>
      </c>
      <c r="K2873" cm="1">
        <f t="array" ref="K2873" xml:space="preserve"> sentimentCalc(C2873)</f>
        <v>2</v>
      </c>
      <c r="L2873" t="str" cm="1">
        <f t="array" ref="L2873" xml:space="preserve"> sentimentCategory(K2873)</f>
        <v>Positive</v>
      </c>
    </row>
    <row r="2874" spans="1:12">
      <c r="A2874" t="s">
        <v>1063</v>
      </c>
      <c r="B2874" t="s">
        <v>1062</v>
      </c>
      <c r="C2874" t="str" cm="1">
        <f t="array" ref="C2874" xml:space="preserve"> CleanText(B2874)</f>
        <v>wow shes cute the blue flame</v>
      </c>
      <c r="D2874">
        <v>1</v>
      </c>
      <c r="E2874">
        <v>0</v>
      </c>
      <c r="F2874" t="s">
        <v>633</v>
      </c>
      <c r="G2874" t="str" cm="1">
        <f t="array" ref="G2874" xml:space="preserve"> FindCountryName(F2874)</f>
        <v>Indonesia</v>
      </c>
      <c r="H2874" s="1">
        <v>45262.329189814816</v>
      </c>
      <c r="I2874" s="1">
        <v>45262.329189814816</v>
      </c>
      <c r="J2874" s="1">
        <v>40881.000821759262</v>
      </c>
      <c r="K2874" cm="1">
        <f t="array" ref="K2874" xml:space="preserve"> sentimentCalc(C2874)</f>
        <v>6</v>
      </c>
      <c r="L2874" t="str" cm="1">
        <f t="array" ref="L2874" xml:space="preserve"> sentimentCategory(K2874)</f>
        <v>Positive</v>
      </c>
    </row>
    <row r="2875" spans="1:12">
      <c r="A2875" t="s">
        <v>259</v>
      </c>
      <c r="B2875" t="s">
        <v>1061</v>
      </c>
      <c r="C2875" t="str" cm="1">
        <f t="array" ref="C2875" xml:space="preserve"> CleanText(B2875)</f>
        <v>n</v>
      </c>
      <c r="D2875">
        <v>1</v>
      </c>
      <c r="E2875">
        <v>0</v>
      </c>
      <c r="F2875" t="s">
        <v>497</v>
      </c>
      <c r="G2875" t="str" cm="1">
        <f t="array" ref="G2875" xml:space="preserve"> FindCountryName(F2875)</f>
        <v>South Africa</v>
      </c>
      <c r="H2875" s="1">
        <v>45262.326840277776</v>
      </c>
      <c r="I2875" s="1">
        <v>45262.326840277776</v>
      </c>
      <c r="J2875" s="1">
        <v>43086.199062500003</v>
      </c>
      <c r="K2875" cm="1">
        <f t="array" ref="K2875" xml:space="preserve"> sentimentCalc(C2875)</f>
        <v>0</v>
      </c>
      <c r="L2875" t="str" cm="1">
        <f t="array" ref="L2875" xml:space="preserve"> sentimentCategory(K2875)</f>
        <v>Neutral</v>
      </c>
    </row>
    <row r="2876" spans="1:12">
      <c r="A2876" t="s">
        <v>320</v>
      </c>
      <c r="B2876" t="s">
        <v>1060</v>
      </c>
      <c r="C2876" t="str" cm="1">
        <f t="array" ref="C2876" xml:space="preserve"> CleanText(B2876)</f>
        <v>i prefer the anime one</v>
      </c>
      <c r="D2876">
        <v>0</v>
      </c>
      <c r="E2876">
        <v>0</v>
      </c>
      <c r="F2876" t="s">
        <v>0</v>
      </c>
      <c r="G2876" t="str" cm="1">
        <f t="array" ref="G2876" xml:space="preserve"> FindCountryName(F2876)</f>
        <v>None</v>
      </c>
      <c r="H2876" s="1">
        <v>45262.291828703703</v>
      </c>
      <c r="I2876" s="1">
        <v>45262.291828703703</v>
      </c>
      <c r="J2876" s="1">
        <v>44865.817986111113</v>
      </c>
      <c r="K2876" cm="1">
        <f t="array" ref="K2876" xml:space="preserve"> sentimentCalc(C2876)</f>
        <v>0</v>
      </c>
      <c r="L2876" t="str" cm="1">
        <f t="array" ref="L2876" xml:space="preserve"> sentimentCategory(K2876)</f>
        <v>Neutral</v>
      </c>
    </row>
    <row r="2877" spans="1:12">
      <c r="A2877" t="s">
        <v>1059</v>
      </c>
      <c r="B2877" t="s">
        <v>1058</v>
      </c>
      <c r="C2877" t="str" cm="1">
        <f t="array" ref="C2877" xml:space="preserve"> CleanText(B2877)</f>
        <v>stick to the source material and itll be ok</v>
      </c>
      <c r="D2877">
        <v>1</v>
      </c>
      <c r="E2877">
        <v>0</v>
      </c>
      <c r="F2877" t="s">
        <v>0</v>
      </c>
      <c r="G2877" t="str" cm="1">
        <f t="array" ref="G2877" xml:space="preserve"> FindCountryName(F2877)</f>
        <v>None</v>
      </c>
      <c r="H2877" s="1">
        <v>45262.276875000003</v>
      </c>
      <c r="I2877" s="1">
        <v>45262.276875000003</v>
      </c>
      <c r="J2877" s="1">
        <v>44857.793703703705</v>
      </c>
      <c r="K2877" cm="1">
        <f t="array" ref="K2877" xml:space="preserve"> sentimentCalc(C2877)</f>
        <v>0</v>
      </c>
      <c r="L2877" t="str" cm="1">
        <f t="array" ref="L2877" xml:space="preserve"> sentimentCategory(K2877)</f>
        <v>Neutral</v>
      </c>
    </row>
    <row r="2878" spans="1:12">
      <c r="A2878" t="s">
        <v>1057</v>
      </c>
      <c r="B2878" t="s">
        <v>1056</v>
      </c>
      <c r="C2878" t="str" cm="1">
        <f t="array" ref="C2878" xml:space="preserve"> CleanText(B2878)</f>
        <v>0 getting goosebumps hearing the bgm</v>
      </c>
      <c r="D2878">
        <v>4</v>
      </c>
      <c r="E2878">
        <v>0</v>
      </c>
      <c r="F2878" t="s">
        <v>0</v>
      </c>
      <c r="G2878" t="str" cm="1">
        <f t="array" ref="G2878" xml:space="preserve"> FindCountryName(F2878)</f>
        <v>None</v>
      </c>
      <c r="H2878" s="1">
        <v>45262.274976851855</v>
      </c>
      <c r="I2878" s="1">
        <v>45262.274976851855</v>
      </c>
      <c r="J2878" s="1">
        <v>44878.499074074076</v>
      </c>
      <c r="K2878" cm="1">
        <f t="array" ref="K2878" xml:space="preserve"> sentimentCalc(C2878)</f>
        <v>0</v>
      </c>
      <c r="L2878" t="str" cm="1">
        <f t="array" ref="L2878" xml:space="preserve"> sentimentCategory(K2878)</f>
        <v>Neutral</v>
      </c>
    </row>
    <row r="2879" spans="1:12">
      <c r="A2879" t="s">
        <v>1055</v>
      </c>
      <c r="B2879" t="s">
        <v>1054</v>
      </c>
      <c r="C2879" t="str" cm="1">
        <f t="array" ref="C2879" xml:space="preserve"> CleanText(B2879)</f>
        <v>lets see how many people needed to throw the rock this time</v>
      </c>
      <c r="D2879">
        <v>1</v>
      </c>
      <c r="E2879">
        <v>0</v>
      </c>
      <c r="F2879" t="s">
        <v>0</v>
      </c>
      <c r="G2879" t="str" cm="1">
        <f t="array" ref="G2879" xml:space="preserve"> FindCountryName(F2879)</f>
        <v>None</v>
      </c>
      <c r="H2879" s="1">
        <v>45262.23809027778</v>
      </c>
      <c r="I2879" s="1">
        <v>45262.23809027778</v>
      </c>
      <c r="J2879" s="1">
        <v>42141.938356481478</v>
      </c>
      <c r="K2879" cm="1">
        <f t="array" ref="K2879" xml:space="preserve"> sentimentCalc(C2879)</f>
        <v>0</v>
      </c>
      <c r="L2879" t="str" cm="1">
        <f t="array" ref="L2879" xml:space="preserve"> sentimentCategory(K2879)</f>
        <v>Neutral</v>
      </c>
    </row>
    <row r="2880" spans="1:12">
      <c r="A2880" t="s">
        <v>243</v>
      </c>
      <c r="B2880" t="s">
        <v>1053</v>
      </c>
      <c r="C2880" t="str" cm="1">
        <f t="array" ref="C2880" xml:space="preserve"> CleanText(B2880)</f>
        <v>cant wait to see toph</v>
      </c>
      <c r="D2880">
        <v>2</v>
      </c>
      <c r="E2880">
        <v>1</v>
      </c>
      <c r="F2880" t="s">
        <v>0</v>
      </c>
      <c r="G2880" t="str" cm="1">
        <f t="array" ref="G2880" xml:space="preserve"> FindCountryName(F2880)</f>
        <v>None</v>
      </c>
      <c r="H2880" s="1">
        <v>45262.22556712963</v>
      </c>
      <c r="I2880" s="1">
        <v>45262.22556712963</v>
      </c>
      <c r="J2880" s="1">
        <v>43380.912511574075</v>
      </c>
      <c r="K2880" cm="1">
        <f t="array" ref="K2880" xml:space="preserve"> sentimentCalc(C2880)</f>
        <v>0</v>
      </c>
      <c r="L2880" t="str" cm="1">
        <f t="array" ref="L2880" xml:space="preserve"> sentimentCategory(K2880)</f>
        <v>Neutral</v>
      </c>
    </row>
    <row r="2881" spans="1:12">
      <c r="A2881" t="s">
        <v>1052</v>
      </c>
      <c r="B2881" t="s">
        <v>1051</v>
      </c>
      <c r="C2881" t="str" cm="1">
        <f t="array" ref="C2881" xml:space="preserve"> CleanText(B2881)</f>
        <v>thank you nextflix for bring this great show too the big screen</v>
      </c>
      <c r="D2881">
        <v>3</v>
      </c>
      <c r="E2881">
        <v>0</v>
      </c>
      <c r="F2881" t="s">
        <v>0</v>
      </c>
      <c r="G2881" t="str" cm="1">
        <f t="array" ref="G2881" xml:space="preserve"> FindCountryName(F2881)</f>
        <v>None</v>
      </c>
      <c r="H2881" s="1">
        <v>45262.208599537036</v>
      </c>
      <c r="I2881" s="1">
        <v>45262.208599537036</v>
      </c>
      <c r="J2881" s="1">
        <v>40604.936655092592</v>
      </c>
      <c r="K2881" cm="1">
        <f t="array" ref="K2881" xml:space="preserve"> sentimentCalc(C2881)</f>
        <v>6</v>
      </c>
      <c r="L2881" t="str" cm="1">
        <f t="array" ref="L2881" xml:space="preserve"> sentimentCategory(K2881)</f>
        <v>Positive</v>
      </c>
    </row>
    <row r="2882" spans="1:12">
      <c r="A2882" t="s">
        <v>1050</v>
      </c>
      <c r="B2882" t="s">
        <v>1049</v>
      </c>
      <c r="C2882" t="str" cm="1">
        <f t="array" ref="C2882" xml:space="preserve"> CleanText(B2882)</f>
        <v>sacma sapan bir film</v>
      </c>
      <c r="D2882">
        <v>0</v>
      </c>
      <c r="E2882">
        <v>0</v>
      </c>
      <c r="F2882" t="s">
        <v>0</v>
      </c>
      <c r="G2882" t="str" cm="1">
        <f t="array" ref="G2882" xml:space="preserve"> FindCountryName(F2882)</f>
        <v>None</v>
      </c>
      <c r="H2882" s="1">
        <v>45262.191041666665</v>
      </c>
      <c r="I2882" s="1">
        <v>45262.191041666665</v>
      </c>
      <c r="J2882" s="1">
        <v>45080.533726851849</v>
      </c>
      <c r="K2882" cm="1">
        <f t="array" ref="K2882" xml:space="preserve"> sentimentCalc(C2882)</f>
        <v>0</v>
      </c>
      <c r="L2882" t="str" cm="1">
        <f t="array" ref="L2882" xml:space="preserve"> sentimentCategory(K2882)</f>
        <v>Neutral</v>
      </c>
    </row>
    <row r="2883" spans="1:12">
      <c r="A2883" t="s">
        <v>1048</v>
      </c>
      <c r="B2883" t="s">
        <v>1047</v>
      </c>
      <c r="C2883" t="str" cm="1">
        <f t="array" ref="C2883" xml:space="preserve"> CleanText(B2883)</f>
        <v>oh boy at the beginning i was all judgemental hate live actions thought everything was going to be another disaster then that scene of omashu came out and i thought oh wow that looks accurate and awesome then oh wow the casting looks spot on fire lord looks identical then aang showed up then fire bending that looks accurate then freaking appa and momo identical to the originals the music without freaking disgusting mixing and editing what the hells going onok im in if you let me down ill never trust anyone with this story again</v>
      </c>
      <c r="D2883">
        <v>2</v>
      </c>
      <c r="E2883">
        <v>0</v>
      </c>
      <c r="F2883" t="s">
        <v>0</v>
      </c>
      <c r="G2883" t="str" cm="1">
        <f t="array" ref="G2883" xml:space="preserve"> FindCountryName(F2883)</f>
        <v>None</v>
      </c>
      <c r="H2883" s="1">
        <v>45262.187905092593</v>
      </c>
      <c r="I2883" s="1">
        <v>45262.187905092593</v>
      </c>
      <c r="J2883" s="1">
        <v>39959.900671296295</v>
      </c>
      <c r="K2883" cm="1">
        <f t="array" ref="K2883" xml:space="preserve"> sentimentCalc(C2883)</f>
        <v>-1</v>
      </c>
      <c r="L2883" t="str" cm="1">
        <f t="array" ref="L2883" xml:space="preserve"> sentimentCategory(K2883)</f>
        <v>Negative</v>
      </c>
    </row>
    <row r="2884" spans="1:12">
      <c r="A2884" t="s">
        <v>1046</v>
      </c>
      <c r="B2884" t="s">
        <v>1045</v>
      </c>
      <c r="C2884" t="str" cm="1">
        <f t="array" ref="C2884" xml:space="preserve"> CleanText(B2884)</f>
        <v>honestly doesnt look any better than the m night shyamalan film maybe worse in some respects cgi casting etc i certainly dont see any of the humor or magic of the original series here</v>
      </c>
      <c r="D2884">
        <v>0</v>
      </c>
      <c r="E2884">
        <v>0</v>
      </c>
      <c r="F2884" t="s">
        <v>0</v>
      </c>
      <c r="G2884" t="str" cm="1">
        <f t="array" ref="G2884" xml:space="preserve"> FindCountryName(F2884)</f>
        <v>None</v>
      </c>
      <c r="H2884" s="1">
        <v>45262.179467592592</v>
      </c>
      <c r="I2884" s="1">
        <v>45262.179467592592</v>
      </c>
      <c r="J2884" s="1">
        <v>40822.432523148149</v>
      </c>
      <c r="K2884" cm="1">
        <f t="array" ref="K2884" xml:space="preserve"> sentimentCalc(C2884)</f>
        <v>1</v>
      </c>
      <c r="L2884" t="str" cm="1">
        <f t="array" ref="L2884" xml:space="preserve"> sentimentCategory(K2884)</f>
        <v>Positive</v>
      </c>
    </row>
    <row r="2885" spans="1:12">
      <c r="A2885" t="s">
        <v>1044</v>
      </c>
      <c r="B2885" t="s">
        <v>1043</v>
      </c>
      <c r="C2885" t="str" cm="1">
        <f t="array" ref="C2885" xml:space="preserve"> CleanText(B2885)</f>
        <v>2 its great art</v>
      </c>
      <c r="D2885">
        <v>5</v>
      </c>
      <c r="E2885">
        <v>0</v>
      </c>
      <c r="F2885" t="s">
        <v>0</v>
      </c>
      <c r="G2885" t="str" cm="1">
        <f t="array" ref="G2885" xml:space="preserve"> FindCountryName(F2885)</f>
        <v>None</v>
      </c>
      <c r="H2885" s="1">
        <v>45262.177083333336</v>
      </c>
      <c r="I2885" s="1">
        <v>45262.177083333336</v>
      </c>
      <c r="J2885" s="1">
        <v>45050.138275462959</v>
      </c>
      <c r="K2885" cm="1">
        <f t="array" ref="K2885" xml:space="preserve"> sentimentCalc(C2885)</f>
        <v>3</v>
      </c>
      <c r="L2885" t="str" cm="1">
        <f t="array" ref="L2885" xml:space="preserve"> sentimentCategory(K2885)</f>
        <v>Positive</v>
      </c>
    </row>
    <row r="2886" spans="1:12">
      <c r="A2886" t="s">
        <v>1042</v>
      </c>
      <c r="B2886" t="s">
        <v>113</v>
      </c>
      <c r="C2886" t="str" cm="1">
        <f t="array" ref="C2886" xml:space="preserve"> CleanText(B2886)</f>
        <v>omg</v>
      </c>
      <c r="D2886">
        <v>1</v>
      </c>
      <c r="E2886">
        <v>0</v>
      </c>
      <c r="F2886" t="s">
        <v>0</v>
      </c>
      <c r="G2886" t="str" cm="1">
        <f t="array" ref="G2886" xml:space="preserve"> FindCountryName(F2886)</f>
        <v>None</v>
      </c>
      <c r="H2886" s="1">
        <v>45262.151296296295</v>
      </c>
      <c r="I2886" s="1">
        <v>45262.151296296295</v>
      </c>
      <c r="J2886" s="1">
        <v>40824.615636574075</v>
      </c>
      <c r="K2886" cm="1">
        <f t="array" ref="K2886" xml:space="preserve"> sentimentCalc(C2886)</f>
        <v>0</v>
      </c>
      <c r="L2886" t="str" cm="1">
        <f t="array" ref="L2886" xml:space="preserve"> sentimentCategory(K2886)</f>
        <v>Neutral</v>
      </c>
    </row>
    <row r="2887" spans="1:12">
      <c r="A2887" t="s">
        <v>221</v>
      </c>
      <c r="B2887" t="s">
        <v>1041</v>
      </c>
      <c r="C2887" t="str" cm="1">
        <f t="array" ref="C2887" xml:space="preserve"> CleanText(B2887)</f>
        <v>i dont understand netflix hasnt made aang black gay or a woman maybe theyll randomly make certain characters black magically change or force the sexuality of a character to be homosexual or focus more on the women</v>
      </c>
      <c r="D2887">
        <v>0</v>
      </c>
      <c r="E2887">
        <v>0</v>
      </c>
      <c r="F2887" t="s">
        <v>0</v>
      </c>
      <c r="G2887" t="str" cm="1">
        <f t="array" ref="G2887" xml:space="preserve"> FindCountryName(F2887)</f>
        <v>None</v>
      </c>
      <c r="H2887" s="1">
        <v>45262.132847222223</v>
      </c>
      <c r="I2887" s="1">
        <v>45262.132847222223</v>
      </c>
      <c r="J2887" s="1">
        <v>38895.637025462966</v>
      </c>
      <c r="K2887" cm="1">
        <f t="array" ref="K2887" xml:space="preserve"> sentimentCalc(C2887)</f>
        <v>1</v>
      </c>
      <c r="L2887" t="str" cm="1">
        <f t="array" ref="L2887" xml:space="preserve"> sentimentCategory(K2887)</f>
        <v>Positive</v>
      </c>
    </row>
    <row r="2888" spans="1:12">
      <c r="A2888" t="s">
        <v>977</v>
      </c>
      <c r="B2888" t="s">
        <v>1040</v>
      </c>
      <c r="C2888" t="str" cm="1">
        <f t="array" ref="C2888" xml:space="preserve"> CleanText(B2888)</f>
        <v>also pls make another jeff smith bone adaptation</v>
      </c>
      <c r="D2888">
        <v>0</v>
      </c>
      <c r="E2888">
        <v>0</v>
      </c>
      <c r="F2888" t="s">
        <v>0</v>
      </c>
      <c r="G2888" t="str" cm="1">
        <f t="array" ref="G2888" xml:space="preserve"> FindCountryName(F2888)</f>
        <v>None</v>
      </c>
      <c r="H2888" s="1">
        <v>45262.109594907408</v>
      </c>
      <c r="I2888" s="1">
        <v>45262.109594907408</v>
      </c>
      <c r="J2888" s="1">
        <v>44040.012407407405</v>
      </c>
      <c r="K2888" cm="1">
        <f t="array" ref="K2888" xml:space="preserve"> sentimentCalc(C2888)</f>
        <v>0</v>
      </c>
      <c r="L2888" t="str" cm="1">
        <f t="array" ref="L2888" xml:space="preserve"> sentimentCategory(K2888)</f>
        <v>Neutral</v>
      </c>
    </row>
    <row r="2889" spans="1:12">
      <c r="A2889" t="s">
        <v>977</v>
      </c>
      <c r="B2889" t="s">
        <v>1039</v>
      </c>
      <c r="C2889" t="str" cm="1">
        <f t="array" ref="C2889" xml:space="preserve"> CleanText(B2889)</f>
        <v>dont mess this up like you did with jeff smiths bone netflix</v>
      </c>
      <c r="D2889">
        <v>2</v>
      </c>
      <c r="E2889">
        <v>0</v>
      </c>
      <c r="F2889" t="s">
        <v>0</v>
      </c>
      <c r="G2889" t="str" cm="1">
        <f t="array" ref="G2889" xml:space="preserve"> FindCountryName(F2889)</f>
        <v>None</v>
      </c>
      <c r="H2889" s="1">
        <v>45262.109270833331</v>
      </c>
      <c r="I2889" s="1">
        <v>45262.109270833331</v>
      </c>
      <c r="J2889" s="1">
        <v>44040.012407407405</v>
      </c>
      <c r="K2889" cm="1">
        <f t="array" ref="K2889" xml:space="preserve"> sentimentCalc(C2889)</f>
        <v>0</v>
      </c>
      <c r="L2889" t="str" cm="1">
        <f t="array" ref="L2889" xml:space="preserve"> sentimentCategory(K2889)</f>
        <v>Neutral</v>
      </c>
    </row>
    <row r="2890" spans="1:12">
      <c r="A2890" t="s">
        <v>1038</v>
      </c>
      <c r="B2890" t="s">
        <v>1037</v>
      </c>
      <c r="C2890" t="str" cm="1">
        <f t="array" ref="C2890" xml:space="preserve"> CleanText(B2890)</f>
        <v>the outlook for this breaths life into me</v>
      </c>
      <c r="D2890">
        <v>1</v>
      </c>
      <c r="E2890">
        <v>0</v>
      </c>
      <c r="F2890" t="s">
        <v>638</v>
      </c>
      <c r="G2890" t="str" cm="1">
        <f t="array" ref="G2890" xml:space="preserve"> FindCountryName(F2890)</f>
        <v>Germany</v>
      </c>
      <c r="H2890" s="1">
        <v>45262.091203703705</v>
      </c>
      <c r="I2890" s="1">
        <v>45262.091203703705</v>
      </c>
      <c r="J2890" s="1">
        <v>38971.032824074071</v>
      </c>
      <c r="K2890" cm="1">
        <f t="array" ref="K2890" xml:space="preserve"> sentimentCalc(C2890)</f>
        <v>0</v>
      </c>
      <c r="L2890" t="str" cm="1">
        <f t="array" ref="L2890" xml:space="preserve"> sentimentCategory(K2890)</f>
        <v>Neutral</v>
      </c>
    </row>
    <row r="2891" spans="1:12">
      <c r="A2891" t="s">
        <v>320</v>
      </c>
      <c r="B2891" t="s">
        <v>1036</v>
      </c>
      <c r="C2891" t="str" cm="1">
        <f t="array" ref="C2891" xml:space="preserve"> CleanText(B2891)</f>
        <v>bing chilling the series</v>
      </c>
      <c r="D2891">
        <v>0</v>
      </c>
      <c r="E2891">
        <v>0</v>
      </c>
      <c r="F2891" t="s">
        <v>0</v>
      </c>
      <c r="G2891" t="str" cm="1">
        <f t="array" ref="G2891" xml:space="preserve"> FindCountryName(F2891)</f>
        <v>None</v>
      </c>
      <c r="H2891" s="1">
        <v>45262.070347222223</v>
      </c>
      <c r="I2891" s="1">
        <v>45262.070347222223</v>
      </c>
      <c r="J2891" s="1">
        <v>44244.959872685184</v>
      </c>
      <c r="K2891" cm="1">
        <f t="array" ref="K2891" xml:space="preserve"> sentimentCalc(C2891)</f>
        <v>-1</v>
      </c>
      <c r="L2891" t="str" cm="1">
        <f t="array" ref="L2891" xml:space="preserve"> sentimentCategory(K2891)</f>
        <v>Negative</v>
      </c>
    </row>
    <row r="2892" spans="1:12">
      <c r="A2892" t="s">
        <v>779</v>
      </c>
      <c r="B2892" t="s">
        <v>1035</v>
      </c>
      <c r="C2892" t="str" cm="1">
        <f t="array" ref="C2892" xml:space="preserve"> CleanText(B2892)</f>
        <v>to be fair im not caught up on the information with this but while this looks very good im also worried aside from obvious reasons because it almost feels like theyre trying to fit all three seasons into one season please let me know if im wrong in that but for the time being if this turns out to be good or even decent i would want more than one season to flesh out the story more just my personal inconsequential opinion</v>
      </c>
      <c r="D2892">
        <v>0</v>
      </c>
      <c r="E2892">
        <v>0</v>
      </c>
      <c r="F2892" t="s">
        <v>0</v>
      </c>
      <c r="G2892" t="str" cm="1">
        <f t="array" ref="G2892" xml:space="preserve"> FindCountryName(F2892)</f>
        <v>None</v>
      </c>
      <c r="H2892" s="1">
        <v>45262.06046296296</v>
      </c>
      <c r="I2892" s="1">
        <v>45262.06046296296</v>
      </c>
      <c r="J2892" s="1">
        <v>42716.946736111109</v>
      </c>
      <c r="K2892" cm="1">
        <f t="array" ref="K2892" xml:space="preserve"> sentimentCalc(C2892)</f>
        <v>8</v>
      </c>
      <c r="L2892" t="str" cm="1">
        <f t="array" ref="L2892" xml:space="preserve"> sentimentCategory(K2892)</f>
        <v>Positive</v>
      </c>
    </row>
    <row r="2893" spans="1:12">
      <c r="A2893" t="s">
        <v>415</v>
      </c>
      <c r="B2893" t="s">
        <v>1034</v>
      </c>
      <c r="C2893" t="str" cm="1">
        <f t="array" ref="C2893" xml:space="preserve"> CleanText(B2893)</f>
        <v>please be goodplease be goodplease be goodplease be goodplease be good</v>
      </c>
      <c r="D2893">
        <v>2</v>
      </c>
      <c r="E2893">
        <v>0</v>
      </c>
      <c r="F2893" t="s">
        <v>0</v>
      </c>
      <c r="G2893" t="str" cm="1">
        <f t="array" ref="G2893" xml:space="preserve"> FindCountryName(F2893)</f>
        <v>None</v>
      </c>
      <c r="H2893" s="1">
        <v>45262.040671296294</v>
      </c>
      <c r="I2893" s="1">
        <v>45262.040671296294</v>
      </c>
      <c r="J2893" s="1">
        <v>41088.956030092595</v>
      </c>
      <c r="K2893" cm="1">
        <f t="array" ref="K2893" xml:space="preserve"> sentimentCalc(C2893)</f>
        <v>4</v>
      </c>
      <c r="L2893" t="str" cm="1">
        <f t="array" ref="L2893" xml:space="preserve"> sentimentCategory(K2893)</f>
        <v>Positive</v>
      </c>
    </row>
    <row r="2894" spans="1:12">
      <c r="A2894" t="s">
        <v>529</v>
      </c>
      <c r="B2894" t="s">
        <v>1033</v>
      </c>
      <c r="C2894" t="str" cm="1">
        <f t="array" ref="C2894" xml:space="preserve"> CleanText(B2894)</f>
        <v>no im not tearing up _xDD72_</v>
      </c>
      <c r="D2894">
        <v>1</v>
      </c>
      <c r="E2894">
        <v>0</v>
      </c>
      <c r="F2894" t="s">
        <v>0</v>
      </c>
      <c r="G2894" t="str" cm="1">
        <f t="array" ref="G2894" xml:space="preserve"> FindCountryName(F2894)</f>
        <v>None</v>
      </c>
      <c r="H2894" s="1">
        <v>45262.023518518516</v>
      </c>
      <c r="I2894" s="1">
        <v>45262.023518518516</v>
      </c>
      <c r="J2894" s="1">
        <v>41508.662141203706</v>
      </c>
      <c r="K2894" cm="1">
        <f t="array" ref="K2894" xml:space="preserve"> sentimentCalc(C2894)</f>
        <v>-1</v>
      </c>
      <c r="L2894" t="str" cm="1">
        <f t="array" ref="L2894" xml:space="preserve"> sentimentCategory(K2894)</f>
        <v>Negative</v>
      </c>
    </row>
    <row r="2895" spans="1:12">
      <c r="A2895" t="s">
        <v>231</v>
      </c>
      <c r="B2895" t="s">
        <v>1032</v>
      </c>
      <c r="C2895" t="str" cm="1">
        <f t="array" ref="C2895" xml:space="preserve"> CleanText(B2895)</f>
        <v>hopefully no woke agenda again to ruin our childhood as usual</v>
      </c>
      <c r="D2895">
        <v>0</v>
      </c>
      <c r="E2895">
        <v>0</v>
      </c>
      <c r="F2895" t="s">
        <v>0</v>
      </c>
      <c r="G2895" t="str" cm="1">
        <f t="array" ref="G2895" xml:space="preserve"> FindCountryName(F2895)</f>
        <v>None</v>
      </c>
      <c r="H2895" s="1">
        <v>45261.999675925923</v>
      </c>
      <c r="I2895" s="1">
        <v>45261.999675925923</v>
      </c>
      <c r="J2895" s="1">
        <v>41121.241365740738</v>
      </c>
      <c r="K2895" cm="1">
        <f t="array" ref="K2895" xml:space="preserve"> sentimentCalc(C2895)</f>
        <v>-1</v>
      </c>
      <c r="L2895" t="str" cm="1">
        <f t="array" ref="L2895" xml:space="preserve"> sentimentCategory(K2895)</f>
        <v>Negative</v>
      </c>
    </row>
    <row r="2896" spans="1:12">
      <c r="A2896" t="s">
        <v>66</v>
      </c>
      <c r="B2896" t="s">
        <v>1031</v>
      </c>
      <c r="C2896" t="str" cm="1">
        <f t="array" ref="C2896" xml:space="preserve"> CleanText(B2896)</f>
        <v>hi</v>
      </c>
      <c r="D2896">
        <v>0</v>
      </c>
      <c r="E2896">
        <v>0</v>
      </c>
      <c r="F2896" t="s">
        <v>0</v>
      </c>
      <c r="G2896" t="str" cm="1">
        <f t="array" ref="G2896" xml:space="preserve"> FindCountryName(F2896)</f>
        <v>None</v>
      </c>
      <c r="H2896" s="1">
        <v>45261.995671296296</v>
      </c>
      <c r="I2896" s="1">
        <v>45261.995671296296</v>
      </c>
      <c r="J2896" s="1">
        <v>45261.991666666669</v>
      </c>
      <c r="K2896" cm="1">
        <f t="array" ref="K2896" xml:space="preserve"> sentimentCalc(C2896)</f>
        <v>0</v>
      </c>
      <c r="L2896" t="str" cm="1">
        <f t="array" ref="L2896" xml:space="preserve"> sentimentCategory(K2896)</f>
        <v>Neutral</v>
      </c>
    </row>
    <row r="2897" spans="1:12">
      <c r="A2897" t="s">
        <v>1030</v>
      </c>
      <c r="B2897" t="s">
        <v>1029</v>
      </c>
      <c r="C2897" t="str" cm="1">
        <f t="array" ref="C2897" xml:space="preserve"> CleanText(B2897)</f>
        <v>please im begging you all if this is not good please dont do revisionist history with the shyamalan movie it was dumb enough when star wars fans starting saying - were good because they didnt like -</v>
      </c>
      <c r="D2897">
        <v>0</v>
      </c>
      <c r="E2897">
        <v>0</v>
      </c>
      <c r="F2897" t="s">
        <v>0</v>
      </c>
      <c r="G2897" t="str" cm="1">
        <f t="array" ref="G2897" xml:space="preserve"> FindCountryName(F2897)</f>
        <v>None</v>
      </c>
      <c r="H2897" s="1">
        <v>45261.994942129626</v>
      </c>
      <c r="I2897" s="1">
        <v>45261.994942129626</v>
      </c>
      <c r="J2897" s="1">
        <v>40688.898854166669</v>
      </c>
      <c r="K2897" cm="1">
        <f t="array" ref="K2897" xml:space="preserve"> sentimentCalc(C2897)</f>
        <v>7</v>
      </c>
      <c r="L2897" t="str" cm="1">
        <f t="array" ref="L2897" xml:space="preserve"> sentimentCategory(K2897)</f>
        <v>Positive</v>
      </c>
    </row>
    <row r="2898" spans="1:12">
      <c r="A2898" t="s">
        <v>960</v>
      </c>
      <c r="B2898" t="s">
        <v>1028</v>
      </c>
      <c r="C2898" t="str" cm="1">
        <f t="array" ref="C2898" xml:space="preserve"> CleanText(B2898)</f>
        <v>shame they didnt keep the other design of the arrow on his forehead imo it looked cool rather than just looking like someone slapped it on like a sticker idk if it looks better or not to everyone else though</v>
      </c>
      <c r="D2898">
        <v>0</v>
      </c>
      <c r="E2898">
        <v>0</v>
      </c>
      <c r="F2898" t="s">
        <v>0</v>
      </c>
      <c r="G2898" t="str" cm="1">
        <f t="array" ref="G2898" xml:space="preserve"> FindCountryName(F2898)</f>
        <v>None</v>
      </c>
      <c r="H2898" s="1">
        <v>45261.929293981484</v>
      </c>
      <c r="I2898" s="1">
        <v>45261.929293981484</v>
      </c>
      <c r="J2898" s="1">
        <v>44554.904895833337</v>
      </c>
      <c r="K2898" cm="1">
        <f t="array" ref="K2898" xml:space="preserve"> sentimentCalc(C2898)</f>
        <v>5</v>
      </c>
      <c r="L2898" t="str" cm="1">
        <f t="array" ref="L2898" xml:space="preserve"> sentimentCategory(K2898)</f>
        <v>Positive</v>
      </c>
    </row>
    <row r="2899" spans="1:12">
      <c r="A2899" t="s">
        <v>310</v>
      </c>
      <c r="B2899" t="s">
        <v>1027</v>
      </c>
      <c r="C2899" t="str" cm="1">
        <f t="array" ref="C2899" xml:space="preserve"> CleanText(B2899)</f>
        <v>appa yipyip</v>
      </c>
      <c r="D2899">
        <v>0</v>
      </c>
      <c r="E2899">
        <v>0</v>
      </c>
      <c r="F2899" t="s">
        <v>0</v>
      </c>
      <c r="G2899" t="str" cm="1">
        <f t="array" ref="G2899" xml:space="preserve"> FindCountryName(F2899)</f>
        <v>None</v>
      </c>
      <c r="H2899" s="1">
        <v>45261.893101851849</v>
      </c>
      <c r="I2899" s="1">
        <v>45261.893101851849</v>
      </c>
      <c r="J2899" s="1">
        <v>44311.381921296299</v>
      </c>
      <c r="K2899" cm="1">
        <f t="array" ref="K2899" xml:space="preserve"> sentimentCalc(C2899)</f>
        <v>0</v>
      </c>
      <c r="L2899" t="str" cm="1">
        <f t="array" ref="L2899" xml:space="preserve"> sentimentCategory(K2899)</f>
        <v>Neutral</v>
      </c>
    </row>
    <row r="2900" spans="1:12">
      <c r="A2900" t="s">
        <v>460</v>
      </c>
      <c r="B2900" t="s">
        <v>1026</v>
      </c>
      <c r="C2900" t="str" cm="1">
        <f t="array" ref="C2900" xml:space="preserve"> CleanText(B2900)</f>
        <v>tak tak si botak kembali beraksi</v>
      </c>
      <c r="D2900">
        <v>0</v>
      </c>
      <c r="E2900">
        <v>0</v>
      </c>
      <c r="F2900" t="s">
        <v>0</v>
      </c>
      <c r="G2900" t="str" cm="1">
        <f t="array" ref="G2900" xml:space="preserve"> FindCountryName(F2900)</f>
        <v>None</v>
      </c>
      <c r="H2900" s="1">
        <v>45261.88140046296</v>
      </c>
      <c r="I2900" s="1">
        <v>45261.88140046296</v>
      </c>
      <c r="J2900" s="1">
        <v>42566.405868055554</v>
      </c>
      <c r="K2900" cm="1">
        <f t="array" ref="K2900" xml:space="preserve"> sentimentCalc(C2900)</f>
        <v>0</v>
      </c>
      <c r="L2900" t="str" cm="1">
        <f t="array" ref="L2900" xml:space="preserve"> sentimentCategory(K2900)</f>
        <v>Neutral</v>
      </c>
    </row>
    <row r="2901" spans="1:12">
      <c r="A2901" t="s">
        <v>1025</v>
      </c>
      <c r="B2901" t="s">
        <v>1024</v>
      </c>
      <c r="C2901" t="str" cm="1">
        <f t="array" ref="C2901" xml:space="preserve"> CleanText(B2901)</f>
        <v>this is so much better than the movie</v>
      </c>
      <c r="D2901">
        <v>0</v>
      </c>
      <c r="E2901">
        <v>0</v>
      </c>
      <c r="F2901" t="s">
        <v>0</v>
      </c>
      <c r="G2901" t="str" cm="1">
        <f t="array" ref="G2901" xml:space="preserve"> FindCountryName(F2901)</f>
        <v>None</v>
      </c>
      <c r="H2901" s="1">
        <v>45261.857847222222</v>
      </c>
      <c r="I2901" s="1">
        <v>45261.857847222222</v>
      </c>
      <c r="J2901" s="1">
        <v>44851.420358796298</v>
      </c>
      <c r="K2901" cm="1">
        <f t="array" ref="K2901" xml:space="preserve"> sentimentCalc(C2901)</f>
        <v>2</v>
      </c>
      <c r="L2901" t="str" cm="1">
        <f t="array" ref="L2901" xml:space="preserve"> sentimentCategory(K2901)</f>
        <v>Positive</v>
      </c>
    </row>
    <row r="2902" spans="1:12">
      <c r="A2902" t="s">
        <v>32</v>
      </c>
      <c r="B2902" t="s">
        <v>1023</v>
      </c>
      <c r="C2902" t="str" cm="1">
        <f t="array" ref="C2902" xml:space="preserve"> CleanText(B2902)</f>
        <v>arent actually black characters that i was hoping for i kinda dont really mind it but still they couldve found someone thats black tho</v>
      </c>
      <c r="D2902">
        <v>0</v>
      </c>
      <c r="E2902">
        <v>2</v>
      </c>
      <c r="F2902" t="s">
        <v>0</v>
      </c>
      <c r="G2902" t="str" cm="1">
        <f t="array" ref="G2902" xml:space="preserve"> FindCountryName(F2902)</f>
        <v>None</v>
      </c>
      <c r="H2902" s="1">
        <v>45261.811168981483</v>
      </c>
      <c r="I2902" s="1">
        <v>45261.811956018515</v>
      </c>
      <c r="J2902" s="1">
        <v>43910.015717592592</v>
      </c>
      <c r="K2902" cm="1">
        <f t="array" ref="K2902" xml:space="preserve"> sentimentCalc(C2902)</f>
        <v>2</v>
      </c>
      <c r="L2902" t="str" cm="1">
        <f t="array" ref="L2902" xml:space="preserve"> sentimentCategory(K2902)</f>
        <v>Positive</v>
      </c>
    </row>
    <row r="2903" spans="1:12">
      <c r="A2903" t="s">
        <v>1022</v>
      </c>
      <c r="B2903" t="s">
        <v>1021</v>
      </c>
      <c r="C2903" t="str" cm="1">
        <f t="array" ref="C2903" xml:space="preserve"> CleanText(B2903)</f>
        <v>paul sunhyung lee for the gooo _xDE0D_ he is going to be an amazing uncle iroh</v>
      </c>
      <c r="D2903">
        <v>0</v>
      </c>
      <c r="E2903">
        <v>0</v>
      </c>
      <c r="F2903" t="s">
        <v>0</v>
      </c>
      <c r="G2903" t="str" cm="1">
        <f t="array" ref="G2903" xml:space="preserve"> FindCountryName(F2903)</f>
        <v>None</v>
      </c>
      <c r="H2903" s="1">
        <v>45261.810069444444</v>
      </c>
      <c r="I2903" s="1">
        <v>45261.810300925928</v>
      </c>
      <c r="J2903" s="1">
        <v>44549.102847222224</v>
      </c>
      <c r="K2903" cm="1">
        <f t="array" ref="K2903" xml:space="preserve"> sentimentCalc(C2903)</f>
        <v>4</v>
      </c>
      <c r="L2903" t="str" cm="1">
        <f t="array" ref="L2903" xml:space="preserve"> sentimentCategory(K2903)</f>
        <v>Positive</v>
      </c>
    </row>
    <row r="2904" spans="1:12">
      <c r="A2904" t="s">
        <v>128</v>
      </c>
      <c r="B2904" t="s">
        <v>1020</v>
      </c>
      <c r="C2904" t="str" cm="1">
        <f t="array" ref="C2904" xml:space="preserve"> CleanText(B2904)</f>
        <v>whoever did momo needs to get on chopper for season  of one piece</v>
      </c>
      <c r="D2904">
        <v>0</v>
      </c>
      <c r="E2904">
        <v>0</v>
      </c>
      <c r="F2904" t="s">
        <v>0</v>
      </c>
      <c r="G2904" t="str" cm="1">
        <f t="array" ref="G2904" xml:space="preserve"> FindCountryName(F2904)</f>
        <v>None</v>
      </c>
      <c r="H2904" s="1">
        <v>45261.788842592592</v>
      </c>
      <c r="I2904" s="1">
        <v>45261.788842592592</v>
      </c>
      <c r="J2904" s="1">
        <v>40855.812685185185</v>
      </c>
      <c r="K2904" cm="1">
        <f t="array" ref="K2904" xml:space="preserve"> sentimentCalc(C2904)</f>
        <v>0</v>
      </c>
      <c r="L2904" t="str" cm="1">
        <f t="array" ref="L2904" xml:space="preserve"> sentimentCategory(K2904)</f>
        <v>Neutral</v>
      </c>
    </row>
    <row r="2905" spans="1:12">
      <c r="A2905" t="s">
        <v>208</v>
      </c>
      <c r="B2905" t="s">
        <v>1019</v>
      </c>
      <c r="C2905" t="str" cm="1">
        <f t="array" ref="C2905" xml:space="preserve"> CleanText(B2905)</f>
        <v>the cgi is strong with this one</v>
      </c>
      <c r="D2905">
        <v>0</v>
      </c>
      <c r="E2905">
        <v>0</v>
      </c>
      <c r="F2905" t="s">
        <v>0</v>
      </c>
      <c r="G2905" t="str" cm="1">
        <f t="array" ref="G2905" xml:space="preserve"> FindCountryName(F2905)</f>
        <v>None</v>
      </c>
      <c r="H2905" s="1">
        <v>45261.780347222222</v>
      </c>
      <c r="I2905" s="1">
        <v>45261.780347222222</v>
      </c>
      <c r="J2905" s="1">
        <v>45020.82199074074</v>
      </c>
      <c r="K2905" cm="1">
        <f t="array" ref="K2905" xml:space="preserve"> sentimentCalc(C2905)</f>
        <v>2</v>
      </c>
      <c r="L2905" t="str" cm="1">
        <f t="array" ref="L2905" xml:space="preserve"> sentimentCategory(K2905)</f>
        <v>Positive</v>
      </c>
    </row>
    <row r="2906" spans="1:12">
      <c r="A2906" t="s">
        <v>361</v>
      </c>
      <c r="B2906" t="s">
        <v>1018</v>
      </c>
      <c r="C2906" t="str" cm="1">
        <f t="array" ref="C2906" xml:space="preserve"> CleanText(B2906)</f>
        <v>cito nate apo ni babirosak cerito la beruk</v>
      </c>
      <c r="D2906">
        <v>0</v>
      </c>
      <c r="E2906">
        <v>0</v>
      </c>
      <c r="F2906" t="s">
        <v>0</v>
      </c>
      <c r="G2906" t="str" cm="1">
        <f t="array" ref="G2906" xml:space="preserve"> FindCountryName(F2906)</f>
        <v>None</v>
      </c>
      <c r="H2906" s="1">
        <v>45261.748923611114</v>
      </c>
      <c r="I2906" s="1">
        <v>45261.748923611114</v>
      </c>
      <c r="J2906" s="1">
        <v>44412.119212962964</v>
      </c>
      <c r="K2906" cm="1">
        <f t="array" ref="K2906" xml:space="preserve"> sentimentCalc(C2906)</f>
        <v>0</v>
      </c>
      <c r="L2906" t="str" cm="1">
        <f t="array" ref="L2906" xml:space="preserve"> sentimentCategory(K2906)</f>
        <v>Neutral</v>
      </c>
    </row>
    <row r="2907" spans="1:12">
      <c r="A2907" t="s">
        <v>763</v>
      </c>
      <c r="B2907" t="s">
        <v>1017</v>
      </c>
      <c r="C2907" t="str" cm="1">
        <f t="array" ref="C2907" xml:space="preserve"> CleanText(B2907)</f>
        <v>the fact that they found a kid who actually looks pretty cool with a shaved head and like hes about the right age for aang is honestly a miracle in of itself</v>
      </c>
      <c r="D2907">
        <v>4038</v>
      </c>
      <c r="E2907">
        <v>40</v>
      </c>
      <c r="F2907" t="s">
        <v>39</v>
      </c>
      <c r="G2907" t="str" cm="1">
        <f t="array" ref="G2907" xml:space="preserve"> FindCountryName(F2907)</f>
        <v>United Kingdom of Great Britain and Northern Ireland (the)</v>
      </c>
      <c r="H2907" s="1">
        <v>45261.702777777777</v>
      </c>
      <c r="I2907" s="1">
        <v>45261.702777777777</v>
      </c>
      <c r="J2907" s="1">
        <v>40446.616956018515</v>
      </c>
      <c r="K2907" cm="1">
        <f t="array" ref="K2907" xml:space="preserve"> sentimentCalc(C2907)</f>
        <v>8</v>
      </c>
      <c r="L2907" t="str" cm="1">
        <f t="array" ref="L2907" xml:space="preserve"> sentimentCategory(K2907)</f>
        <v>Positive</v>
      </c>
    </row>
    <row r="2908" spans="1:12">
      <c r="A2908" t="s">
        <v>261</v>
      </c>
      <c r="B2908" t="s">
        <v>1016</v>
      </c>
      <c r="C2908" t="str" cm="1">
        <f t="array" ref="C2908" xml:space="preserve"> CleanText(B2908)</f>
        <v>иу ин кк  у ш n</v>
      </c>
      <c r="D2908">
        <v>0</v>
      </c>
      <c r="E2908">
        <v>0</v>
      </c>
      <c r="F2908" t="s">
        <v>0</v>
      </c>
      <c r="G2908" t="str" cm="1">
        <f t="array" ref="G2908" xml:space="preserve"> FindCountryName(F2908)</f>
        <v>None</v>
      </c>
      <c r="H2908" s="1">
        <v>45261.702349537038</v>
      </c>
      <c r="I2908" s="1">
        <v>45261.702349537038</v>
      </c>
      <c r="J2908" s="1">
        <v>41601.697557870371</v>
      </c>
      <c r="K2908" cm="1">
        <f t="array" ref="K2908" xml:space="preserve"> sentimentCalc(C2908)</f>
        <v>0</v>
      </c>
      <c r="L2908" t="str" cm="1">
        <f t="array" ref="L2908" xml:space="preserve"> sentimentCategory(K2908)</f>
        <v>Neutral</v>
      </c>
    </row>
    <row r="2909" spans="1:12">
      <c r="A2909" t="s">
        <v>1015</v>
      </c>
      <c r="B2909" t="s">
        <v>1014</v>
      </c>
      <c r="C2909" t="str" cm="1">
        <f t="array" ref="C2909" xml:space="preserve"> CleanText(B2909)</f>
        <v>katara looks like a fat womanthe question is how she will do her moves when she is hampered by weightnetflix shouldnt have taken up the adaptation</v>
      </c>
      <c r="D2909">
        <v>0</v>
      </c>
      <c r="E2909">
        <v>1</v>
      </c>
      <c r="F2909" t="s">
        <v>0</v>
      </c>
      <c r="G2909" t="str" cm="1">
        <f t="array" ref="G2909" xml:space="preserve"> FindCountryName(F2909)</f>
        <v>None</v>
      </c>
      <c r="H2909" s="1">
        <v>45261.68</v>
      </c>
      <c r="I2909" s="1">
        <v>45261.68</v>
      </c>
      <c r="J2909" s="1">
        <v>41912.598055555558</v>
      </c>
      <c r="K2909" cm="1">
        <f t="array" ref="K2909" xml:space="preserve"> sentimentCalc(C2909)</f>
        <v>2</v>
      </c>
      <c r="L2909" t="str" cm="1">
        <f t="array" ref="L2909" xml:space="preserve"> sentimentCategory(K2909)</f>
        <v>Positive</v>
      </c>
    </row>
    <row r="2910" spans="1:12">
      <c r="A2910" t="s">
        <v>596</v>
      </c>
      <c r="B2910" t="s">
        <v>1013</v>
      </c>
      <c r="C2910" t="str" cm="1">
        <f t="array" ref="C2910" xml:space="preserve"> CleanText(B2910)</f>
        <v>why make shit movies of good animes anywayah i see money it isanyway this looks like shit</v>
      </c>
      <c r="D2910">
        <v>0</v>
      </c>
      <c r="E2910">
        <v>0</v>
      </c>
      <c r="F2910" t="s">
        <v>0</v>
      </c>
      <c r="G2910" t="str" cm="1">
        <f t="array" ref="G2910" xml:space="preserve"> FindCountryName(F2910)</f>
        <v>None</v>
      </c>
      <c r="H2910" s="1">
        <v>45261.674641203703</v>
      </c>
      <c r="I2910" s="1">
        <v>45261.674641203703</v>
      </c>
      <c r="J2910" s="1">
        <v>41539.82949074074</v>
      </c>
      <c r="K2910" cm="1">
        <f t="array" ref="K2910" xml:space="preserve"> sentimentCalc(C2910)</f>
        <v>5</v>
      </c>
      <c r="L2910" t="str" cm="1">
        <f t="array" ref="L2910" xml:space="preserve"> sentimentCategory(K2910)</f>
        <v>Positive</v>
      </c>
    </row>
    <row r="2911" spans="1:12">
      <c r="A2911" t="s">
        <v>82</v>
      </c>
      <c r="B2911" t="s">
        <v>1012</v>
      </c>
      <c r="C2911" t="str" cm="1">
        <f t="array" ref="C2911" xml:space="preserve"> CleanText(B2911)</f>
        <v>bro if this doesnt flop it is going to be the tv show of the decade</v>
      </c>
      <c r="D2911">
        <v>56</v>
      </c>
      <c r="E2911">
        <v>1</v>
      </c>
      <c r="F2911" t="s">
        <v>0</v>
      </c>
      <c r="G2911" t="str" cm="1">
        <f t="array" ref="G2911" xml:space="preserve"> FindCountryName(F2911)</f>
        <v>None</v>
      </c>
      <c r="H2911" s="1">
        <v>45261.623101851852</v>
      </c>
      <c r="I2911" s="1">
        <v>45261.623101851852</v>
      </c>
      <c r="J2911" s="1">
        <v>44175.690462962964</v>
      </c>
      <c r="K2911" cm="1">
        <f t="array" ref="K2911" xml:space="preserve"> sentimentCalc(C2911)</f>
        <v>-2</v>
      </c>
      <c r="L2911" t="str" cm="1">
        <f t="array" ref="L2911" xml:space="preserve"> sentimentCategory(K2911)</f>
        <v>Negative</v>
      </c>
    </row>
    <row r="2912" spans="1:12">
      <c r="A2912" t="s">
        <v>1011</v>
      </c>
      <c r="B2912" t="s">
        <v>1010</v>
      </c>
      <c r="C2912" t="str" cm="1">
        <f t="array" ref="C2912" xml:space="preserve"> CleanText(B2912)</f>
        <v>i can hear my cousin and aunties complaining about this if i showed them</v>
      </c>
      <c r="D2912">
        <v>0</v>
      </c>
      <c r="E2912">
        <v>0</v>
      </c>
      <c r="F2912" t="s">
        <v>0</v>
      </c>
      <c r="G2912" t="str" cm="1">
        <f t="array" ref="G2912" xml:space="preserve"> FindCountryName(F2912)</f>
        <v>None</v>
      </c>
      <c r="H2912" s="1">
        <v>45261.606226851851</v>
      </c>
      <c r="I2912" s="1">
        <v>45261.606226851851</v>
      </c>
      <c r="J2912" s="1">
        <v>44621.792893518519</v>
      </c>
      <c r="K2912" cm="1">
        <f t="array" ref="K2912" xml:space="preserve"> sentimentCalc(C2912)</f>
        <v>0</v>
      </c>
      <c r="L2912" t="str" cm="1">
        <f t="array" ref="L2912" xml:space="preserve"> sentimentCategory(K2912)</f>
        <v>Neutral</v>
      </c>
    </row>
    <row r="2913" spans="1:12">
      <c r="A2913" t="s">
        <v>1009</v>
      </c>
      <c r="B2913" t="s">
        <v>1008</v>
      </c>
      <c r="C2913" t="str" cm="1">
        <f t="array" ref="C2913" xml:space="preserve"> CleanText(B2913)</f>
        <v>i think is too late _xDD14_ movie is better they have continued the movie parts</v>
      </c>
      <c r="D2913">
        <v>0</v>
      </c>
      <c r="E2913">
        <v>0</v>
      </c>
      <c r="F2913" t="s">
        <v>0</v>
      </c>
      <c r="G2913" t="str" cm="1">
        <f t="array" ref="G2913" xml:space="preserve"> FindCountryName(F2913)</f>
        <v>None</v>
      </c>
      <c r="H2913" s="1">
        <v>45261.600393518522</v>
      </c>
      <c r="I2913" s="1">
        <v>45261.600393518522</v>
      </c>
      <c r="J2913" s="1">
        <v>42457.290995370371</v>
      </c>
      <c r="K2913" cm="1">
        <f t="array" ref="K2913" xml:space="preserve"> sentimentCalc(C2913)</f>
        <v>2</v>
      </c>
      <c r="L2913" t="str" cm="1">
        <f t="array" ref="L2913" xml:space="preserve"> sentimentCategory(K2913)</f>
        <v>Positive</v>
      </c>
    </row>
    <row r="2914" spans="1:12">
      <c r="A2914" t="s">
        <v>78</v>
      </c>
      <c r="B2914" t="s">
        <v>1007</v>
      </c>
      <c r="C2914" t="str" cm="1">
        <f t="array" ref="C2914" xml:space="preserve"> CleanText(B2914)</f>
        <v>this doesnt look good</v>
      </c>
      <c r="D2914">
        <v>0</v>
      </c>
      <c r="E2914">
        <v>0</v>
      </c>
      <c r="F2914" t="s">
        <v>0</v>
      </c>
      <c r="G2914" t="str" cm="1">
        <f t="array" ref="G2914" xml:space="preserve"> FindCountryName(F2914)</f>
        <v>None</v>
      </c>
      <c r="H2914" s="1">
        <v>45261.596134259256</v>
      </c>
      <c r="I2914" s="1">
        <v>45261.596134259256</v>
      </c>
      <c r="J2914" s="1">
        <v>44835.725057870368</v>
      </c>
      <c r="K2914" cm="1">
        <f t="array" ref="K2914" xml:space="preserve"> sentimentCalc(C2914)</f>
        <v>3</v>
      </c>
      <c r="L2914" t="str" cm="1">
        <f t="array" ref="L2914" xml:space="preserve"> sentimentCategory(K2914)</f>
        <v>Positive</v>
      </c>
    </row>
    <row r="2915" spans="1:12">
      <c r="A2915" t="s">
        <v>1006</v>
      </c>
      <c r="B2915" t="s">
        <v>1005</v>
      </c>
      <c r="C2915" t="str" cm="1">
        <f t="array" ref="C2915" xml:space="preserve"> CleanText(B2915)</f>
        <v>rip _xDE2E__xDCA8__xDC4E__xDFFB_</v>
      </c>
      <c r="D2915">
        <v>0</v>
      </c>
      <c r="E2915">
        <v>0</v>
      </c>
      <c r="F2915" t="s">
        <v>0</v>
      </c>
      <c r="G2915" t="str" cm="1">
        <f t="array" ref="G2915" xml:space="preserve"> FindCountryName(F2915)</f>
        <v>None</v>
      </c>
      <c r="H2915" s="1">
        <v>45261.593969907408</v>
      </c>
      <c r="I2915" s="1">
        <v>45261.593969907408</v>
      </c>
      <c r="J2915" s="1">
        <v>41870.411157407405</v>
      </c>
      <c r="K2915" cm="1">
        <f t="array" ref="K2915" xml:space="preserve"> sentimentCalc(C2915)</f>
        <v>0</v>
      </c>
      <c r="L2915" t="str" cm="1">
        <f t="array" ref="L2915" xml:space="preserve"> sentimentCategory(K2915)</f>
        <v>Neutral</v>
      </c>
    </row>
    <row r="2916" spans="1:12">
      <c r="A2916" t="s">
        <v>474</v>
      </c>
      <c r="B2916" t="s">
        <v>1004</v>
      </c>
      <c r="C2916" t="str" cm="1">
        <f t="array" ref="C2916" xml:space="preserve"> CleanText(B2916)</f>
        <v>nickelodeon to netflix journey of our favourite aang oh in between there was a stop at m night shyamalins movie too</v>
      </c>
      <c r="D2916">
        <v>0</v>
      </c>
      <c r="E2916">
        <v>0</v>
      </c>
      <c r="F2916" t="s">
        <v>0</v>
      </c>
      <c r="G2916" t="str" cm="1">
        <f t="array" ref="G2916" xml:space="preserve"> FindCountryName(F2916)</f>
        <v>None</v>
      </c>
      <c r="H2916" s="1">
        <v>45261.577233796299</v>
      </c>
      <c r="I2916" s="1">
        <v>45261.577233796299</v>
      </c>
      <c r="J2916" s="1">
        <v>39745.611898148149</v>
      </c>
      <c r="K2916" cm="1">
        <f t="array" ref="K2916" xml:space="preserve"> sentimentCalc(C2916)</f>
        <v>-1</v>
      </c>
      <c r="L2916" t="str" cm="1">
        <f t="array" ref="L2916" xml:space="preserve"> sentimentCategory(K2916)</f>
        <v>Negative</v>
      </c>
    </row>
    <row r="2917" spans="1:12">
      <c r="A2917" t="s">
        <v>1003</v>
      </c>
      <c r="B2917" t="s">
        <v>1002</v>
      </c>
      <c r="C2917" t="str" cm="1">
        <f t="array" ref="C2917" xml:space="preserve"> CleanText(B2917)</f>
        <v>the only black people gone _xDE10_</v>
      </c>
      <c r="D2917">
        <v>0</v>
      </c>
      <c r="E2917">
        <v>1</v>
      </c>
      <c r="F2917" t="s">
        <v>19</v>
      </c>
      <c r="G2917" t="str" cm="1">
        <f t="array" ref="G2917" xml:space="preserve"> FindCountryName(F2917)</f>
        <v>United States of America (the)</v>
      </c>
      <c r="H2917" s="1">
        <v>45261.547326388885</v>
      </c>
      <c r="I2917" s="1">
        <v>45261.547326388885</v>
      </c>
      <c r="J2917" s="1">
        <v>42602.36378472222</v>
      </c>
      <c r="K2917" cm="1">
        <f t="array" ref="K2917" xml:space="preserve"> sentimentCalc(C2917)</f>
        <v>0</v>
      </c>
      <c r="L2917" t="str" cm="1">
        <f t="array" ref="L2917" xml:space="preserve"> sentimentCategory(K2917)</f>
        <v>Neutral</v>
      </c>
    </row>
    <row r="2918" spans="1:12">
      <c r="A2918" t="s">
        <v>357</v>
      </c>
      <c r="B2918" t="s">
        <v>1001</v>
      </c>
      <c r="C2918" t="str" cm="1">
        <f t="array" ref="C2918" xml:space="preserve"> CleanText(B2918)</f>
        <v>no fight scene clips its gonna be trash</v>
      </c>
      <c r="D2918">
        <v>0</v>
      </c>
      <c r="E2918">
        <v>0</v>
      </c>
      <c r="F2918" t="s">
        <v>0</v>
      </c>
      <c r="G2918" t="str" cm="1">
        <f t="array" ref="G2918" xml:space="preserve"> FindCountryName(F2918)</f>
        <v>None</v>
      </c>
      <c r="H2918" s="1">
        <v>45261.54314814815</v>
      </c>
      <c r="I2918" s="1">
        <v>45261.54314814815</v>
      </c>
      <c r="J2918" s="1">
        <v>42545.708935185183</v>
      </c>
      <c r="K2918" cm="1">
        <f t="array" ref="K2918" xml:space="preserve"> sentimentCalc(C2918)</f>
        <v>-2</v>
      </c>
      <c r="L2918" t="str" cm="1">
        <f t="array" ref="L2918" xml:space="preserve"> sentimentCategory(K2918)</f>
        <v>Negative</v>
      </c>
    </row>
    <row r="2919" spans="1:12">
      <c r="A2919" t="s">
        <v>1000</v>
      </c>
      <c r="B2919" t="s">
        <v>999</v>
      </c>
      <c r="C2919" t="str" cm="1">
        <f t="array" ref="C2919" xml:space="preserve"> CleanText(B2919)</f>
        <v>am i the only one who wants the ending of azula in this to be a little different she didnt have uncle iroh as zuko had and i just     you know would like to see if things were different if someone would have been there with her</v>
      </c>
      <c r="D2919">
        <v>1</v>
      </c>
      <c r="E2919">
        <v>1</v>
      </c>
      <c r="F2919" t="s">
        <v>0</v>
      </c>
      <c r="G2919" t="str" cm="1">
        <f t="array" ref="G2919" xml:space="preserve"> FindCountryName(F2919)</f>
        <v>None</v>
      </c>
      <c r="H2919" s="1">
        <v>45261.541458333333</v>
      </c>
      <c r="I2919" s="1">
        <v>45261.54184027778</v>
      </c>
      <c r="J2919" s="1">
        <v>41353.317303240743</v>
      </c>
      <c r="K2919" cm="1">
        <f t="array" ref="K2919" xml:space="preserve"> sentimentCalc(C2919)</f>
        <v>2</v>
      </c>
      <c r="L2919" t="str" cm="1">
        <f t="array" ref="L2919" xml:space="preserve"> sentimentCategory(K2919)</f>
        <v>Positive</v>
      </c>
    </row>
    <row r="2920" spans="1:12">
      <c r="A2920" t="s">
        <v>26</v>
      </c>
      <c r="B2920" t="s">
        <v>998</v>
      </c>
      <c r="C2920" t="str" cm="1">
        <f t="array" ref="C2920" xml:space="preserve"> CleanText(B2920)</f>
        <v>eu amo o filme doavatar</v>
      </c>
      <c r="D2920">
        <v>0</v>
      </c>
      <c r="E2920">
        <v>0</v>
      </c>
      <c r="F2920" t="s">
        <v>0</v>
      </c>
      <c r="G2920" t="str" cm="1">
        <f t="array" ref="G2920" xml:space="preserve"> FindCountryName(F2920)</f>
        <v>None</v>
      </c>
      <c r="H2920" s="1">
        <v>45261.498761574076</v>
      </c>
      <c r="I2920" s="1">
        <v>45261.498761574076</v>
      </c>
      <c r="J2920" s="1">
        <v>43161.453599537039</v>
      </c>
      <c r="K2920" cm="1">
        <f t="array" ref="K2920" xml:space="preserve"> sentimentCalc(C2920)</f>
        <v>0</v>
      </c>
      <c r="L2920" t="str" cm="1">
        <f t="array" ref="L2920" xml:space="preserve"> sentimentCategory(K2920)</f>
        <v>Neutral</v>
      </c>
    </row>
    <row r="2921" spans="1:12">
      <c r="A2921" t="s">
        <v>26</v>
      </c>
      <c r="B2921" t="s">
        <v>997</v>
      </c>
      <c r="C2921" t="str" cm="1">
        <f t="array" ref="C2921" xml:space="preserve"> CleanText(B2921)</f>
        <v>o ultimo mestre do ar_xDE0A_</v>
      </c>
      <c r="D2921">
        <v>0</v>
      </c>
      <c r="E2921">
        <v>0</v>
      </c>
      <c r="F2921" t="s">
        <v>0</v>
      </c>
      <c r="G2921" t="str" cm="1">
        <f t="array" ref="G2921" xml:space="preserve"> FindCountryName(F2921)</f>
        <v>None</v>
      </c>
      <c r="H2921" s="1">
        <v>45261.497199074074</v>
      </c>
      <c r="I2921" s="1">
        <v>45261.497199074074</v>
      </c>
      <c r="J2921" s="1">
        <v>43161.453599537039</v>
      </c>
      <c r="K2921" cm="1">
        <f t="array" ref="K2921" xml:space="preserve"> sentimentCalc(C2921)</f>
        <v>0</v>
      </c>
      <c r="L2921" t="str" cm="1">
        <f t="array" ref="L2921" xml:space="preserve"> sentimentCategory(K2921)</f>
        <v>Neutral</v>
      </c>
    </row>
    <row r="2922" spans="1:12">
      <c r="A2922" t="s">
        <v>612</v>
      </c>
      <c r="B2922" t="s">
        <v>996</v>
      </c>
      <c r="C2922" t="str" cm="1">
        <f t="array" ref="C2922" xml:space="preserve"> CleanText(B2922)</f>
        <v>리 사에 장 어 하 인? n</v>
      </c>
      <c r="D2922">
        <v>0</v>
      </c>
      <c r="E2922">
        <v>0</v>
      </c>
      <c r="F2922" t="s">
        <v>995</v>
      </c>
      <c r="G2922" t="str" cm="1">
        <f t="array" ref="G2922" xml:space="preserve"> FindCountryName(F2922)</f>
        <v>Korea (the Republic of)</v>
      </c>
      <c r="H2922" s="1">
        <v>45261.485671296294</v>
      </c>
      <c r="I2922" s="1">
        <v>45261.485671296294</v>
      </c>
      <c r="J2922" s="1">
        <v>41144.453715277778</v>
      </c>
      <c r="K2922" cm="1">
        <f t="array" ref="K2922" xml:space="preserve"> sentimentCalc(C2922)</f>
        <v>0</v>
      </c>
      <c r="L2922" t="str" cm="1">
        <f t="array" ref="L2922" xml:space="preserve"> sentimentCategory(K2922)</f>
        <v>Neutral</v>
      </c>
    </row>
    <row r="2923" spans="1:12">
      <c r="A2923" t="s">
        <v>994</v>
      </c>
      <c r="B2923" t="s">
        <v>993</v>
      </c>
      <c r="C2923" t="str" cm="1">
        <f t="array" ref="C2923" xml:space="preserve"> CleanText(B2923)</f>
        <v>so is this the sequel or we going through the motions again not that im complaining as its my favourite cartoon story its up there with thundercats and heman ha ha</v>
      </c>
      <c r="D2923">
        <v>0</v>
      </c>
      <c r="E2923">
        <v>0</v>
      </c>
      <c r="F2923" t="s">
        <v>0</v>
      </c>
      <c r="G2923" t="str" cm="1">
        <f t="array" ref="G2923" xml:space="preserve"> FindCountryName(F2923)</f>
        <v>None</v>
      </c>
      <c r="H2923" s="1">
        <v>45261.417511574073</v>
      </c>
      <c r="I2923" s="1">
        <v>45261.417511574073</v>
      </c>
      <c r="J2923" s="1">
        <v>43784.794293981482</v>
      </c>
      <c r="K2923" cm="1">
        <f t="array" ref="K2923" xml:space="preserve"> sentimentCalc(C2923)</f>
        <v>0</v>
      </c>
      <c r="L2923" t="str" cm="1">
        <f t="array" ref="L2923" xml:space="preserve"> sentimentCategory(K2923)</f>
        <v>Neutral</v>
      </c>
    </row>
    <row r="2924" spans="1:12">
      <c r="A2924" t="s">
        <v>992</v>
      </c>
      <c r="B2924" t="s">
        <v>991</v>
      </c>
      <c r="C2924" t="str" cm="1">
        <f t="array" ref="C2924" xml:space="preserve"> CleanText(B2924)</f>
        <v>i love this _xDC96_</v>
      </c>
      <c r="D2924">
        <v>0</v>
      </c>
      <c r="E2924">
        <v>0</v>
      </c>
      <c r="F2924" t="s">
        <v>0</v>
      </c>
      <c r="G2924" t="str" cm="1">
        <f t="array" ref="G2924" xml:space="preserve"> FindCountryName(F2924)</f>
        <v>None</v>
      </c>
      <c r="H2924" s="1">
        <v>45261.405405092592</v>
      </c>
      <c r="I2924" s="1">
        <v>45261.405405092592</v>
      </c>
      <c r="J2924" s="1">
        <v>41310.765011574076</v>
      </c>
      <c r="K2924" cm="1">
        <f t="array" ref="K2924" xml:space="preserve"> sentimentCalc(C2924)</f>
        <v>3</v>
      </c>
      <c r="L2924" t="str" cm="1">
        <f t="array" ref="L2924" xml:space="preserve"> sentimentCategory(K2924)</f>
        <v>Positive</v>
      </c>
    </row>
    <row r="2925" spans="1:12">
      <c r="A2925" t="s">
        <v>990</v>
      </c>
      <c r="B2925" t="s">
        <v>989</v>
      </c>
      <c r="C2925" t="str" cm="1">
        <f t="array" ref="C2925" xml:space="preserve"> CleanText(B2925)</f>
        <v>omg  first one piece  now avatar the last airbander  outstanding</v>
      </c>
      <c r="D2925">
        <v>1</v>
      </c>
      <c r="E2925">
        <v>0</v>
      </c>
      <c r="F2925" t="s">
        <v>0</v>
      </c>
      <c r="G2925" t="str" cm="1">
        <f t="array" ref="G2925" xml:space="preserve"> FindCountryName(F2925)</f>
        <v>None</v>
      </c>
      <c r="H2925" s="1">
        <v>45261.393842592595</v>
      </c>
      <c r="I2925" s="1">
        <v>45261.393842592595</v>
      </c>
      <c r="J2925" s="1">
        <v>45149.622245370374</v>
      </c>
      <c r="K2925" cm="1">
        <f t="array" ref="K2925" xml:space="preserve"> sentimentCalc(C2925)</f>
        <v>5</v>
      </c>
      <c r="L2925" t="str" cm="1">
        <f t="array" ref="L2925" xml:space="preserve"> sentimentCategory(K2925)</f>
        <v>Positive</v>
      </c>
    </row>
    <row r="2926" spans="1:12">
      <c r="A2926" t="s">
        <v>988</v>
      </c>
      <c r="B2926" t="s">
        <v>987</v>
      </c>
      <c r="C2926" t="str" cm="1">
        <f t="array" ref="C2926" xml:space="preserve"> CleanText(B2926)</f>
        <v>like para que esto llegue a netflix esto si se ve muuuuy bueno estn respetando la historia estn haciendo que pase y que pase bien que pase de la forma correcta mensaje para netflix sigan la misma receta que one piece si lo hacen respetando personajes historias enseanzas avatar les va a dar para muchas y muchas temporadas han tomado una gran historia con risas sentimientos altos y bajos peleas amor etc ahora magnifquenla y hagan gloria con cada captulo</v>
      </c>
      <c r="D2926">
        <v>14</v>
      </c>
      <c r="E2926">
        <v>0</v>
      </c>
      <c r="F2926" t="s">
        <v>0</v>
      </c>
      <c r="G2926" t="str" cm="1">
        <f t="array" ref="G2926" xml:space="preserve"> FindCountryName(F2926)</f>
        <v>None</v>
      </c>
      <c r="H2926" s="1">
        <v>45261.346122685187</v>
      </c>
      <c r="I2926" s="1">
        <v>45271.989768518521</v>
      </c>
      <c r="J2926" s="1">
        <v>44867.905972222223</v>
      </c>
      <c r="K2926" cm="1">
        <f t="array" ref="K2926" xml:space="preserve"> sentimentCalc(C2926)</f>
        <v>2</v>
      </c>
      <c r="L2926" t="str" cm="1">
        <f t="array" ref="L2926" xml:space="preserve"> sentimentCategory(K2926)</f>
        <v>Positive</v>
      </c>
    </row>
    <row r="2927" spans="1:12">
      <c r="A2927" t="s">
        <v>986</v>
      </c>
      <c r="B2927" t="s">
        <v>985</v>
      </c>
      <c r="C2927" t="str" cm="1">
        <f t="array" ref="C2927" xml:space="preserve"> CleanText(B2927)</f>
        <v>this movie should be a series</v>
      </c>
      <c r="D2927">
        <v>0</v>
      </c>
      <c r="E2927">
        <v>2</v>
      </c>
      <c r="F2927" t="s">
        <v>0</v>
      </c>
      <c r="G2927" t="str" cm="1">
        <f t="array" ref="G2927" xml:space="preserve"> FindCountryName(F2927)</f>
        <v>None</v>
      </c>
      <c r="H2927" s="1">
        <v>45261.315104166664</v>
      </c>
      <c r="I2927" s="1">
        <v>45261.315104166664</v>
      </c>
      <c r="J2927" s="1">
        <v>40038.810914351852</v>
      </c>
      <c r="K2927" cm="1">
        <f t="array" ref="K2927" xml:space="preserve"> sentimentCalc(C2927)</f>
        <v>0</v>
      </c>
      <c r="L2927" t="str" cm="1">
        <f t="array" ref="L2927" xml:space="preserve"> sentimentCategory(K2927)</f>
        <v>Neutral</v>
      </c>
    </row>
    <row r="2928" spans="1:12">
      <c r="A2928" t="s">
        <v>730</v>
      </c>
      <c r="B2928" t="s">
        <v>984</v>
      </c>
      <c r="C2928" t="str" cm="1">
        <f t="array" ref="C2928" xml:space="preserve"> CleanText(B2928)</f>
        <v>i hope honesty everything stay on line  with the original but congratulationsi  like this advance of thees serie</v>
      </c>
      <c r="D2928">
        <v>0</v>
      </c>
      <c r="E2928">
        <v>0</v>
      </c>
      <c r="F2928" t="s">
        <v>0</v>
      </c>
      <c r="G2928" t="str" cm="1">
        <f t="array" ref="G2928" xml:space="preserve"> FindCountryName(F2928)</f>
        <v>None</v>
      </c>
      <c r="H2928" s="1">
        <v>45261.292627314811</v>
      </c>
      <c r="I2928" s="1">
        <v>45261.292627314811</v>
      </c>
      <c r="J2928" s="1">
        <v>41859.971250000002</v>
      </c>
      <c r="K2928" cm="1">
        <f t="array" ref="K2928" xml:space="preserve"> sentimentCalc(C2928)</f>
        <v>4</v>
      </c>
      <c r="L2928" t="str" cm="1">
        <f t="array" ref="L2928" xml:space="preserve"> sentimentCategory(K2928)</f>
        <v>Positive</v>
      </c>
    </row>
    <row r="2929" spans="1:12">
      <c r="A2929" t="s">
        <v>504</v>
      </c>
      <c r="B2929" t="s">
        <v>983</v>
      </c>
      <c r="C2929" t="str" cm="1">
        <f t="array" ref="C2929" xml:space="preserve"> CleanText(B2929)</f>
        <v>i cant wait for this hopefully its as good as the animated series</v>
      </c>
      <c r="D2929">
        <v>3</v>
      </c>
      <c r="E2929">
        <v>0</v>
      </c>
      <c r="F2929" t="s">
        <v>39</v>
      </c>
      <c r="G2929" t="str" cm="1">
        <f t="array" ref="G2929" xml:space="preserve"> FindCountryName(F2929)</f>
        <v>United Kingdom of Great Britain and Northern Ireland (the)</v>
      </c>
      <c r="H2929" s="1">
        <v>45261.265949074077</v>
      </c>
      <c r="I2929" s="1">
        <v>45261.265949074077</v>
      </c>
      <c r="J2929" s="1">
        <v>43030.657997685186</v>
      </c>
      <c r="K2929" cm="1">
        <f t="array" ref="K2929" xml:space="preserve"> sentimentCalc(C2929)</f>
        <v>5</v>
      </c>
      <c r="L2929" t="str" cm="1">
        <f t="array" ref="L2929" xml:space="preserve"> sentimentCategory(K2929)</f>
        <v>Positive</v>
      </c>
    </row>
    <row r="2930" spans="1:12">
      <c r="A2930" t="s">
        <v>982</v>
      </c>
      <c r="B2930" t="s">
        <v>981</v>
      </c>
      <c r="C2930" t="str" cm="1">
        <f t="array" ref="C2930" xml:space="preserve"> CleanText(B2930)</f>
        <v>zutara is the best</v>
      </c>
      <c r="D2930">
        <v>0</v>
      </c>
      <c r="E2930">
        <v>0</v>
      </c>
      <c r="F2930" t="s">
        <v>0</v>
      </c>
      <c r="G2930" t="str" cm="1">
        <f t="array" ref="G2930" xml:space="preserve"> FindCountryName(F2930)</f>
        <v>None</v>
      </c>
      <c r="H2930" s="1">
        <v>45261.252685185187</v>
      </c>
      <c r="I2930" s="1">
        <v>45261.252685185187</v>
      </c>
      <c r="J2930" s="1">
        <v>40821.990312499998</v>
      </c>
      <c r="K2930" cm="1">
        <f t="array" ref="K2930" xml:space="preserve"> sentimentCalc(C2930)</f>
        <v>3</v>
      </c>
      <c r="L2930" t="str" cm="1">
        <f t="array" ref="L2930" xml:space="preserve"> sentimentCategory(K2930)</f>
        <v>Positive</v>
      </c>
    </row>
    <row r="2931" spans="1:12">
      <c r="A2931" t="s">
        <v>980</v>
      </c>
      <c r="B2931" t="s">
        <v>979</v>
      </c>
      <c r="C2931" t="str" cm="1">
        <f t="array" ref="C2931" xml:space="preserve"> CleanText(B2931)</f>
        <v>you ever try chocolate</v>
      </c>
      <c r="D2931">
        <v>0</v>
      </c>
      <c r="E2931">
        <v>0</v>
      </c>
      <c r="F2931" t="s">
        <v>0</v>
      </c>
      <c r="G2931" t="str" cm="1">
        <f t="array" ref="G2931" xml:space="preserve"> FindCountryName(F2931)</f>
        <v>None</v>
      </c>
      <c r="H2931" s="1">
        <v>45261.227210648147</v>
      </c>
      <c r="I2931" s="1">
        <v>45261.227210648147</v>
      </c>
      <c r="J2931" s="1">
        <v>44703.704733796294</v>
      </c>
      <c r="K2931" cm="1">
        <f t="array" ref="K2931" xml:space="preserve"> sentimentCalc(C2931)</f>
        <v>0</v>
      </c>
      <c r="L2931" t="str" cm="1">
        <f t="array" ref="L2931" xml:space="preserve"> sentimentCategory(K2931)</f>
        <v>Neutral</v>
      </c>
    </row>
    <row r="2932" spans="1:12">
      <c r="A2932" t="s">
        <v>774</v>
      </c>
      <c r="B2932" t="s">
        <v>978</v>
      </c>
      <c r="C2932" t="str" cm="1">
        <f t="array" ref="C2932" xml:space="preserve"> CleanText(B2932)</f>
        <v>i hope this show will survive until toph comes out</v>
      </c>
      <c r="D2932">
        <v>0</v>
      </c>
      <c r="E2932">
        <v>0</v>
      </c>
      <c r="F2932" t="s">
        <v>0</v>
      </c>
      <c r="G2932" t="str" cm="1">
        <f t="array" ref="G2932" xml:space="preserve"> FindCountryName(F2932)</f>
        <v>None</v>
      </c>
      <c r="H2932" s="1">
        <v>45261.205740740741</v>
      </c>
      <c r="I2932" s="1">
        <v>45261.205740740741</v>
      </c>
      <c r="J2932" s="1">
        <v>44875.195879629631</v>
      </c>
      <c r="K2932" cm="1">
        <f t="array" ref="K2932" xml:space="preserve"> sentimentCalc(C2932)</f>
        <v>2</v>
      </c>
      <c r="L2932" t="str" cm="1">
        <f t="array" ref="L2932" xml:space="preserve"> sentimentCategory(K2932)</f>
        <v>Positive</v>
      </c>
    </row>
    <row r="2933" spans="1:12">
      <c r="A2933" t="s">
        <v>977</v>
      </c>
      <c r="B2933" t="s">
        <v>976</v>
      </c>
      <c r="C2933" t="str" cm="1">
        <f t="array" ref="C2933" xml:space="preserve"> CleanText(B2933)</f>
        <v>im gonna cry</v>
      </c>
      <c r="D2933">
        <v>0</v>
      </c>
      <c r="E2933">
        <v>0</v>
      </c>
      <c r="F2933" t="s">
        <v>0</v>
      </c>
      <c r="G2933" t="str" cm="1">
        <f t="array" ref="G2933" xml:space="preserve"> FindCountryName(F2933)</f>
        <v>None</v>
      </c>
      <c r="H2933" s="1">
        <v>45261.181597222225</v>
      </c>
      <c r="I2933" s="1">
        <v>45261.181597222225</v>
      </c>
      <c r="J2933" s="1">
        <v>41279.573750000003</v>
      </c>
      <c r="K2933" cm="1">
        <f t="array" ref="K2933" xml:space="preserve"> sentimentCalc(C2933)</f>
        <v>-1</v>
      </c>
      <c r="L2933" t="str" cm="1">
        <f t="array" ref="L2933" xml:space="preserve"> sentimentCategory(K2933)</f>
        <v>Negative</v>
      </c>
    </row>
    <row r="2934" spans="1:12">
      <c r="A2934" t="s">
        <v>72</v>
      </c>
      <c r="B2934" t="s">
        <v>975</v>
      </c>
      <c r="C2934" t="str" cm="1">
        <f t="array" ref="C2934" xml:space="preserve"> CleanText(B2934)</f>
        <v>the world is waiting for this movie like nothing ive ever seen</v>
      </c>
      <c r="D2934">
        <v>1</v>
      </c>
      <c r="E2934">
        <v>0</v>
      </c>
      <c r="F2934" t="s">
        <v>0</v>
      </c>
      <c r="G2934" t="str" cm="1">
        <f t="array" ref="G2934" xml:space="preserve"> FindCountryName(F2934)</f>
        <v>None</v>
      </c>
      <c r="H2934" s="1">
        <v>45261.121099537035</v>
      </c>
      <c r="I2934" s="1">
        <v>45261.121099537035</v>
      </c>
      <c r="J2934" s="1">
        <v>45261.110567129632</v>
      </c>
      <c r="K2934" cm="1">
        <f t="array" ref="K2934" xml:space="preserve"> sentimentCalc(C2934)</f>
        <v>2</v>
      </c>
      <c r="L2934" t="str" cm="1">
        <f t="array" ref="L2934" xml:space="preserve"> sentimentCategory(K2934)</f>
        <v>Positive</v>
      </c>
    </row>
    <row r="2935" spans="1:12">
      <c r="A2935" t="s">
        <v>612</v>
      </c>
      <c r="B2935" t="s">
        <v>974</v>
      </c>
      <c r="C2935" t="str" cm="1">
        <f t="array" ref="C2935" xml:space="preserve"> CleanText(B2935)</f>
        <v>she kinda light to korra</v>
      </c>
      <c r="D2935">
        <v>0</v>
      </c>
      <c r="E2935">
        <v>0</v>
      </c>
      <c r="F2935" t="s">
        <v>0</v>
      </c>
      <c r="G2935" t="str" cm="1">
        <f t="array" ref="G2935" xml:space="preserve"> FindCountryName(F2935)</f>
        <v>None</v>
      </c>
      <c r="H2935" s="1">
        <v>45261.093715277777</v>
      </c>
      <c r="I2935" s="1">
        <v>45261.093715277777</v>
      </c>
      <c r="J2935" s="1">
        <v>44110.426041666666</v>
      </c>
      <c r="K2935" cm="1">
        <f t="array" ref="K2935" xml:space="preserve"> sentimentCalc(C2935)</f>
        <v>0</v>
      </c>
      <c r="L2935" t="str" cm="1">
        <f t="array" ref="L2935" xml:space="preserve"> sentimentCategory(K2935)</f>
        <v>Neutral</v>
      </c>
    </row>
    <row r="2936" spans="1:12">
      <c r="A2936" t="s">
        <v>28</v>
      </c>
      <c r="B2936" t="s">
        <v>973</v>
      </c>
      <c r="C2936" t="str" cm="1">
        <f t="array" ref="C2936" xml:space="preserve"> CleanText(B2936)</f>
        <v>omfg they ruined it again</v>
      </c>
      <c r="D2936">
        <v>0</v>
      </c>
      <c r="E2936">
        <v>0</v>
      </c>
      <c r="F2936" t="s">
        <v>0</v>
      </c>
      <c r="G2936" t="str" cm="1">
        <f t="array" ref="G2936" xml:space="preserve"> FindCountryName(F2936)</f>
        <v>None</v>
      </c>
      <c r="H2936" s="1">
        <v>45261.03634259259</v>
      </c>
      <c r="I2936" s="1">
        <v>45261.03634259259</v>
      </c>
      <c r="J2936" s="1">
        <v>44965.489594907405</v>
      </c>
      <c r="K2936" cm="1">
        <f t="array" ref="K2936" xml:space="preserve"> sentimentCalc(C2936)</f>
        <v>-2</v>
      </c>
      <c r="L2936" t="str" cm="1">
        <f t="array" ref="L2936" xml:space="preserve"> sentimentCategory(K2936)</f>
        <v>Negative</v>
      </c>
    </row>
    <row r="2937" spans="1:12">
      <c r="A2937" t="s">
        <v>824</v>
      </c>
      <c r="B2937" t="s">
        <v>972</v>
      </c>
      <c r="C2937" t="str" cm="1">
        <f t="array" ref="C2937" xml:space="preserve"> CleanText(B2937)</f>
        <v>ate chorei</v>
      </c>
      <c r="D2937">
        <v>0</v>
      </c>
      <c r="E2937">
        <v>0</v>
      </c>
      <c r="F2937" t="s">
        <v>0</v>
      </c>
      <c r="G2937" t="str" cm="1">
        <f t="array" ref="G2937" xml:space="preserve"> FindCountryName(F2937)</f>
        <v>None</v>
      </c>
      <c r="H2937" s="1">
        <v>45260.98809027778</v>
      </c>
      <c r="I2937" s="1">
        <v>45260.98809027778</v>
      </c>
      <c r="J2937" s="1">
        <v>41205.822314814817</v>
      </c>
      <c r="K2937" cm="1">
        <f t="array" ref="K2937" xml:space="preserve"> sentimentCalc(C2937)</f>
        <v>0</v>
      </c>
      <c r="L2937" t="str" cm="1">
        <f t="array" ref="L2937" xml:space="preserve"> sentimentCategory(K2937)</f>
        <v>Neutral</v>
      </c>
    </row>
    <row r="2938" spans="1:12">
      <c r="A2938" t="s">
        <v>971</v>
      </c>
      <c r="B2938" t="s">
        <v>970</v>
      </c>
      <c r="C2938" t="str" cm="1">
        <f t="array" ref="C2938" xml:space="preserve"> CleanText(B2938)</f>
        <v>n</v>
      </c>
      <c r="D2938">
        <v>0</v>
      </c>
      <c r="E2938">
        <v>0</v>
      </c>
      <c r="F2938" t="s">
        <v>98</v>
      </c>
      <c r="G2938" t="str" cm="1">
        <f t="array" ref="G2938" xml:space="preserve"> FindCountryName(F2938)</f>
        <v>India</v>
      </c>
      <c r="H2938" s="1">
        <v>45260.979375000003</v>
      </c>
      <c r="I2938" s="1">
        <v>45260.979375000003</v>
      </c>
      <c r="J2938" s="1">
        <v>40739.692395833335</v>
      </c>
      <c r="K2938" cm="1">
        <f t="array" ref="K2938" xml:space="preserve"> sentimentCalc(C2938)</f>
        <v>0</v>
      </c>
      <c r="L2938" t="str" cm="1">
        <f t="array" ref="L2938" xml:space="preserve"> sentimentCategory(K2938)</f>
        <v>Neutral</v>
      </c>
    </row>
    <row r="2939" spans="1:12">
      <c r="A2939" t="s">
        <v>969</v>
      </c>
      <c r="B2939" t="s">
        <v>968</v>
      </c>
      <c r="C2939" t="str" cm="1">
        <f t="array" ref="C2939" xml:space="preserve"> CleanText(B2939)</f>
        <v>real avatar</v>
      </c>
      <c r="D2939">
        <v>0</v>
      </c>
      <c r="E2939">
        <v>0</v>
      </c>
      <c r="F2939" t="s">
        <v>0</v>
      </c>
      <c r="G2939" t="str" cm="1">
        <f t="array" ref="G2939" xml:space="preserve"> FindCountryName(F2939)</f>
        <v>None</v>
      </c>
      <c r="H2939" s="1">
        <v>45260.975405092591</v>
      </c>
      <c r="I2939" s="1">
        <v>45260.975405092591</v>
      </c>
      <c r="J2939" s="1">
        <v>44528.86109953704</v>
      </c>
      <c r="K2939" cm="1">
        <f t="array" ref="K2939" xml:space="preserve"> sentimentCalc(C2939)</f>
        <v>0</v>
      </c>
      <c r="L2939" t="str" cm="1">
        <f t="array" ref="L2939" xml:space="preserve"> sentimentCategory(K2939)</f>
        <v>Neutral</v>
      </c>
    </row>
    <row r="2940" spans="1:12">
      <c r="A2940" t="s">
        <v>637</v>
      </c>
      <c r="B2940" t="s">
        <v>967</v>
      </c>
      <c r="C2940" t="str" cm="1">
        <f t="array" ref="C2940" xml:space="preserve"> CleanText(B2940)</f>
        <v>they better have cabbage man and the foaming mouth guy that gets overly excited lmao</v>
      </c>
      <c r="D2940">
        <v>0</v>
      </c>
      <c r="E2940">
        <v>2</v>
      </c>
      <c r="F2940" t="s">
        <v>0</v>
      </c>
      <c r="G2940" t="str" cm="1">
        <f t="array" ref="G2940" xml:space="preserve"> FindCountryName(F2940)</f>
        <v>None</v>
      </c>
      <c r="H2940" s="1">
        <v>45260.943796296298</v>
      </c>
      <c r="I2940" s="1">
        <v>45260.943796296298</v>
      </c>
      <c r="J2940" s="1">
        <v>43453.870821759258</v>
      </c>
      <c r="K2940" cm="1">
        <f t="array" ref="K2940" xml:space="preserve"> sentimentCalc(C2940)</f>
        <v>5</v>
      </c>
      <c r="L2940" t="str" cm="1">
        <f t="array" ref="L2940" xml:space="preserve"> sentimentCategory(K2940)</f>
        <v>Positive</v>
      </c>
    </row>
    <row r="2941" spans="1:12">
      <c r="A2941" t="s">
        <v>966</v>
      </c>
      <c r="B2941" t="s">
        <v>965</v>
      </c>
      <c r="C2941" t="str" cm="1">
        <f t="array" ref="C2941" xml:space="preserve"> CleanText(B2941)</f>
        <v>not again please be good</v>
      </c>
      <c r="D2941">
        <v>0</v>
      </c>
      <c r="E2941">
        <v>0</v>
      </c>
      <c r="F2941" t="s">
        <v>19</v>
      </c>
      <c r="G2941" t="str" cm="1">
        <f t="array" ref="G2941" xml:space="preserve"> FindCountryName(F2941)</f>
        <v>United States of America (the)</v>
      </c>
      <c r="H2941" s="1">
        <v>45260.940983796296</v>
      </c>
      <c r="I2941" s="1">
        <v>45260.940983796296</v>
      </c>
      <c r="J2941" s="1">
        <v>44978.547337962962</v>
      </c>
      <c r="K2941" cm="1">
        <f t="array" ref="K2941" xml:space="preserve"> sentimentCalc(C2941)</f>
        <v>4</v>
      </c>
      <c r="L2941" t="str" cm="1">
        <f t="array" ref="L2941" xml:space="preserve"> sentimentCategory(K2941)</f>
        <v>Positive</v>
      </c>
    </row>
    <row r="2942" spans="1:12">
      <c r="A2942" t="s">
        <v>964</v>
      </c>
      <c r="B2942" t="s">
        <v>963</v>
      </c>
      <c r="C2942" t="str" cm="1">
        <f t="array" ref="C2942" xml:space="preserve"> CleanText(B2942)</f>
        <v>woah coming out a day before my birthday if it is actually good ill have a great birthday present</v>
      </c>
      <c r="D2942">
        <v>0</v>
      </c>
      <c r="E2942">
        <v>0</v>
      </c>
      <c r="F2942" t="s">
        <v>0</v>
      </c>
      <c r="G2942" t="str" cm="1">
        <f t="array" ref="G2942" xml:space="preserve"> FindCountryName(F2942)</f>
        <v>None</v>
      </c>
      <c r="H2942" s="1">
        <v>45260.939328703702</v>
      </c>
      <c r="I2942" s="1">
        <v>45260.939328703702</v>
      </c>
      <c r="J2942" s="1">
        <v>42729.890810185185</v>
      </c>
      <c r="K2942" cm="1">
        <f t="array" ref="K2942" xml:space="preserve"> sentimentCalc(C2942)</f>
        <v>4</v>
      </c>
      <c r="L2942" t="str" cm="1">
        <f t="array" ref="L2942" xml:space="preserve"> sentimentCategory(K2942)</f>
        <v>Positive</v>
      </c>
    </row>
    <row r="2943" spans="1:12">
      <c r="A2943" t="s">
        <v>962</v>
      </c>
      <c r="B2943" t="s">
        <v>961</v>
      </c>
      <c r="C2943" t="str" cm="1">
        <f t="array" ref="C2943" xml:space="preserve"> CleanText(B2943)</f>
        <v>a reboot of a rebootno comedy no avatar</v>
      </c>
      <c r="D2943">
        <v>0</v>
      </c>
      <c r="E2943">
        <v>0</v>
      </c>
      <c r="F2943" t="s">
        <v>633</v>
      </c>
      <c r="G2943" t="str" cm="1">
        <f t="array" ref="G2943" xml:space="preserve"> FindCountryName(F2943)</f>
        <v>Indonesia</v>
      </c>
      <c r="H2943" s="1">
        <v>45260.936493055553</v>
      </c>
      <c r="I2943" s="1">
        <v>45260.936493055553</v>
      </c>
      <c r="J2943" s="1">
        <v>44143.352847222224</v>
      </c>
      <c r="K2943" cm="1">
        <f t="array" ref="K2943" xml:space="preserve"> sentimentCalc(C2943)</f>
        <v>0</v>
      </c>
      <c r="L2943" t="str" cm="1">
        <f t="array" ref="L2943" xml:space="preserve"> sentimentCategory(K2943)</f>
        <v>Neutral</v>
      </c>
    </row>
    <row r="2944" spans="1:12">
      <c r="A2944" t="s">
        <v>960</v>
      </c>
      <c r="B2944" t="s">
        <v>959</v>
      </c>
      <c r="C2944" t="str" cm="1">
        <f t="array" ref="C2944" xml:space="preserve"> CleanText(B2944)</f>
        <v>this shi look ah im still peeping it but why all the actors look mostly asian based _xDD72_</v>
      </c>
      <c r="D2944">
        <v>0</v>
      </c>
      <c r="E2944">
        <v>1</v>
      </c>
      <c r="F2944" t="s">
        <v>0</v>
      </c>
      <c r="G2944" t="str" cm="1">
        <f t="array" ref="G2944" xml:space="preserve"> FindCountryName(F2944)</f>
        <v>None</v>
      </c>
      <c r="H2944" s="1">
        <v>45260.917488425926</v>
      </c>
      <c r="I2944" s="1">
        <v>45260.917488425926</v>
      </c>
      <c r="J2944" s="1">
        <v>41378.020520833335</v>
      </c>
      <c r="K2944" cm="1">
        <f t="array" ref="K2944" xml:space="preserve"> sentimentCalc(C2944)</f>
        <v>0</v>
      </c>
      <c r="L2944" t="str" cm="1">
        <f t="array" ref="L2944" xml:space="preserve"> sentimentCategory(K2944)</f>
        <v>Neutral</v>
      </c>
    </row>
    <row r="2945" spans="1:12">
      <c r="A2945" t="s">
        <v>958</v>
      </c>
      <c r="B2945" t="s">
        <v>957</v>
      </c>
      <c r="C2945" t="str" cm="1">
        <f t="array" ref="C2945" xml:space="preserve"> CleanText(B2945)</f>
        <v>so excited cant wait</v>
      </c>
      <c r="D2945">
        <v>0</v>
      </c>
      <c r="E2945">
        <v>0</v>
      </c>
      <c r="F2945" t="s">
        <v>0</v>
      </c>
      <c r="G2945" t="str" cm="1">
        <f t="array" ref="G2945" xml:space="preserve"> FindCountryName(F2945)</f>
        <v>None</v>
      </c>
      <c r="H2945" s="1">
        <v>45260.917280092595</v>
      </c>
      <c r="I2945" s="1">
        <v>45260.917280092595</v>
      </c>
      <c r="J2945" s="1">
        <v>44106.157430555555</v>
      </c>
      <c r="K2945" cm="1">
        <f t="array" ref="K2945" xml:space="preserve"> sentimentCalc(C2945)</f>
        <v>3</v>
      </c>
      <c r="L2945" t="str" cm="1">
        <f t="array" ref="L2945" xml:space="preserve"> sentimentCategory(K2945)</f>
        <v>Positive</v>
      </c>
    </row>
    <row r="2946" spans="1:12">
      <c r="A2946" t="s">
        <v>712</v>
      </c>
      <c r="B2946" t="s">
        <v>956</v>
      </c>
      <c r="C2946" t="str" cm="1">
        <f t="array" ref="C2946" xml:space="preserve"> CleanText(B2946)</f>
        <v>netflix needs to renew season  and  now  just sayin</v>
      </c>
      <c r="D2946">
        <v>0</v>
      </c>
      <c r="E2946">
        <v>0</v>
      </c>
      <c r="F2946" t="s">
        <v>0</v>
      </c>
      <c r="G2946" t="str" cm="1">
        <f t="array" ref="G2946" xml:space="preserve"> FindCountryName(F2946)</f>
        <v>None</v>
      </c>
      <c r="H2946" s="1">
        <v>45260.907800925925</v>
      </c>
      <c r="I2946" s="1">
        <v>45260.907800925925</v>
      </c>
      <c r="J2946" s="1">
        <v>40770.148101851853</v>
      </c>
      <c r="K2946" cm="1">
        <f t="array" ref="K2946" xml:space="preserve"> sentimentCalc(C2946)</f>
        <v>0</v>
      </c>
      <c r="L2946" t="str" cm="1">
        <f t="array" ref="L2946" xml:space="preserve"> sentimentCategory(K2946)</f>
        <v>Neutral</v>
      </c>
    </row>
    <row r="2947" spans="1:12">
      <c r="A2947" t="s">
        <v>955</v>
      </c>
      <c r="B2947" t="s">
        <v>954</v>
      </c>
      <c r="C2947" t="str" cm="1">
        <f t="array" ref="C2947" xml:space="preserve"> CleanText(B2947)</f>
        <v>so katara white</v>
      </c>
      <c r="D2947">
        <v>0</v>
      </c>
      <c r="E2947">
        <v>2</v>
      </c>
      <c r="F2947" t="s">
        <v>19</v>
      </c>
      <c r="G2947" t="str" cm="1">
        <f t="array" ref="G2947" xml:space="preserve"> FindCountryName(F2947)</f>
        <v>United States of America (the)</v>
      </c>
      <c r="H2947" s="1">
        <v>45260.896354166667</v>
      </c>
      <c r="I2947" s="1">
        <v>45260.896354166667</v>
      </c>
      <c r="J2947" s="1">
        <v>42997.206412037034</v>
      </c>
      <c r="K2947" cm="1">
        <f t="array" ref="K2947" xml:space="preserve"> sentimentCalc(C2947)</f>
        <v>0</v>
      </c>
      <c r="L2947" t="str" cm="1">
        <f t="array" ref="L2947" xml:space="preserve"> sentimentCategory(K2947)</f>
        <v>Neutral</v>
      </c>
    </row>
    <row r="2948" spans="1:12">
      <c r="A2948" t="s">
        <v>953</v>
      </c>
      <c r="B2948" t="s">
        <v>952</v>
      </c>
      <c r="C2948" t="str" cm="1">
        <f t="array" ref="C2948" xml:space="preserve"> CleanText(B2948)</f>
        <v>while one piece looks and feels like shit  omg smh omg</v>
      </c>
      <c r="D2948">
        <v>0</v>
      </c>
      <c r="E2948">
        <v>0</v>
      </c>
      <c r="F2948" t="s">
        <v>0</v>
      </c>
      <c r="G2948" t="str" cm="1">
        <f t="array" ref="G2948" xml:space="preserve"> FindCountryName(F2948)</f>
        <v>None</v>
      </c>
      <c r="H2948" s="1">
        <v>45260.887650462966</v>
      </c>
      <c r="I2948" s="1">
        <v>45260.887650462966</v>
      </c>
      <c r="J2948" s="1">
        <v>39185.2575</v>
      </c>
      <c r="K2948" cm="1">
        <f t="array" ref="K2948" xml:space="preserve"> sentimentCalc(C2948)</f>
        <v>2</v>
      </c>
      <c r="L2948" t="str" cm="1">
        <f t="array" ref="L2948" xml:space="preserve"> sentimentCategory(K2948)</f>
        <v>Positive</v>
      </c>
    </row>
    <row r="2949" spans="1:12">
      <c r="A2949" t="s">
        <v>297</v>
      </c>
      <c r="B2949" t="s">
        <v>951</v>
      </c>
      <c r="C2949" t="str" cm="1">
        <f t="array" ref="C2949" xml:space="preserve"> CleanText(B2949)</f>
        <v>by cromthis is absolutely beautiful</v>
      </c>
      <c r="D2949">
        <v>0</v>
      </c>
      <c r="E2949">
        <v>0</v>
      </c>
      <c r="F2949" t="s">
        <v>0</v>
      </c>
      <c r="G2949" t="str" cm="1">
        <f t="array" ref="G2949" xml:space="preserve"> FindCountryName(F2949)</f>
        <v>None</v>
      </c>
      <c r="H2949" s="1">
        <v>45260.868530092594</v>
      </c>
      <c r="I2949" s="1">
        <v>45260.868530092594</v>
      </c>
      <c r="J2949" s="1">
        <v>39003.712789351855</v>
      </c>
      <c r="K2949" cm="1">
        <f t="array" ref="K2949" xml:space="preserve"> sentimentCalc(C2949)</f>
        <v>3</v>
      </c>
      <c r="L2949" t="str" cm="1">
        <f t="array" ref="L2949" xml:space="preserve"> sentimentCategory(K2949)</f>
        <v>Positive</v>
      </c>
    </row>
    <row r="2950" spans="1:12">
      <c r="A2950" t="s">
        <v>950</v>
      </c>
      <c r="B2950" t="s">
        <v>949</v>
      </c>
      <c r="C2950" t="str" cm="1">
        <f t="array" ref="C2950" xml:space="preserve"> CleanText(B2950)</f>
        <v>3 i am the avatar i am the avatar ozai i am the avatar</v>
      </c>
      <c r="D2950">
        <v>0</v>
      </c>
      <c r="E2950">
        <v>0</v>
      </c>
      <c r="F2950" t="s">
        <v>0</v>
      </c>
      <c r="G2950" t="str" cm="1">
        <f t="array" ref="G2950" xml:space="preserve"> FindCountryName(F2950)</f>
        <v>None</v>
      </c>
      <c r="H2950" s="1">
        <v>45260.851018518515</v>
      </c>
      <c r="I2950" s="1">
        <v>45260.852488425924</v>
      </c>
      <c r="J2950" s="1">
        <v>44410.500902777778</v>
      </c>
      <c r="K2950" cm="1">
        <f t="array" ref="K2950" xml:space="preserve"> sentimentCalc(C2950)</f>
        <v>0</v>
      </c>
      <c r="L2950" t="str" cm="1">
        <f t="array" ref="L2950" xml:space="preserve"> sentimentCategory(K2950)</f>
        <v>Neutral</v>
      </c>
    </row>
    <row r="2951" spans="1:12">
      <c r="A2951" t="s">
        <v>948</v>
      </c>
      <c r="B2951" t="s">
        <v>947</v>
      </c>
      <c r="C2951" t="str" cm="1">
        <f t="array" ref="C2951" xml:space="preserve"> CleanText(B2951)</f>
        <v>this makes this whole aang katara romance even more weird</v>
      </c>
      <c r="D2951">
        <v>0</v>
      </c>
      <c r="E2951">
        <v>0</v>
      </c>
      <c r="F2951" t="s">
        <v>0</v>
      </c>
      <c r="G2951" t="str" cm="1">
        <f t="array" ref="G2951" xml:space="preserve"> FindCountryName(F2951)</f>
        <v>None</v>
      </c>
      <c r="H2951" s="1">
        <v>45260.819444444445</v>
      </c>
      <c r="I2951" s="1">
        <v>45260.819444444445</v>
      </c>
      <c r="J2951" s="1">
        <v>43214.892881944441</v>
      </c>
      <c r="K2951" cm="1">
        <f t="array" ref="K2951" xml:space="preserve"> sentimentCalc(C2951)</f>
        <v>0</v>
      </c>
      <c r="L2951" t="str" cm="1">
        <f t="array" ref="L2951" xml:space="preserve"> sentimentCategory(K2951)</f>
        <v>Neutral</v>
      </c>
    </row>
    <row r="2952" spans="1:12">
      <c r="A2952" t="s">
        <v>946</v>
      </c>
      <c r="B2952" t="s">
        <v>945</v>
      </c>
      <c r="C2952" t="str" cm="1">
        <f t="array" ref="C2952" xml:space="preserve"> CleanText(B2952)</f>
        <v>крс уы _xDCA9_ n</v>
      </c>
      <c r="D2952">
        <v>0</v>
      </c>
      <c r="E2952">
        <v>0</v>
      </c>
      <c r="F2952" t="s">
        <v>944</v>
      </c>
      <c r="G2952" t="str" cm="1">
        <f t="array" ref="G2952" xml:space="preserve"> FindCountryName(F2952)</f>
        <v>Russian Federation (the)</v>
      </c>
      <c r="H2952" s="1">
        <v>45260.817372685182</v>
      </c>
      <c r="I2952" s="1">
        <v>45260.817372685182</v>
      </c>
      <c r="J2952" s="1">
        <v>43916.34747685185</v>
      </c>
      <c r="K2952" cm="1">
        <f t="array" ref="K2952" xml:space="preserve"> sentimentCalc(C2952)</f>
        <v>0</v>
      </c>
      <c r="L2952" t="str" cm="1">
        <f t="array" ref="L2952" xml:space="preserve"> sentimentCategory(K2952)</f>
        <v>Neutral</v>
      </c>
    </row>
    <row r="2953" spans="1:12">
      <c r="A2953" t="s">
        <v>943</v>
      </c>
      <c r="B2953" t="s">
        <v>942</v>
      </c>
      <c r="C2953" t="str" cm="1">
        <f t="array" ref="C2953" xml:space="preserve"> CleanText(B2953)</f>
        <v>se ve emocionante</v>
      </c>
      <c r="D2953">
        <v>0</v>
      </c>
      <c r="E2953">
        <v>0</v>
      </c>
      <c r="F2953" t="s">
        <v>941</v>
      </c>
      <c r="G2953" t="str" cm="1">
        <f t="array" ref="G2953" xml:space="preserve"> FindCountryName(F2953)</f>
        <v>Peru</v>
      </c>
      <c r="H2953" s="1">
        <v>45260.811307870368</v>
      </c>
      <c r="I2953" s="1">
        <v>45260.811307870368</v>
      </c>
      <c r="J2953" s="1">
        <v>41043.889421296299</v>
      </c>
      <c r="K2953" cm="1">
        <f t="array" ref="K2953" xml:space="preserve"> sentimentCalc(C2953)</f>
        <v>0</v>
      </c>
      <c r="L2953" t="str" cm="1">
        <f t="array" ref="L2953" xml:space="preserve"> sentimentCategory(K2953)</f>
        <v>Neutral</v>
      </c>
    </row>
    <row r="2954" spans="1:12">
      <c r="A2954" t="s">
        <v>178</v>
      </c>
      <c r="B2954" t="s">
        <v>940</v>
      </c>
      <c r="C2954" t="str" cm="1">
        <f t="array" ref="C2954" xml:space="preserve"> CleanText(B2954)</f>
        <v>netflix yeeeeeeessssssssssss</v>
      </c>
      <c r="D2954">
        <v>0</v>
      </c>
      <c r="E2954">
        <v>0</v>
      </c>
      <c r="F2954" t="s">
        <v>0</v>
      </c>
      <c r="G2954" t="str" cm="1">
        <f t="array" ref="G2954" xml:space="preserve"> FindCountryName(F2954)</f>
        <v>None</v>
      </c>
      <c r="H2954" s="1">
        <v>45260.810335648152</v>
      </c>
      <c r="I2954" s="1">
        <v>45260.810335648152</v>
      </c>
      <c r="J2954" s="1">
        <v>42442.412222222221</v>
      </c>
      <c r="K2954" cm="1">
        <f t="array" ref="K2954" xml:space="preserve"> sentimentCalc(C2954)</f>
        <v>0</v>
      </c>
      <c r="L2954" t="str" cm="1">
        <f t="array" ref="L2954" xml:space="preserve"> sentimentCategory(K2954)</f>
        <v>Neutral</v>
      </c>
    </row>
    <row r="2955" spans="1:12">
      <c r="A2955" t="s">
        <v>198</v>
      </c>
      <c r="B2955" t="s">
        <v>939</v>
      </c>
      <c r="C2955" t="str" cm="1">
        <f t="array" ref="C2955" xml:space="preserve"> CleanText(B2955)</f>
        <v>finally it looks like the animation avatar</v>
      </c>
      <c r="D2955">
        <v>0</v>
      </c>
      <c r="E2955">
        <v>0</v>
      </c>
      <c r="F2955" t="s">
        <v>0</v>
      </c>
      <c r="G2955" t="str" cm="1">
        <f t="array" ref="G2955" xml:space="preserve"> FindCountryName(F2955)</f>
        <v>None</v>
      </c>
      <c r="H2955" s="1">
        <v>45260.797442129631</v>
      </c>
      <c r="I2955" s="1">
        <v>45260.797442129631</v>
      </c>
      <c r="J2955" s="1">
        <v>41015.96</v>
      </c>
      <c r="K2955" cm="1">
        <f t="array" ref="K2955" xml:space="preserve"> sentimentCalc(C2955)</f>
        <v>2</v>
      </c>
      <c r="L2955" t="str" cm="1">
        <f t="array" ref="L2955" xml:space="preserve"> sentimentCategory(K2955)</f>
        <v>Positive</v>
      </c>
    </row>
    <row r="2956" spans="1:12">
      <c r="A2956" t="s">
        <v>938</v>
      </c>
      <c r="B2956" t="s">
        <v>937</v>
      </c>
      <c r="C2956" t="str" cm="1">
        <f t="array" ref="C2956" xml:space="preserve"> CleanText(B2956)</f>
        <v>flameo hotman the redemption tour begins</v>
      </c>
      <c r="D2956">
        <v>0</v>
      </c>
      <c r="E2956">
        <v>0</v>
      </c>
      <c r="F2956" t="s">
        <v>0</v>
      </c>
      <c r="G2956" t="str" cm="1">
        <f t="array" ref="G2956" xml:space="preserve"> FindCountryName(F2956)</f>
        <v>None</v>
      </c>
      <c r="H2956" s="1">
        <v>45260.786597222221</v>
      </c>
      <c r="I2956" s="1">
        <v>45260.786597222221</v>
      </c>
      <c r="J2956" s="1">
        <v>41888.980254629627</v>
      </c>
      <c r="K2956" cm="1">
        <f t="array" ref="K2956" xml:space="preserve"> sentimentCalc(C2956)</f>
        <v>0</v>
      </c>
      <c r="L2956" t="str" cm="1">
        <f t="array" ref="L2956" xml:space="preserve"> sentimentCategory(K2956)</f>
        <v>Neutral</v>
      </c>
    </row>
    <row r="2957" spans="1:12">
      <c r="A2957" t="s">
        <v>591</v>
      </c>
      <c r="B2957" t="s">
        <v>936</v>
      </c>
      <c r="C2957" t="str" cm="1">
        <f t="array" ref="C2957" xml:space="preserve"> CleanText(B2957)</f>
        <v>this look amazing</v>
      </c>
      <c r="D2957">
        <v>0</v>
      </c>
      <c r="E2957">
        <v>0</v>
      </c>
      <c r="F2957" t="s">
        <v>0</v>
      </c>
      <c r="G2957" t="str" cm="1">
        <f t="array" ref="G2957" xml:space="preserve"> FindCountryName(F2957)</f>
        <v>None</v>
      </c>
      <c r="H2957" s="1">
        <v>45260.764849537038</v>
      </c>
      <c r="I2957" s="1">
        <v>45260.764849537038</v>
      </c>
      <c r="J2957" s="1">
        <v>41565.694872685184</v>
      </c>
      <c r="K2957" cm="1">
        <f t="array" ref="K2957" xml:space="preserve"> sentimentCalc(C2957)</f>
        <v>4</v>
      </c>
      <c r="L2957" t="str" cm="1">
        <f t="array" ref="L2957" xml:space="preserve"> sentimentCategory(K2957)</f>
        <v>Positive</v>
      </c>
    </row>
    <row r="2958" spans="1:12">
      <c r="A2958" t="s">
        <v>110</v>
      </c>
      <c r="B2958" t="s">
        <v>935</v>
      </c>
      <c r="C2958" t="str" cm="1">
        <f t="array" ref="C2958" xml:space="preserve"> CleanText(B2958)</f>
        <v>this actually looks legit</v>
      </c>
      <c r="D2958">
        <v>0</v>
      </c>
      <c r="E2958">
        <v>0</v>
      </c>
      <c r="F2958" t="s">
        <v>0</v>
      </c>
      <c r="G2958" t="str" cm="1">
        <f t="array" ref="G2958" xml:space="preserve"> FindCountryName(F2958)</f>
        <v>None</v>
      </c>
      <c r="H2958" s="1">
        <v>45260.729467592595</v>
      </c>
      <c r="I2958" s="1">
        <v>45260.729467592595</v>
      </c>
      <c r="J2958" s="1">
        <v>43684.873761574076</v>
      </c>
      <c r="K2958" cm="1">
        <f t="array" ref="K2958" xml:space="preserve"> sentimentCalc(C2958)</f>
        <v>0</v>
      </c>
      <c r="L2958" t="str" cm="1">
        <f t="array" ref="L2958" xml:space="preserve"> sentimentCategory(K2958)</f>
        <v>Neutral</v>
      </c>
    </row>
    <row r="2959" spans="1:12">
      <c r="A2959" t="s">
        <v>547</v>
      </c>
      <c r="B2959" t="s">
        <v>934</v>
      </c>
      <c r="C2959" t="str" cm="1">
        <f t="array" ref="C2959" xml:space="preserve"> CleanText(B2959)</f>
        <v>please dont butcher this _xDD79_</v>
      </c>
      <c r="D2959">
        <v>0</v>
      </c>
      <c r="E2959">
        <v>0</v>
      </c>
      <c r="F2959" t="s">
        <v>0</v>
      </c>
      <c r="G2959" t="str" cm="1">
        <f t="array" ref="G2959" xml:space="preserve"> FindCountryName(F2959)</f>
        <v>None</v>
      </c>
      <c r="H2959" s="1">
        <v>45260.689467592594</v>
      </c>
      <c r="I2959" s="1">
        <v>45260.689467592594</v>
      </c>
      <c r="J2959" s="1">
        <v>45081.778009259258</v>
      </c>
      <c r="K2959" cm="1">
        <f t="array" ref="K2959" xml:space="preserve"> sentimentCalc(C2959)</f>
        <v>1</v>
      </c>
      <c r="L2959" t="str" cm="1">
        <f t="array" ref="L2959" xml:space="preserve"> sentimentCategory(K2959)</f>
        <v>Positive</v>
      </c>
    </row>
    <row r="2960" spans="1:12">
      <c r="A2960" t="s">
        <v>933</v>
      </c>
      <c r="B2960" t="s">
        <v>932</v>
      </c>
      <c r="C2960" t="str" cm="1">
        <f t="array" ref="C2960" xml:space="preserve"> CleanText(B2960)</f>
        <v>damn i got goosebumps watching thisthis is how you do a live actionyou dont need to put your spin on it coz if you do you should just make a different movie</v>
      </c>
      <c r="D2960">
        <v>0</v>
      </c>
      <c r="E2960">
        <v>0</v>
      </c>
      <c r="F2960" t="s">
        <v>0</v>
      </c>
      <c r="G2960" t="str" cm="1">
        <f t="array" ref="G2960" xml:space="preserve"> FindCountryName(F2960)</f>
        <v>None</v>
      </c>
      <c r="H2960" s="1">
        <v>45260.681064814817</v>
      </c>
      <c r="I2960" s="1">
        <v>45260.681064814817</v>
      </c>
      <c r="J2960" s="1">
        <v>42970.455775462964</v>
      </c>
      <c r="K2960" cm="1">
        <f t="array" ref="K2960" xml:space="preserve"> sentimentCalc(C2960)</f>
        <v>-4</v>
      </c>
      <c r="L2960" t="str" cm="1">
        <f t="array" ref="L2960" xml:space="preserve"> sentimentCategory(K2960)</f>
        <v>Negative</v>
      </c>
    </row>
    <row r="2961" spans="1:12">
      <c r="A2961" t="s">
        <v>931</v>
      </c>
      <c r="B2961" t="s">
        <v>930</v>
      </c>
      <c r="C2961" t="str" cm="1">
        <f t="array" ref="C2961" xml:space="preserve"> CleanText(B2961)</f>
        <v>the best part is the original music in the trailer this sparks hope</v>
      </c>
      <c r="D2961">
        <v>0</v>
      </c>
      <c r="E2961">
        <v>0</v>
      </c>
      <c r="F2961" t="s">
        <v>0</v>
      </c>
      <c r="G2961" t="str" cm="1">
        <f t="array" ref="G2961" xml:space="preserve"> FindCountryName(F2961)</f>
        <v>None</v>
      </c>
      <c r="H2961" s="1">
        <v>45260.668090277781</v>
      </c>
      <c r="I2961" s="1">
        <v>45260.668090277781</v>
      </c>
      <c r="J2961" s="1">
        <v>39959.620324074072</v>
      </c>
      <c r="K2961" cm="1">
        <f t="array" ref="K2961" xml:space="preserve"> sentimentCalc(C2961)</f>
        <v>5</v>
      </c>
      <c r="L2961" t="str" cm="1">
        <f t="array" ref="L2961" xml:space="preserve"> sentimentCategory(K2961)</f>
        <v>Positive</v>
      </c>
    </row>
    <row r="2962" spans="1:12">
      <c r="A2962" t="s">
        <v>929</v>
      </c>
      <c r="B2962" t="s">
        <v>928</v>
      </c>
      <c r="C2962" t="str" cm="1">
        <f t="array" ref="C2962" xml:space="preserve"> CleanText(B2962)</f>
        <v>hey everyone</v>
      </c>
      <c r="D2962">
        <v>0</v>
      </c>
      <c r="E2962">
        <v>0</v>
      </c>
      <c r="F2962" t="s">
        <v>0</v>
      </c>
      <c r="G2962" t="str" cm="1">
        <f t="array" ref="G2962" xml:space="preserve"> FindCountryName(F2962)</f>
        <v>None</v>
      </c>
      <c r="H2962" s="1">
        <v>45260.667291666665</v>
      </c>
      <c r="I2962" s="1">
        <v>45260.667291666665</v>
      </c>
      <c r="J2962" s="1">
        <v>44376.739027777781</v>
      </c>
      <c r="K2962" cm="1">
        <f t="array" ref="K2962" xml:space="preserve"> sentimentCalc(C2962)</f>
        <v>0</v>
      </c>
      <c r="L2962" t="str" cm="1">
        <f t="array" ref="L2962" xml:space="preserve"> sentimentCategory(K2962)</f>
        <v>Neutral</v>
      </c>
    </row>
    <row r="2963" spans="1:12">
      <c r="A2963" t="s">
        <v>26</v>
      </c>
      <c r="B2963" t="s">
        <v>927</v>
      </c>
      <c r="C2963" t="str" cm="1">
        <f t="array" ref="C2963" xml:space="preserve"> CleanText(B2963)</f>
        <v>please dont make zoko gay  thank u</v>
      </c>
      <c r="D2963">
        <v>0</v>
      </c>
      <c r="E2963">
        <v>0</v>
      </c>
      <c r="F2963" t="s">
        <v>0</v>
      </c>
      <c r="G2963" t="str" cm="1">
        <f t="array" ref="G2963" xml:space="preserve"> FindCountryName(F2963)</f>
        <v>None</v>
      </c>
      <c r="H2963" s="1">
        <v>45260.635115740741</v>
      </c>
      <c r="I2963" s="1">
        <v>45260.635115740741</v>
      </c>
      <c r="J2963" s="1">
        <v>44795.151608796295</v>
      </c>
      <c r="K2963" cm="1">
        <f t="array" ref="K2963" xml:space="preserve"> sentimentCalc(C2963)</f>
        <v>3</v>
      </c>
      <c r="L2963" t="str" cm="1">
        <f t="array" ref="L2963" xml:space="preserve"> sentimentCategory(K2963)</f>
        <v>Positive</v>
      </c>
    </row>
    <row r="2964" spans="1:12">
      <c r="A2964" t="s">
        <v>926</v>
      </c>
      <c r="B2964" t="s">
        <v>925</v>
      </c>
      <c r="C2964" t="str" cm="1">
        <f t="array" ref="C2964" xml:space="preserve"> CleanText(B2964)</f>
        <v>looks great</v>
      </c>
      <c r="D2964">
        <v>1</v>
      </c>
      <c r="E2964">
        <v>0</v>
      </c>
      <c r="F2964" t="s">
        <v>0</v>
      </c>
      <c r="G2964" t="str" cm="1">
        <f t="array" ref="G2964" xml:space="preserve"> FindCountryName(F2964)</f>
        <v>None</v>
      </c>
      <c r="H2964" s="1">
        <v>45260.632222222222</v>
      </c>
      <c r="I2964" s="1">
        <v>45260.632222222222</v>
      </c>
      <c r="J2964" s="1">
        <v>43207.440023148149</v>
      </c>
      <c r="K2964" cm="1">
        <f t="array" ref="K2964" xml:space="preserve"> sentimentCalc(C2964)</f>
        <v>3</v>
      </c>
      <c r="L2964" t="str" cm="1">
        <f t="array" ref="L2964" xml:space="preserve"> sentimentCategory(K2964)</f>
        <v>Positive</v>
      </c>
    </row>
    <row r="2965" spans="1:12">
      <c r="A2965" t="s">
        <v>924</v>
      </c>
      <c r="B2965" t="s">
        <v>923</v>
      </c>
      <c r="C2965" t="str" cm="1">
        <f t="array" ref="C2965" xml:space="preserve"> CleanText(B2965)</f>
        <v>n</v>
      </c>
      <c r="D2965">
        <v>2</v>
      </c>
      <c r="E2965">
        <v>0</v>
      </c>
      <c r="F2965" t="s">
        <v>0</v>
      </c>
      <c r="G2965" t="str" cm="1">
        <f t="array" ref="G2965" xml:space="preserve"> FindCountryName(F2965)</f>
        <v>None</v>
      </c>
      <c r="H2965" s="1">
        <v>45260.630162037036</v>
      </c>
      <c r="I2965" s="1">
        <v>45260.630162037036</v>
      </c>
      <c r="J2965" s="1">
        <v>43016.312303240738</v>
      </c>
      <c r="K2965" cm="1">
        <f t="array" ref="K2965" xml:space="preserve"> sentimentCalc(C2965)</f>
        <v>0</v>
      </c>
      <c r="L2965" t="str" cm="1">
        <f t="array" ref="L2965" xml:space="preserve"> sentimentCategory(K2965)</f>
        <v>Neutral</v>
      </c>
    </row>
    <row r="2966" spans="1:12">
      <c r="A2966" t="s">
        <v>78</v>
      </c>
      <c r="B2966" t="s">
        <v>922</v>
      </c>
      <c r="C2966" t="str" cm="1">
        <f t="array" ref="C2966" xml:space="preserve"> CleanText(B2966)</f>
        <v>how ive missed this soundtrack home</v>
      </c>
      <c r="D2966">
        <v>0</v>
      </c>
      <c r="E2966">
        <v>0</v>
      </c>
      <c r="F2966" t="s">
        <v>0</v>
      </c>
      <c r="G2966" t="str" cm="1">
        <f t="array" ref="G2966" xml:space="preserve"> FindCountryName(F2966)</f>
        <v>None</v>
      </c>
      <c r="H2966" s="1">
        <v>45260.611030092594</v>
      </c>
      <c r="I2966" s="1">
        <v>45260.611030092594</v>
      </c>
      <c r="J2966" s="1">
        <v>42137.707002314812</v>
      </c>
      <c r="K2966" cm="1">
        <f t="array" ref="K2966" xml:space="preserve"> sentimentCalc(C2966)</f>
        <v>-2</v>
      </c>
      <c r="L2966" t="str" cm="1">
        <f t="array" ref="L2966" xml:space="preserve"> sentimentCategory(K2966)</f>
        <v>Negative</v>
      </c>
    </row>
    <row r="2967" spans="1:12">
      <c r="A2967" t="s">
        <v>12</v>
      </c>
      <c r="B2967" t="s">
        <v>921</v>
      </c>
      <c r="C2967" t="str" cm="1">
        <f t="array" ref="C2967" xml:space="preserve"> CleanText(B2967)</f>
        <v>please dont f this up</v>
      </c>
      <c r="D2967">
        <v>0</v>
      </c>
      <c r="E2967">
        <v>0</v>
      </c>
      <c r="F2967" t="s">
        <v>0</v>
      </c>
      <c r="G2967" t="str" cm="1">
        <f t="array" ref="G2967" xml:space="preserve"> FindCountryName(F2967)</f>
        <v>None</v>
      </c>
      <c r="H2967" s="1">
        <v>45260.58185185185</v>
      </c>
      <c r="I2967" s="1">
        <v>45260.58185185185</v>
      </c>
      <c r="J2967" s="1">
        <v>41998.515451388892</v>
      </c>
      <c r="K2967" cm="1">
        <f t="array" ref="K2967" xml:space="preserve"> sentimentCalc(C2967)</f>
        <v>1</v>
      </c>
      <c r="L2967" t="str" cm="1">
        <f t="array" ref="L2967" xml:space="preserve"> sentimentCategory(K2967)</f>
        <v>Positive</v>
      </c>
    </row>
    <row r="2968" spans="1:12">
      <c r="A2968" t="s">
        <v>108</v>
      </c>
      <c r="B2968" t="s">
        <v>920</v>
      </c>
      <c r="C2968" t="str" cm="1">
        <f t="array" ref="C2968" xml:space="preserve"> CleanText(B2968)</f>
        <v>i hope they wont do katara dirty</v>
      </c>
      <c r="D2968">
        <v>0</v>
      </c>
      <c r="E2968">
        <v>0</v>
      </c>
      <c r="F2968" t="s">
        <v>0</v>
      </c>
      <c r="G2968" t="str" cm="1">
        <f t="array" ref="G2968" xml:space="preserve"> FindCountryName(F2968)</f>
        <v>None</v>
      </c>
      <c r="H2968" s="1">
        <v>45260.572314814817</v>
      </c>
      <c r="I2968" s="1">
        <v>45260.572314814817</v>
      </c>
      <c r="J2968" s="1">
        <v>43355.054895833331</v>
      </c>
      <c r="K2968" cm="1">
        <f t="array" ref="K2968" xml:space="preserve"> sentimentCalc(C2968)</f>
        <v>0</v>
      </c>
      <c r="L2968" t="str" cm="1">
        <f t="array" ref="L2968" xml:space="preserve"> sentimentCategory(K2968)</f>
        <v>Neutral</v>
      </c>
    </row>
    <row r="2969" spans="1:12">
      <c r="A2969" t="s">
        <v>492</v>
      </c>
      <c r="B2969" t="s">
        <v>919</v>
      </c>
      <c r="C2969" t="str" cm="1">
        <f t="array" ref="C2969" xml:space="preserve"> CleanText(B2969)</f>
        <v>i hope it doesnt loose the quirkiness of the characters</v>
      </c>
      <c r="D2969">
        <v>0</v>
      </c>
      <c r="E2969">
        <v>0</v>
      </c>
      <c r="F2969" t="s">
        <v>0</v>
      </c>
      <c r="G2969" t="str" cm="1">
        <f t="array" ref="G2969" xml:space="preserve"> FindCountryName(F2969)</f>
        <v>None</v>
      </c>
      <c r="H2969" s="1">
        <v>45260.571319444447</v>
      </c>
      <c r="I2969" s="1">
        <v>45260.571319444447</v>
      </c>
      <c r="J2969" s="1">
        <v>42226.904895833337</v>
      </c>
      <c r="K2969" cm="1">
        <f t="array" ref="K2969" xml:space="preserve"> sentimentCalc(C2969)</f>
        <v>-1</v>
      </c>
      <c r="L2969" t="str" cm="1">
        <f t="array" ref="L2969" xml:space="preserve"> sentimentCategory(K2969)</f>
        <v>Negative</v>
      </c>
    </row>
    <row r="2970" spans="1:12">
      <c r="A2970" t="s">
        <v>918</v>
      </c>
      <c r="B2970" t="s">
        <v>917</v>
      </c>
      <c r="C2970" t="str" cm="1">
        <f t="array" ref="C2970" xml:space="preserve"> CleanText(B2970)</f>
        <v>do we know if its a show or a movie</v>
      </c>
      <c r="D2970">
        <v>0</v>
      </c>
      <c r="E2970">
        <v>1</v>
      </c>
      <c r="F2970" t="s">
        <v>0</v>
      </c>
      <c r="G2970" t="str" cm="1">
        <f t="array" ref="G2970" xml:space="preserve"> FindCountryName(F2970)</f>
        <v>None</v>
      </c>
      <c r="H2970" s="1">
        <v>45260.560543981483</v>
      </c>
      <c r="I2970" s="1">
        <v>45260.560543981483</v>
      </c>
      <c r="J2970" s="1">
        <v>43459.617604166669</v>
      </c>
      <c r="K2970" cm="1">
        <f t="array" ref="K2970" xml:space="preserve"> sentimentCalc(C2970)</f>
        <v>0</v>
      </c>
      <c r="L2970" t="str" cm="1">
        <f t="array" ref="L2970" xml:space="preserve"> sentimentCategory(K2970)</f>
        <v>Neutral</v>
      </c>
    </row>
    <row r="2971" spans="1:12">
      <c r="A2971" t="s">
        <v>806</v>
      </c>
      <c r="B2971" t="s">
        <v>916</v>
      </c>
      <c r="C2971" t="str" cm="1">
        <f t="array" ref="C2971" xml:space="preserve"> CleanText(B2971)</f>
        <v>_finally its been like freakin  years since the announce that they were doing a live action show</v>
      </c>
      <c r="D2971">
        <v>0</v>
      </c>
      <c r="E2971">
        <v>0</v>
      </c>
      <c r="F2971" t="s">
        <v>0</v>
      </c>
      <c r="G2971" t="str" cm="1">
        <f t="array" ref="G2971" xml:space="preserve"> FindCountryName(F2971)</f>
        <v>None</v>
      </c>
      <c r="H2971" s="1">
        <v>45260.54960648148</v>
      </c>
      <c r="I2971" s="1">
        <v>45260.54960648148</v>
      </c>
      <c r="J2971" s="1">
        <v>40863.981493055559</v>
      </c>
      <c r="K2971" cm="1">
        <f t="array" ref="K2971" xml:space="preserve"> sentimentCalc(C2971)</f>
        <v>2</v>
      </c>
      <c r="L2971" t="str" cm="1">
        <f t="array" ref="L2971" xml:space="preserve"> sentimentCategory(K2971)</f>
        <v>Positive</v>
      </c>
    </row>
    <row r="2972" spans="1:12">
      <c r="A2972" t="s">
        <v>612</v>
      </c>
      <c r="B2972" t="s">
        <v>915</v>
      </c>
      <c r="C2972" t="str" cm="1">
        <f t="array" ref="C2972" xml:space="preserve"> CleanText(B2972)</f>
        <v>is it out</v>
      </c>
      <c r="D2972">
        <v>0</v>
      </c>
      <c r="E2972">
        <v>1</v>
      </c>
      <c r="F2972" t="s">
        <v>0</v>
      </c>
      <c r="G2972" t="str" cm="1">
        <f t="array" ref="G2972" xml:space="preserve"> FindCountryName(F2972)</f>
        <v>None</v>
      </c>
      <c r="H2972" s="1">
        <v>45260.547326388885</v>
      </c>
      <c r="I2972" s="1">
        <v>45260.547326388885</v>
      </c>
      <c r="J2972" s="1">
        <v>42366.003495370373</v>
      </c>
      <c r="K2972" cm="1">
        <f t="array" ref="K2972" xml:space="preserve"> sentimentCalc(C2972)</f>
        <v>0</v>
      </c>
      <c r="L2972" t="str" cm="1">
        <f t="array" ref="L2972" xml:space="preserve"> sentimentCategory(K2972)</f>
        <v>Neutral</v>
      </c>
    </row>
    <row r="2973" spans="1:12">
      <c r="A2973" t="s">
        <v>914</v>
      </c>
      <c r="B2973" t="s">
        <v>913</v>
      </c>
      <c r="C2973" t="str" cm="1">
        <f t="array" ref="C2973" xml:space="preserve"> CleanText(B2973)</f>
        <v>ang too small</v>
      </c>
      <c r="D2973">
        <v>0</v>
      </c>
      <c r="E2973">
        <v>0</v>
      </c>
      <c r="F2973" t="s">
        <v>0</v>
      </c>
      <c r="G2973" t="str" cm="1">
        <f t="array" ref="G2973" xml:space="preserve"> FindCountryName(F2973)</f>
        <v>None</v>
      </c>
      <c r="H2973" s="1">
        <v>45260.521331018521</v>
      </c>
      <c r="I2973" s="1">
        <v>45260.521331018521</v>
      </c>
      <c r="J2973" s="1">
        <v>44280.988171296296</v>
      </c>
      <c r="K2973" cm="1">
        <f t="array" ref="K2973" xml:space="preserve"> sentimentCalc(C2973)</f>
        <v>0</v>
      </c>
      <c r="L2973" t="str" cm="1">
        <f t="array" ref="L2973" xml:space="preserve"> sentimentCategory(K2973)</f>
        <v>Neutral</v>
      </c>
    </row>
    <row r="2974" spans="1:12">
      <c r="A2974" t="s">
        <v>297</v>
      </c>
      <c r="B2974" t="s">
        <v>912</v>
      </c>
      <c r="C2974" t="str" cm="1">
        <f t="array" ref="C2974" xml:space="preserve"> CleanText(B2974)</f>
        <v>at last</v>
      </c>
      <c r="D2974">
        <v>0</v>
      </c>
      <c r="E2974">
        <v>0</v>
      </c>
      <c r="F2974" t="s">
        <v>19</v>
      </c>
      <c r="G2974" t="str" cm="1">
        <f t="array" ref="G2974" xml:space="preserve"> FindCountryName(F2974)</f>
        <v>United States of America (the)</v>
      </c>
      <c r="H2974" s="1">
        <v>45260.507557870369</v>
      </c>
      <c r="I2974" s="1">
        <v>45260.507557870369</v>
      </c>
      <c r="J2974" s="1">
        <v>44222.86273148148</v>
      </c>
      <c r="K2974" cm="1">
        <f t="array" ref="K2974" xml:space="preserve"> sentimentCalc(C2974)</f>
        <v>0</v>
      </c>
      <c r="L2974" t="str" cm="1">
        <f t="array" ref="L2974" xml:space="preserve"> sentimentCategory(K2974)</f>
        <v>Neutral</v>
      </c>
    </row>
    <row r="2975" spans="1:12">
      <c r="A2975" t="s">
        <v>902</v>
      </c>
      <c r="B2975" t="s">
        <v>911</v>
      </c>
      <c r="C2975" t="str" cm="1">
        <f t="array" ref="C2975" xml:space="preserve"> CleanText(B2975)</f>
        <v>bring me momo</v>
      </c>
      <c r="D2975">
        <v>0</v>
      </c>
      <c r="E2975">
        <v>0</v>
      </c>
      <c r="F2975" t="s">
        <v>0</v>
      </c>
      <c r="G2975" t="str" cm="1">
        <f t="array" ref="G2975" xml:space="preserve"> FindCountryName(F2975)</f>
        <v>None</v>
      </c>
      <c r="H2975" s="1">
        <v>45260.487812500003</v>
      </c>
      <c r="I2975" s="1">
        <v>45260.487812500003</v>
      </c>
      <c r="J2975" s="1">
        <v>44603.378807870373</v>
      </c>
      <c r="K2975" cm="1">
        <f t="array" ref="K2975" xml:space="preserve"> sentimentCalc(C2975)</f>
        <v>0</v>
      </c>
      <c r="L2975" t="str" cm="1">
        <f t="array" ref="L2975" xml:space="preserve"> sentimentCategory(K2975)</f>
        <v>Neutral</v>
      </c>
    </row>
    <row r="2976" spans="1:12">
      <c r="A2976" t="s">
        <v>187</v>
      </c>
      <c r="B2976" t="s">
        <v>910</v>
      </c>
      <c r="C2976" t="str" cm="1">
        <f t="array" ref="C2976" xml:space="preserve"> CleanText(B2976)</f>
        <v>this is even worse_xD83D_</v>
      </c>
      <c r="D2976">
        <v>0</v>
      </c>
      <c r="E2976">
        <v>0</v>
      </c>
      <c r="F2976" t="s">
        <v>497</v>
      </c>
      <c r="G2976" t="str" cm="1">
        <f t="array" ref="G2976" xml:space="preserve"> FindCountryName(F2976)</f>
        <v>South Africa</v>
      </c>
      <c r="H2976" s="1">
        <v>45260.477673611109</v>
      </c>
      <c r="I2976" s="1">
        <v>45260.477673611109</v>
      </c>
      <c r="J2976" s="1">
        <v>44583.726087962961</v>
      </c>
      <c r="K2976" cm="1">
        <f t="array" ref="K2976" xml:space="preserve"> sentimentCalc(C2976)</f>
        <v>0</v>
      </c>
      <c r="L2976" t="str" cm="1">
        <f t="array" ref="L2976" xml:space="preserve"> sentimentCategory(K2976)</f>
        <v>Neutral</v>
      </c>
    </row>
    <row r="2977" spans="1:12">
      <c r="A2977" t="s">
        <v>909</v>
      </c>
      <c r="B2977" t="s">
        <v>908</v>
      </c>
      <c r="C2977" t="str" cm="1">
        <f t="array" ref="C2977" xml:space="preserve"> CleanText(B2977)</f>
        <v>azula looking truly badass</v>
      </c>
      <c r="D2977">
        <v>1</v>
      </c>
      <c r="E2977">
        <v>0</v>
      </c>
      <c r="F2977" t="s">
        <v>0</v>
      </c>
      <c r="G2977" t="str" cm="1">
        <f t="array" ref="G2977" xml:space="preserve"> FindCountryName(F2977)</f>
        <v>None</v>
      </c>
      <c r="H2977" s="1">
        <v>45260.47320601852</v>
      </c>
      <c r="I2977" s="1">
        <v>45260.47320601852</v>
      </c>
      <c r="J2977" s="1">
        <v>40184.637465277781</v>
      </c>
      <c r="K2977" cm="1">
        <f t="array" ref="K2977" xml:space="preserve"> sentimentCalc(C2977)</f>
        <v>-3</v>
      </c>
      <c r="L2977" t="str" cm="1">
        <f t="array" ref="L2977" xml:space="preserve"> sentimentCategory(K2977)</f>
        <v>Negative</v>
      </c>
    </row>
    <row r="2978" spans="1:12">
      <c r="A2978" t="s">
        <v>225</v>
      </c>
      <c r="B2978" t="s">
        <v>907</v>
      </c>
      <c r="C2978" t="str" cm="1">
        <f t="array" ref="C2978" xml:space="preserve"> CleanText(B2978)</f>
        <v>there we go again entrusting our hearts to netflix to be either completely let down or reasonably rewarded please dont messed my childhood good memories this is one of the few good ones i left thanks to disney _xDE02_</v>
      </c>
      <c r="D2978">
        <v>0</v>
      </c>
      <c r="E2978">
        <v>0</v>
      </c>
      <c r="F2978" t="s">
        <v>19</v>
      </c>
      <c r="G2978" t="str" cm="1">
        <f t="array" ref="G2978" xml:space="preserve"> FindCountryName(F2978)</f>
        <v>United States of America (the)</v>
      </c>
      <c r="H2978" s="1">
        <v>45260.423310185186</v>
      </c>
      <c r="I2978" s="1">
        <v>45260.423310185186</v>
      </c>
      <c r="J2978" s="1">
        <v>42482.315636574072</v>
      </c>
      <c r="K2978" cm="1">
        <f t="array" ref="K2978" xml:space="preserve"> sentimentCalc(C2978)</f>
        <v>9</v>
      </c>
      <c r="L2978" t="str" cm="1">
        <f t="array" ref="L2978" xml:space="preserve"> sentimentCategory(K2978)</f>
        <v>Positive</v>
      </c>
    </row>
    <row r="2979" spans="1:12">
      <c r="A2979" t="s">
        <v>906</v>
      </c>
      <c r="B2979" t="s">
        <v>905</v>
      </c>
      <c r="C2979" t="str" cm="1">
        <f t="array" ref="C2979" xml:space="preserve"> CleanText(B2979)</f>
        <v>xin cho tt c cc ban</v>
      </c>
      <c r="D2979">
        <v>0</v>
      </c>
      <c r="E2979">
        <v>0</v>
      </c>
      <c r="F2979" t="s">
        <v>19</v>
      </c>
      <c r="G2979" t="str" cm="1">
        <f t="array" ref="G2979" xml:space="preserve"> FindCountryName(F2979)</f>
        <v>United States of America (the)</v>
      </c>
      <c r="H2979" s="1">
        <v>45260.395312499997</v>
      </c>
      <c r="I2979" s="1">
        <v>45260.395312499997</v>
      </c>
      <c r="J2979" s="1">
        <v>45252.412789351853</v>
      </c>
      <c r="K2979" cm="1">
        <f t="array" ref="K2979" xml:space="preserve"> sentimentCalc(C2979)</f>
        <v>-2</v>
      </c>
      <c r="L2979" t="str" cm="1">
        <f t="array" ref="L2979" xml:space="preserve"> sentimentCategory(K2979)</f>
        <v>Negative</v>
      </c>
    </row>
    <row r="2980" spans="1:12">
      <c r="A2980" t="s">
        <v>904</v>
      </c>
      <c r="B2980" t="s">
        <v>903</v>
      </c>
      <c r="C2980" t="str" cm="1">
        <f t="array" ref="C2980" xml:space="preserve"> CleanText(B2980)</f>
        <v>all they gotta do is to stick to the original series not another disaster please because it looks so good</v>
      </c>
      <c r="D2980">
        <v>0</v>
      </c>
      <c r="E2980">
        <v>0</v>
      </c>
      <c r="F2980" t="s">
        <v>0</v>
      </c>
      <c r="G2980" t="str" cm="1">
        <f t="array" ref="G2980" xml:space="preserve"> FindCountryName(F2980)</f>
        <v>None</v>
      </c>
      <c r="H2980" s="1">
        <v>45260.390636574077</v>
      </c>
      <c r="I2980" s="1">
        <v>45260.390636574077</v>
      </c>
      <c r="J2980" s="1">
        <v>40907.387662037036</v>
      </c>
      <c r="K2980" cm="1">
        <f t="array" ref="K2980" xml:space="preserve"> sentimentCalc(C2980)</f>
        <v>2</v>
      </c>
      <c r="L2980" t="str" cm="1">
        <f t="array" ref="L2980" xml:space="preserve"> sentimentCategory(K2980)</f>
        <v>Positive</v>
      </c>
    </row>
    <row r="2981" spans="1:12">
      <c r="A2981" t="s">
        <v>902</v>
      </c>
      <c r="B2981" t="s">
        <v>901</v>
      </c>
      <c r="C2981" t="str" cm="1">
        <f t="array" ref="C2981" xml:space="preserve"> CleanText(B2981)</f>
        <v>i wish they left the fire lords face a mystery first just like in the anime</v>
      </c>
      <c r="D2981">
        <v>1</v>
      </c>
      <c r="E2981">
        <v>1</v>
      </c>
      <c r="F2981" t="s">
        <v>0</v>
      </c>
      <c r="G2981" t="str" cm="1">
        <f t="array" ref="G2981" xml:space="preserve"> FindCountryName(F2981)</f>
        <v>None</v>
      </c>
      <c r="H2981" s="1">
        <v>45260.382476851853</v>
      </c>
      <c r="I2981" s="1">
        <v>45260.382476851853</v>
      </c>
      <c r="J2981" s="1">
        <v>42609.321122685185</v>
      </c>
      <c r="K2981" cm="1">
        <f t="array" ref="K2981" xml:space="preserve"> sentimentCalc(C2981)</f>
        <v>1</v>
      </c>
      <c r="L2981" t="str" cm="1">
        <f t="array" ref="L2981" xml:space="preserve"> sentimentCategory(K2981)</f>
        <v>Positive</v>
      </c>
    </row>
    <row r="2982" spans="1:12">
      <c r="A2982" t="s">
        <v>900</v>
      </c>
      <c r="B2982" t="s">
        <v>899</v>
      </c>
      <c r="C2982" t="str" cm="1">
        <f t="array" ref="C2982" xml:space="preserve"> CleanText(B2982)</f>
        <v>please please get this right  i know you will</v>
      </c>
      <c r="D2982">
        <v>0</v>
      </c>
      <c r="E2982">
        <v>0</v>
      </c>
      <c r="F2982" t="s">
        <v>0</v>
      </c>
      <c r="G2982" t="str" cm="1">
        <f t="array" ref="G2982" xml:space="preserve"> FindCountryName(F2982)</f>
        <v>None</v>
      </c>
      <c r="H2982" s="1">
        <v>45260.377708333333</v>
      </c>
      <c r="I2982" s="1">
        <v>45260.377708333333</v>
      </c>
      <c r="J2982" s="1">
        <v>40818.428032407406</v>
      </c>
      <c r="K2982" cm="1">
        <f t="array" ref="K2982" xml:space="preserve"> sentimentCalc(C2982)</f>
        <v>2</v>
      </c>
      <c r="L2982" t="str" cm="1">
        <f t="array" ref="L2982" xml:space="preserve"> sentimentCategory(K2982)</f>
        <v>Positive</v>
      </c>
    </row>
    <row r="2983" spans="1:12">
      <c r="A2983" t="s">
        <v>898</v>
      </c>
      <c r="B2983" t="s">
        <v>897</v>
      </c>
      <c r="C2983" t="str" cm="1">
        <f t="array" ref="C2983" xml:space="preserve"> CleanText(B2983)</f>
        <v>looks like zuko and katara fans are finally getting their endgame</v>
      </c>
      <c r="D2983">
        <v>0</v>
      </c>
      <c r="E2983">
        <v>0</v>
      </c>
      <c r="F2983" t="s">
        <v>19</v>
      </c>
      <c r="G2983" t="str" cm="1">
        <f t="array" ref="G2983" xml:space="preserve"> FindCountryName(F2983)</f>
        <v>United States of America (the)</v>
      </c>
      <c r="H2983" s="1">
        <v>45260.375740740739</v>
      </c>
      <c r="I2983" s="1">
        <v>45260.375740740739</v>
      </c>
      <c r="J2983" s="1">
        <v>40691.591597222221</v>
      </c>
      <c r="K2983" cm="1">
        <f t="array" ref="K2983" xml:space="preserve"> sentimentCalc(C2983)</f>
        <v>2</v>
      </c>
      <c r="L2983" t="str" cm="1">
        <f t="array" ref="L2983" xml:space="preserve"> sentimentCategory(K2983)</f>
        <v>Positive</v>
      </c>
    </row>
    <row r="2984" spans="1:12">
      <c r="A2984" t="s">
        <v>896</v>
      </c>
      <c r="B2984" t="s">
        <v>895</v>
      </c>
      <c r="C2984" t="str" cm="1">
        <f t="array" ref="C2984" xml:space="preserve"> CleanText(B2984)</f>
        <v>cant wait</v>
      </c>
      <c r="D2984">
        <v>0</v>
      </c>
      <c r="E2984">
        <v>0</v>
      </c>
      <c r="F2984" t="s">
        <v>0</v>
      </c>
      <c r="G2984" t="str" cm="1">
        <f t="array" ref="G2984" xml:space="preserve"> FindCountryName(F2984)</f>
        <v>None</v>
      </c>
      <c r="H2984" s="1">
        <v>45260.369537037041</v>
      </c>
      <c r="I2984" s="1">
        <v>45260.369537037041</v>
      </c>
      <c r="J2984" s="1">
        <v>41023.356261574074</v>
      </c>
      <c r="K2984" cm="1">
        <f t="array" ref="K2984" xml:space="preserve"> sentimentCalc(C2984)</f>
        <v>0</v>
      </c>
      <c r="L2984" t="str" cm="1">
        <f t="array" ref="L2984" xml:space="preserve"> sentimentCategory(K2984)</f>
        <v>Neutral</v>
      </c>
    </row>
    <row r="2985" spans="1:12">
      <c r="A2985" t="s">
        <v>349</v>
      </c>
      <c r="B2985" t="s">
        <v>894</v>
      </c>
      <c r="C2985" t="str" cm="1">
        <f t="array" ref="C2985" xml:space="preserve"> CleanText(B2985)</f>
        <v>i swear if they screw this one up they will never see the end of it</v>
      </c>
      <c r="D2985">
        <v>0</v>
      </c>
      <c r="E2985">
        <v>0</v>
      </c>
      <c r="F2985" t="s">
        <v>0</v>
      </c>
      <c r="G2985" t="str" cm="1">
        <f t="array" ref="G2985" xml:space="preserve"> FindCountryName(F2985)</f>
        <v>None</v>
      </c>
      <c r="H2985" s="1">
        <v>45260.365381944444</v>
      </c>
      <c r="I2985" s="1">
        <v>45260.365381944444</v>
      </c>
      <c r="J2985" s="1">
        <v>44515.529409722221</v>
      </c>
      <c r="K2985" cm="1">
        <f t="array" ref="K2985" xml:space="preserve"> sentimentCalc(C2985)</f>
        <v>-2</v>
      </c>
      <c r="L2985" t="str" cm="1">
        <f t="array" ref="L2985" xml:space="preserve"> sentimentCategory(K2985)</f>
        <v>Negative</v>
      </c>
    </row>
    <row r="2986" spans="1:12">
      <c r="A2986" t="s">
        <v>148</v>
      </c>
      <c r="B2986" t="s">
        <v>893</v>
      </c>
      <c r="C2986" t="str" cm="1">
        <f t="array" ref="C2986" xml:space="preserve"> CleanText(B2986)</f>
        <v>kioshis warriors look amazing</v>
      </c>
      <c r="D2986">
        <v>0</v>
      </c>
      <c r="E2986">
        <v>0</v>
      </c>
      <c r="F2986" t="s">
        <v>892</v>
      </c>
      <c r="G2986" t="str" cm="1">
        <f t="array" ref="G2986" xml:space="preserve"> FindCountryName(F2986)</f>
        <v>Dominican Republic (the)</v>
      </c>
      <c r="H2986" s="1">
        <v>45260.355856481481</v>
      </c>
      <c r="I2986" s="1">
        <v>45260.355856481481</v>
      </c>
      <c r="J2986" s="1">
        <v>41475.737824074073</v>
      </c>
      <c r="K2986" cm="1">
        <f t="array" ref="K2986" xml:space="preserve"> sentimentCalc(C2986)</f>
        <v>4</v>
      </c>
      <c r="L2986" t="str" cm="1">
        <f t="array" ref="L2986" xml:space="preserve"> sentimentCategory(K2986)</f>
        <v>Positive</v>
      </c>
    </row>
    <row r="2987" spans="1:12">
      <c r="A2987" t="s">
        <v>710</v>
      </c>
      <c r="B2987" t="s">
        <v>891</v>
      </c>
      <c r="C2987" t="str" cm="1">
        <f t="array" ref="C2987" xml:space="preserve"> CleanText(B2987)</f>
        <v>why is that ang</v>
      </c>
      <c r="D2987">
        <v>0</v>
      </c>
      <c r="E2987">
        <v>0</v>
      </c>
      <c r="F2987" t="s">
        <v>0</v>
      </c>
      <c r="G2987" t="str" cm="1">
        <f t="array" ref="G2987" xml:space="preserve"> FindCountryName(F2987)</f>
        <v>None</v>
      </c>
      <c r="H2987" s="1">
        <v>45260.353993055556</v>
      </c>
      <c r="I2987" s="1">
        <v>45260.353993055556</v>
      </c>
      <c r="J2987" s="1">
        <v>43998.359120370369</v>
      </c>
      <c r="K2987" cm="1">
        <f t="array" ref="K2987" xml:space="preserve"> sentimentCalc(C2987)</f>
        <v>0</v>
      </c>
      <c r="L2987" t="str" cm="1">
        <f t="array" ref="L2987" xml:space="preserve"> sentimentCategory(K2987)</f>
        <v>Neutral</v>
      </c>
    </row>
    <row r="2988" spans="1:12">
      <c r="A2988" t="s">
        <v>415</v>
      </c>
      <c r="B2988" t="s">
        <v>890</v>
      </c>
      <c r="C2988" t="str" cm="1">
        <f t="array" ref="C2988" xml:space="preserve"> CleanText(B2988)</f>
        <v>what happened to the lighting budget</v>
      </c>
      <c r="D2988">
        <v>0</v>
      </c>
      <c r="E2988">
        <v>0</v>
      </c>
      <c r="F2988" t="s">
        <v>0</v>
      </c>
      <c r="G2988" t="str" cm="1">
        <f t="array" ref="G2988" xml:space="preserve"> FindCountryName(F2988)</f>
        <v>None</v>
      </c>
      <c r="H2988" s="1">
        <v>45260.336122685185</v>
      </c>
      <c r="I2988" s="1">
        <v>45260.336122685185</v>
      </c>
      <c r="J2988" s="1">
        <v>41556.251273148147</v>
      </c>
      <c r="K2988" cm="1">
        <f t="array" ref="K2988" xml:space="preserve"> sentimentCalc(C2988)</f>
        <v>0</v>
      </c>
      <c r="L2988" t="str" cm="1">
        <f t="array" ref="L2988" xml:space="preserve"> sentimentCategory(K2988)</f>
        <v>Neutral</v>
      </c>
    </row>
    <row r="2989" spans="1:12">
      <c r="A2989" t="s">
        <v>889</v>
      </c>
      <c r="B2989" t="s">
        <v>888</v>
      </c>
      <c r="C2989" t="str" cm="1">
        <f t="array" ref="C2989" xml:space="preserve"> CleanText(B2989)</f>
        <v>i hope its better than the 00 mnight shyamalan versionwhat a piece of crap and i love him as a director but not for this one</v>
      </c>
      <c r="D2989">
        <v>1</v>
      </c>
      <c r="E2989">
        <v>0</v>
      </c>
      <c r="F2989" t="s">
        <v>0</v>
      </c>
      <c r="G2989" t="str" cm="1">
        <f t="array" ref="G2989" xml:space="preserve"> FindCountryName(F2989)</f>
        <v>None</v>
      </c>
      <c r="H2989" s="1">
        <v>45260.317210648151</v>
      </c>
      <c r="I2989" s="1">
        <v>45260.317210648151</v>
      </c>
      <c r="J2989" s="1">
        <v>40798.558958333335</v>
      </c>
      <c r="K2989" cm="1">
        <f t="array" ref="K2989" xml:space="preserve"> sentimentCalc(C2989)</f>
        <v>4</v>
      </c>
      <c r="L2989" t="str" cm="1">
        <f t="array" ref="L2989" xml:space="preserve"> sentimentCategory(K2989)</f>
        <v>Positive</v>
      </c>
    </row>
    <row r="2990" spans="1:12">
      <c r="A2990" t="s">
        <v>887</v>
      </c>
      <c r="B2990" t="s">
        <v>886</v>
      </c>
      <c r="C2990" t="str" cm="1">
        <f t="array" ref="C2990" xml:space="preserve"> CleanText(B2990)</f>
        <v>destiny is a funny thing iroh</v>
      </c>
      <c r="D2990">
        <v>1</v>
      </c>
      <c r="E2990">
        <v>0</v>
      </c>
      <c r="F2990" t="s">
        <v>0</v>
      </c>
      <c r="G2990" t="str" cm="1">
        <f t="array" ref="G2990" xml:space="preserve"> FindCountryName(F2990)</f>
        <v>None</v>
      </c>
      <c r="H2990" s="1">
        <v>45260.29519675926</v>
      </c>
      <c r="I2990" s="1">
        <v>45260.29519675926</v>
      </c>
      <c r="J2990" s="1">
        <v>42668.987615740742</v>
      </c>
      <c r="K2990" cm="1">
        <f t="array" ref="K2990" xml:space="preserve"> sentimentCalc(C2990)</f>
        <v>4</v>
      </c>
      <c r="L2990" t="str" cm="1">
        <f t="array" ref="L2990" xml:space="preserve"> sentimentCategory(K2990)</f>
        <v>Positive</v>
      </c>
    </row>
    <row r="2991" spans="1:12">
      <c r="A2991" t="s">
        <v>153</v>
      </c>
      <c r="B2991" t="s">
        <v>885</v>
      </c>
      <c r="C2991" t="str" cm="1">
        <f t="array" ref="C2991" xml:space="preserve"> CleanText(B2991)</f>
        <v>1 only frostpunk players know this sound</v>
      </c>
      <c r="D2991">
        <v>2</v>
      </c>
      <c r="E2991">
        <v>0</v>
      </c>
      <c r="F2991" t="s">
        <v>0</v>
      </c>
      <c r="G2991" t="str" cm="1">
        <f t="array" ref="G2991" xml:space="preserve"> FindCountryName(F2991)</f>
        <v>None</v>
      </c>
      <c r="H2991" s="1">
        <v>45260.29210648148</v>
      </c>
      <c r="I2991" s="1">
        <v>45260.29210648148</v>
      </c>
      <c r="J2991" s="1">
        <v>42468.823078703703</v>
      </c>
      <c r="K2991" cm="1">
        <f t="array" ref="K2991" xml:space="preserve"> sentimentCalc(C2991)</f>
        <v>0</v>
      </c>
      <c r="L2991" t="str" cm="1">
        <f t="array" ref="L2991" xml:space="preserve"> sentimentCategory(K2991)</f>
        <v>Neutral</v>
      </c>
    </row>
    <row r="2992" spans="1:12">
      <c r="A2992" t="s">
        <v>653</v>
      </c>
      <c r="B2992" t="s">
        <v>884</v>
      </c>
      <c r="C2992" t="str" cm="1">
        <f t="array" ref="C2992" xml:space="preserve"> CleanText(B2992)</f>
        <v>never bought netflix subscription but for this movie i will buy itcant wait for this movie release</v>
      </c>
      <c r="D2992">
        <v>1</v>
      </c>
      <c r="E2992">
        <v>1</v>
      </c>
      <c r="F2992" t="s">
        <v>0</v>
      </c>
      <c r="G2992" t="str" cm="1">
        <f t="array" ref="G2992" xml:space="preserve"> FindCountryName(F2992)</f>
        <v>None</v>
      </c>
      <c r="H2992" s="1">
        <v>45260.248113425929</v>
      </c>
      <c r="I2992" s="1">
        <v>45260.248113425929</v>
      </c>
      <c r="J2992" s="1">
        <v>42964.758391203701</v>
      </c>
      <c r="K2992" cm="1">
        <f t="array" ref="K2992" xml:space="preserve"> sentimentCalc(C2992)</f>
        <v>0</v>
      </c>
      <c r="L2992" t="str" cm="1">
        <f t="array" ref="L2992" xml:space="preserve"> sentimentCategory(K2992)</f>
        <v>Neutral</v>
      </c>
    </row>
    <row r="2993" spans="1:12">
      <c r="A2993" t="s">
        <v>496</v>
      </c>
      <c r="B2993" t="s">
        <v>883</v>
      </c>
      <c r="C2993" t="str" cm="1">
        <f t="array" ref="C2993" xml:space="preserve"> CleanText(B2993)</f>
        <v>this is gonna be a blockbuster i feel it</v>
      </c>
      <c r="D2993">
        <v>0</v>
      </c>
      <c r="E2993">
        <v>0</v>
      </c>
      <c r="F2993" t="s">
        <v>0</v>
      </c>
      <c r="G2993" t="str" cm="1">
        <f t="array" ref="G2993" xml:space="preserve"> FindCountryName(F2993)</f>
        <v>None</v>
      </c>
      <c r="H2993" s="1">
        <v>45260.22347222222</v>
      </c>
      <c r="I2993" s="1">
        <v>45260.22347222222</v>
      </c>
      <c r="J2993" s="1">
        <v>40445.428738425922</v>
      </c>
      <c r="K2993" cm="1">
        <f t="array" ref="K2993" xml:space="preserve"> sentimentCalc(C2993)</f>
        <v>3</v>
      </c>
      <c r="L2993" t="str" cm="1">
        <f t="array" ref="L2993" xml:space="preserve"> sentimentCategory(K2993)</f>
        <v>Positive</v>
      </c>
    </row>
    <row r="2994" spans="1:12">
      <c r="A2994" t="s">
        <v>882</v>
      </c>
      <c r="B2994" t="s">
        <v>881</v>
      </c>
      <c r="C2994" t="str" cm="1">
        <f t="array" ref="C2994" xml:space="preserve"> CleanText(B2994)</f>
        <v>damn i didnt think they would even show ozai in season  but here he is bending fire in all his glory in the trailer</v>
      </c>
      <c r="D2994">
        <v>1</v>
      </c>
      <c r="E2994">
        <v>0</v>
      </c>
      <c r="F2994" t="s">
        <v>0</v>
      </c>
      <c r="G2994" t="str" cm="1">
        <f t="array" ref="G2994" xml:space="preserve"> FindCountryName(F2994)</f>
        <v>None</v>
      </c>
      <c r="H2994" s="1">
        <v>45260.194687499999</v>
      </c>
      <c r="I2994" s="1">
        <v>45260.194687499999</v>
      </c>
      <c r="J2994" s="1">
        <v>40919.578761574077</v>
      </c>
      <c r="K2994" cm="1">
        <f t="array" ref="K2994" xml:space="preserve"> sentimentCalc(C2994)</f>
        <v>-4</v>
      </c>
      <c r="L2994" t="str" cm="1">
        <f t="array" ref="L2994" xml:space="preserve"> sentimentCategory(K2994)</f>
        <v>Negative</v>
      </c>
    </row>
    <row r="2995" spans="1:12">
      <c r="A2995" t="s">
        <v>880</v>
      </c>
      <c r="B2995" t="s">
        <v>879</v>
      </c>
      <c r="C2995" t="str" cm="1">
        <f t="array" ref="C2995" xml:space="preserve"> CleanText(B2995)</f>
        <v>n</v>
      </c>
      <c r="D2995">
        <v>1</v>
      </c>
      <c r="E2995">
        <v>0</v>
      </c>
      <c r="F2995" t="s">
        <v>0</v>
      </c>
      <c r="G2995" t="str" cm="1">
        <f t="array" ref="G2995" xml:space="preserve"> FindCountryName(F2995)</f>
        <v>None</v>
      </c>
      <c r="H2995" s="1">
        <v>45260.162175925929</v>
      </c>
      <c r="I2995" s="1">
        <v>45260.162175925929</v>
      </c>
      <c r="J2995" s="1">
        <v>44486.985451388886</v>
      </c>
      <c r="K2995" cm="1">
        <f t="array" ref="K2995" xml:space="preserve"> sentimentCalc(C2995)</f>
        <v>0</v>
      </c>
      <c r="L2995" t="str" cm="1">
        <f t="array" ref="L2995" xml:space="preserve"> sentimentCategory(K2995)</f>
        <v>Neutral</v>
      </c>
    </row>
    <row r="2996" spans="1:12">
      <c r="A2996" t="s">
        <v>878</v>
      </c>
      <c r="B2996" t="s">
        <v>877</v>
      </c>
      <c r="C2996" t="str" cm="1">
        <f t="array" ref="C2996" xml:space="preserve"> CleanText(B2996)</f>
        <v>what did i say guys i put a lot of faith in this show because i really believed in true fans wanting to be as authentic as possible to the actual show i really cant wait</v>
      </c>
      <c r="D2996">
        <v>1</v>
      </c>
      <c r="E2996">
        <v>0</v>
      </c>
      <c r="F2996" t="s">
        <v>0</v>
      </c>
      <c r="G2996" t="str" cm="1">
        <f t="array" ref="G2996" xml:space="preserve"> FindCountryName(F2996)</f>
        <v>None</v>
      </c>
      <c r="H2996" s="1">
        <v>45260.149513888886</v>
      </c>
      <c r="I2996" s="1">
        <v>45260.149513888886</v>
      </c>
      <c r="J2996" s="1">
        <v>44949.455011574071</v>
      </c>
      <c r="K2996" cm="1">
        <f t="array" ref="K2996" xml:space="preserve"> sentimentCalc(C2996)</f>
        <v>3</v>
      </c>
      <c r="L2996" t="str" cm="1">
        <f t="array" ref="L2996" xml:space="preserve"> sentimentCategory(K2996)</f>
        <v>Positive</v>
      </c>
    </row>
    <row r="2997" spans="1:12">
      <c r="A2997" t="s">
        <v>876</v>
      </c>
      <c r="B2997" t="s">
        <v>875</v>
      </c>
      <c r="C2997" t="str" cm="1">
        <f t="array" ref="C2997" xml:space="preserve"> CleanText(B2997)</f>
        <v>please god pleasedont mess it up again</v>
      </c>
      <c r="D2997">
        <v>1</v>
      </c>
      <c r="E2997">
        <v>1</v>
      </c>
      <c r="F2997" t="s">
        <v>0</v>
      </c>
      <c r="G2997" t="str" cm="1">
        <f t="array" ref="G2997" xml:space="preserve"> FindCountryName(F2997)</f>
        <v>None</v>
      </c>
      <c r="H2997" s="1">
        <v>45260.136643518519</v>
      </c>
      <c r="I2997" s="1">
        <v>45260.136643518519</v>
      </c>
      <c r="J2997" s="1">
        <v>40879.155185185184</v>
      </c>
      <c r="K2997" cm="1">
        <f t="array" ref="K2997" xml:space="preserve"> sentimentCalc(C2997)</f>
        <v>0</v>
      </c>
      <c r="L2997" t="str" cm="1">
        <f t="array" ref="L2997" xml:space="preserve"> sentimentCategory(K2997)</f>
        <v>Neutral</v>
      </c>
    </row>
    <row r="2998" spans="1:12">
      <c r="A2998" t="s">
        <v>874</v>
      </c>
      <c r="B2998" t="s">
        <v>873</v>
      </c>
      <c r="C2998" t="str" cm="1">
        <f t="array" ref="C2998" xml:space="preserve"> CleanText(B2998)</f>
        <v>hope they dont remove the secret tunnel episode</v>
      </c>
      <c r="D2998">
        <v>2</v>
      </c>
      <c r="E2998">
        <v>0</v>
      </c>
      <c r="F2998" t="s">
        <v>0</v>
      </c>
      <c r="G2998" t="str" cm="1">
        <f t="array" ref="G2998" xml:space="preserve"> FindCountryName(F2998)</f>
        <v>None</v>
      </c>
      <c r="H2998" s="1">
        <v>45260.131944444445</v>
      </c>
      <c r="I2998" s="1">
        <v>45260.131944444445</v>
      </c>
      <c r="J2998" s="1">
        <v>41121.240555555552</v>
      </c>
      <c r="K2998" cm="1">
        <f t="array" ref="K2998" xml:space="preserve"> sentimentCalc(C2998)</f>
        <v>2</v>
      </c>
      <c r="L2998" t="str" cm="1">
        <f t="array" ref="L2998" xml:space="preserve"> sentimentCategory(K2998)</f>
        <v>Positive</v>
      </c>
    </row>
    <row r="2999" spans="1:12">
      <c r="A2999" t="s">
        <v>872</v>
      </c>
      <c r="B2999" t="s">
        <v>871</v>
      </c>
      <c r="C2999" t="str" cm="1">
        <f t="array" ref="C2999" xml:space="preserve"> CleanText(B2999)</f>
        <v>just remember mike and bryan said this when they left whatever ends up onscreen it will not be what bryan and i had envisioned or intended to make</v>
      </c>
      <c r="D2999">
        <v>1</v>
      </c>
      <c r="E2999">
        <v>0</v>
      </c>
      <c r="F2999" t="s">
        <v>0</v>
      </c>
      <c r="G2999" t="str" cm="1">
        <f t="array" ref="G2999" xml:space="preserve"> FindCountryName(F2999)</f>
        <v>None</v>
      </c>
      <c r="H2999" s="1">
        <v>45260.131909722222</v>
      </c>
      <c r="I2999" s="1">
        <v>45260.131909722222</v>
      </c>
      <c r="J2999" s="1">
        <v>41349.953657407408</v>
      </c>
      <c r="K2999" cm="1">
        <f t="array" ref="K2999" xml:space="preserve"> sentimentCalc(C2999)</f>
        <v>0</v>
      </c>
      <c r="L2999" t="str" cm="1">
        <f t="array" ref="L2999" xml:space="preserve"> sentimentCategory(K2999)</f>
        <v>Neutral</v>
      </c>
    </row>
    <row r="3000" spans="1:12">
      <c r="A3000" t="s">
        <v>870</v>
      </c>
      <c r="B3000" t="s">
        <v>869</v>
      </c>
      <c r="C3000" t="str" cm="1">
        <f t="array" ref="C3000" xml:space="preserve"> CleanText(B3000)</f>
        <v>ava means to come down and tar means to protect the word avatar came from sanskrit language and the trailer completely justifies the title</v>
      </c>
      <c r="D3000">
        <v>0</v>
      </c>
      <c r="E3000">
        <v>0</v>
      </c>
      <c r="F3000" t="s">
        <v>0</v>
      </c>
      <c r="G3000" t="str" cm="1">
        <f t="array" ref="G3000" xml:space="preserve"> FindCountryName(F3000)</f>
        <v>None</v>
      </c>
      <c r="H3000" s="1">
        <v>45260.124560185184</v>
      </c>
      <c r="I3000" s="1">
        <v>45260.124560185184</v>
      </c>
      <c r="J3000" s="1">
        <v>40841.501481481479</v>
      </c>
      <c r="K3000" cm="1">
        <f t="array" ref="K3000" xml:space="preserve"> sentimentCalc(C3000)</f>
        <v>1</v>
      </c>
      <c r="L3000" t="str" cm="1">
        <f t="array" ref="L3000" xml:space="preserve"> sentimentCategory(K3000)</f>
        <v>Positive</v>
      </c>
    </row>
    <row r="3001" spans="1:12">
      <c r="A3001" t="s">
        <v>868</v>
      </c>
      <c r="B3001" t="s">
        <v>867</v>
      </c>
      <c r="C3001" t="str" cm="1">
        <f t="array" ref="C3001" xml:space="preserve"> CleanText(B3001)</f>
        <v>where is toff</v>
      </c>
      <c r="D3001">
        <v>0</v>
      </c>
      <c r="E3001">
        <v>1</v>
      </c>
      <c r="F3001" t="s">
        <v>0</v>
      </c>
      <c r="G3001" t="str" cm="1">
        <f t="array" ref="G3001" xml:space="preserve"> FindCountryName(F3001)</f>
        <v>None</v>
      </c>
      <c r="H3001" s="1">
        <v>45260.118368055555</v>
      </c>
      <c r="I3001" s="1">
        <v>45260.118368055555</v>
      </c>
      <c r="J3001" s="1">
        <v>40269.415937500002</v>
      </c>
      <c r="K3001" cm="1">
        <f t="array" ref="K3001" xml:space="preserve"> sentimentCalc(C3001)</f>
        <v>0</v>
      </c>
      <c r="L3001" t="str" cm="1">
        <f t="array" ref="L3001" xml:space="preserve"> sentimentCategory(K3001)</f>
        <v>Neutral</v>
      </c>
    </row>
    <row r="3002" spans="1:12">
      <c r="A3002" t="s">
        <v>349</v>
      </c>
      <c r="B3002" t="s">
        <v>866</v>
      </c>
      <c r="C3002" t="str" cm="1">
        <f t="array" ref="C3002" xml:space="preserve"> CleanText(B3002)</f>
        <v>water tribe should be black</v>
      </c>
      <c r="D3002">
        <v>0</v>
      </c>
      <c r="E3002">
        <v>2</v>
      </c>
      <c r="F3002" t="s">
        <v>0</v>
      </c>
      <c r="G3002" t="str" cm="1">
        <f t="array" ref="G3002" xml:space="preserve"> FindCountryName(F3002)</f>
        <v>None</v>
      </c>
      <c r="H3002" s="1">
        <v>45260.114710648151</v>
      </c>
      <c r="I3002" s="1">
        <v>45260.114710648151</v>
      </c>
      <c r="J3002" s="1">
        <v>43203.377106481479</v>
      </c>
      <c r="K3002" cm="1">
        <f t="array" ref="K3002" xml:space="preserve"> sentimentCalc(C3002)</f>
        <v>0</v>
      </c>
      <c r="L3002" t="str" cm="1">
        <f t="array" ref="L3002" xml:space="preserve"> sentimentCategory(K3002)</f>
        <v>Neutral</v>
      </c>
    </row>
    <row r="3003" spans="1:12">
      <c r="A3003" t="s">
        <v>865</v>
      </c>
      <c r="B3003" t="s">
        <v>864</v>
      </c>
      <c r="C3003" t="str" cm="1">
        <f t="array" ref="C3003" xml:space="preserve"> CleanText(B3003)</f>
        <v>i wonder if theyll keep the humor in the script how aang was just a playful kid and sokka was hilarious</v>
      </c>
      <c r="D3003">
        <v>0</v>
      </c>
      <c r="E3003">
        <v>0</v>
      </c>
      <c r="F3003" t="s">
        <v>0</v>
      </c>
      <c r="G3003" t="str" cm="1">
        <f t="array" ref="G3003" xml:space="preserve"> FindCountryName(F3003)</f>
        <v>None</v>
      </c>
      <c r="H3003" s="1">
        <v>45260.112962962965</v>
      </c>
      <c r="I3003" s="1">
        <v>45260.112962962965</v>
      </c>
      <c r="J3003" s="1">
        <v>43815.691238425927</v>
      </c>
      <c r="K3003" cm="1">
        <f t="array" ref="K3003" xml:space="preserve"> sentimentCalc(C3003)</f>
        <v>6</v>
      </c>
      <c r="L3003" t="str" cm="1">
        <f t="array" ref="L3003" xml:space="preserve"> sentimentCategory(K3003)</f>
        <v>Positive</v>
      </c>
    </row>
    <row r="3004" spans="1:12">
      <c r="A3004" t="s">
        <v>653</v>
      </c>
      <c r="B3004" t="s">
        <v>863</v>
      </c>
      <c r="C3004" t="str" cm="1">
        <f t="array" ref="C3004" xml:space="preserve"> CleanText(B3004)</f>
        <v>without this music avatar wouldve been incomplete its like fantasy came true  so glad they used this</v>
      </c>
      <c r="D3004">
        <v>2</v>
      </c>
      <c r="E3004">
        <v>0</v>
      </c>
      <c r="F3004" t="s">
        <v>0</v>
      </c>
      <c r="G3004" t="str" cm="1">
        <f t="array" ref="G3004" xml:space="preserve"> FindCountryName(F3004)</f>
        <v>None</v>
      </c>
      <c r="H3004" s="1">
        <v>45260.108344907407</v>
      </c>
      <c r="I3004" s="1">
        <v>45260.108344907407</v>
      </c>
      <c r="J3004" s="1">
        <v>44102.215752314813</v>
      </c>
      <c r="K3004" cm="1">
        <f t="array" ref="K3004" xml:space="preserve"> sentimentCalc(C3004)</f>
        <v>7</v>
      </c>
      <c r="L3004" t="str" cm="1">
        <f t="array" ref="L3004" xml:space="preserve"> sentimentCategory(K3004)</f>
        <v>Positive</v>
      </c>
    </row>
    <row r="3005" spans="1:12">
      <c r="A3005" t="s">
        <v>862</v>
      </c>
      <c r="B3005" t="s">
        <v>861</v>
      </c>
      <c r="C3005" t="str" cm="1">
        <f t="array" ref="C3005" xml:space="preserve"> CleanText(B3005)</f>
        <v>n</v>
      </c>
      <c r="D3005">
        <v>0</v>
      </c>
      <c r="E3005">
        <v>0</v>
      </c>
      <c r="F3005" t="s">
        <v>19</v>
      </c>
      <c r="G3005" t="str" cm="1">
        <f t="array" ref="G3005" xml:space="preserve"> FindCountryName(F3005)</f>
        <v>United States of America (the)</v>
      </c>
      <c r="H3005" s="1">
        <v>45260.072627314818</v>
      </c>
      <c r="I3005" s="1">
        <v>45260.072627314818</v>
      </c>
      <c r="J3005" s="1">
        <v>44109.953946759262</v>
      </c>
      <c r="K3005" cm="1">
        <f t="array" ref="K3005" xml:space="preserve"> sentimentCalc(C3005)</f>
        <v>0</v>
      </c>
      <c r="L3005" t="str" cm="1">
        <f t="array" ref="L3005" xml:space="preserve"> sentimentCategory(K3005)</f>
        <v>Neutral</v>
      </c>
    </row>
    <row r="3006" spans="1:12">
      <c r="A3006" t="s">
        <v>353</v>
      </c>
      <c r="B3006" t="s">
        <v>860</v>
      </c>
      <c r="C3006" t="str" cm="1">
        <f t="array" ref="C3006" xml:space="preserve"> CleanText(B3006)</f>
        <v>avatar cartoon is my favorite and i hope this one is better than the cartoon</v>
      </c>
      <c r="D3006">
        <v>0</v>
      </c>
      <c r="E3006">
        <v>0</v>
      </c>
      <c r="F3006" t="s">
        <v>0</v>
      </c>
      <c r="G3006" t="str" cm="1">
        <f t="array" ref="G3006" xml:space="preserve"> FindCountryName(F3006)</f>
        <v>None</v>
      </c>
      <c r="H3006" s="1">
        <v>45260.070949074077</v>
      </c>
      <c r="I3006" s="1">
        <v>45260.070949074077</v>
      </c>
      <c r="J3006" s="1">
        <v>45108.648275462961</v>
      </c>
      <c r="K3006" cm="1">
        <f t="array" ref="K3006" xml:space="preserve"> sentimentCalc(C3006)</f>
        <v>6</v>
      </c>
      <c r="L3006" t="str" cm="1">
        <f t="array" ref="L3006" xml:space="preserve"> sentimentCategory(K3006)</f>
        <v>Positive</v>
      </c>
    </row>
    <row r="3007" spans="1:12">
      <c r="A3007" t="s">
        <v>26</v>
      </c>
      <c r="B3007" t="s">
        <v>859</v>
      </c>
      <c r="C3007" t="str" cm="1">
        <f t="array" ref="C3007" xml:space="preserve"> CleanText(B3007)</f>
        <v>already you can tell this is going to be too serious and totally miss the humor and happiness in the tv series</v>
      </c>
      <c r="D3007">
        <v>0</v>
      </c>
      <c r="E3007">
        <v>0</v>
      </c>
      <c r="F3007" t="s">
        <v>0</v>
      </c>
      <c r="G3007" t="str" cm="1">
        <f t="array" ref="G3007" xml:space="preserve"> FindCountryName(F3007)</f>
        <v>None</v>
      </c>
      <c r="H3007" s="1">
        <v>45260.044085648151</v>
      </c>
      <c r="I3007" s="1">
        <v>45260.044085648151</v>
      </c>
      <c r="J3007" s="1">
        <v>42567.705636574072</v>
      </c>
      <c r="K3007" cm="1">
        <f t="array" ref="K3007" xml:space="preserve"> sentimentCalc(C3007)</f>
        <v>3</v>
      </c>
      <c r="L3007" t="str" cm="1">
        <f t="array" ref="L3007" xml:space="preserve"> sentimentCategory(K3007)</f>
        <v>Positive</v>
      </c>
    </row>
    <row r="3008" spans="1:12">
      <c r="A3008" t="s">
        <v>858</v>
      </c>
      <c r="B3008" t="s">
        <v>857</v>
      </c>
      <c r="C3008" t="str" cm="1">
        <f t="array" ref="C3008" xml:space="preserve"> CleanText(B3008)</f>
        <v>this is somehow going to ruin the franchise even worse than tlok</v>
      </c>
      <c r="D3008">
        <v>0</v>
      </c>
      <c r="E3008">
        <v>0</v>
      </c>
      <c r="F3008" t="s">
        <v>0</v>
      </c>
      <c r="G3008" t="str" cm="1">
        <f t="array" ref="G3008" xml:space="preserve"> FindCountryName(F3008)</f>
        <v>None</v>
      </c>
      <c r="H3008" s="1">
        <v>45260.037893518522</v>
      </c>
      <c r="I3008" s="1">
        <v>45260.037893518522</v>
      </c>
      <c r="J3008" s="1">
        <v>44544.671666666669</v>
      </c>
      <c r="K3008" cm="1">
        <f t="array" ref="K3008" xml:space="preserve"> sentimentCalc(C3008)</f>
        <v>-5</v>
      </c>
      <c r="L3008" t="str" cm="1">
        <f t="array" ref="L3008" xml:space="preserve"> sentimentCategory(K3008)</f>
        <v>Negative</v>
      </c>
    </row>
    <row r="3009" spans="1:12">
      <c r="A3009" t="s">
        <v>86</v>
      </c>
      <c r="B3009" t="s">
        <v>856</v>
      </c>
      <c r="C3009" t="str" cm="1">
        <f t="array" ref="C3009" xml:space="preserve"> CleanText(B3009)</f>
        <v>keep it straight lol not in a netflix adaptation _xDC80_</v>
      </c>
      <c r="D3009">
        <v>1</v>
      </c>
      <c r="E3009">
        <v>0</v>
      </c>
      <c r="F3009" t="s">
        <v>0</v>
      </c>
      <c r="G3009" t="str" cm="1">
        <f t="array" ref="G3009" xml:space="preserve"> FindCountryName(F3009)</f>
        <v>None</v>
      </c>
      <c r="H3009" s="1">
        <v>45260.028819444444</v>
      </c>
      <c r="I3009" s="1">
        <v>45260.028819444444</v>
      </c>
      <c r="J3009" s="1">
        <v>43239.81322916667</v>
      </c>
      <c r="K3009" cm="1">
        <f t="array" ref="K3009" xml:space="preserve"> sentimentCalc(C3009)</f>
        <v>1</v>
      </c>
      <c r="L3009" t="str" cm="1">
        <f t="array" ref="L3009" xml:space="preserve"> sentimentCategory(K3009)</f>
        <v>Positive</v>
      </c>
    </row>
    <row r="3010" spans="1:12">
      <c r="A3010" t="s">
        <v>231</v>
      </c>
      <c r="B3010" t="s">
        <v>855</v>
      </c>
      <c r="C3010" t="str" cm="1">
        <f t="array" ref="C3010" xml:space="preserve"> CleanText(B3010)</f>
        <v>if this one is not funny im done watching avatar movies _xDE12_</v>
      </c>
      <c r="D3010">
        <v>0</v>
      </c>
      <c r="E3010">
        <v>0</v>
      </c>
      <c r="F3010" t="s">
        <v>0</v>
      </c>
      <c r="G3010" t="str" cm="1">
        <f t="array" ref="G3010" xml:space="preserve"> FindCountryName(F3010)</f>
        <v>None</v>
      </c>
      <c r="H3010" s="1">
        <v>45260.003460648149</v>
      </c>
      <c r="I3010" s="1">
        <v>45260.003460648149</v>
      </c>
      <c r="J3010" s="1">
        <v>41412.207754629628</v>
      </c>
      <c r="K3010" cm="1">
        <f t="array" ref="K3010" xml:space="preserve"> sentimentCalc(C3010)</f>
        <v>4</v>
      </c>
      <c r="L3010" t="str" cm="1">
        <f t="array" ref="L3010" xml:space="preserve"> sentimentCategory(K3010)</f>
        <v>Positive</v>
      </c>
    </row>
    <row r="3011" spans="1:12">
      <c r="A3011" t="s">
        <v>291</v>
      </c>
      <c r="B3011" t="s">
        <v>854</v>
      </c>
      <c r="C3011" t="str" cm="1">
        <f t="array" ref="C3011" xml:space="preserve"> CleanText(B3011)</f>
        <v>i have been waiting for a new avatar the last air bender movie for years and now many many years later it finally gets made and out of all the companies in the world netflix stepped up im not a netflix fan because of all the woke and untasteful things they have pumped out im very grateful so im going to give them  out of 0 stars thank you netflix</v>
      </c>
      <c r="D3011">
        <v>0</v>
      </c>
      <c r="E3011">
        <v>0</v>
      </c>
      <c r="F3011" t="s">
        <v>0</v>
      </c>
      <c r="G3011" t="str" cm="1">
        <f t="array" ref="G3011" xml:space="preserve"> FindCountryName(F3011)</f>
        <v>None</v>
      </c>
      <c r="H3011" s="1">
        <v>45259.998993055553</v>
      </c>
      <c r="I3011" s="1">
        <v>45259.998993055553</v>
      </c>
      <c r="J3011" s="1">
        <v>42211.525196759256</v>
      </c>
      <c r="K3011" cm="1">
        <f t="array" ref="K3011" xml:space="preserve"> sentimentCalc(C3011)</f>
        <v>8</v>
      </c>
      <c r="L3011" t="str" cm="1">
        <f t="array" ref="L3011" xml:space="preserve"> sentimentCategory(K3011)</f>
        <v>Positive</v>
      </c>
    </row>
    <row r="3012" spans="1:12">
      <c r="A3012" t="s">
        <v>853</v>
      </c>
      <c r="B3012" t="s">
        <v>852</v>
      </c>
      <c r="C3012" t="str" cm="1">
        <f t="array" ref="C3012" xml:space="preserve"> CleanText(B3012)</f>
        <v>wow theyre making the last airbender into a live action show for the first time ever</v>
      </c>
      <c r="D3012">
        <v>1</v>
      </c>
      <c r="E3012">
        <v>0</v>
      </c>
      <c r="F3012" t="s">
        <v>0</v>
      </c>
      <c r="G3012" t="str" cm="1">
        <f t="array" ref="G3012" xml:space="preserve"> FindCountryName(F3012)</f>
        <v>None</v>
      </c>
      <c r="H3012" s="1">
        <v>45259.966562499998</v>
      </c>
      <c r="I3012" s="1">
        <v>45259.966562499998</v>
      </c>
      <c r="J3012" s="1">
        <v>40758.755810185183</v>
      </c>
      <c r="K3012" cm="1">
        <f t="array" ref="K3012" xml:space="preserve"> sentimentCalc(C3012)</f>
        <v>4</v>
      </c>
      <c r="L3012" t="str" cm="1">
        <f t="array" ref="L3012" xml:space="preserve"> sentimentCategory(K3012)</f>
        <v>Positive</v>
      </c>
    </row>
    <row r="3013" spans="1:12">
      <c r="A3013" t="s">
        <v>591</v>
      </c>
      <c r="B3013" t="s">
        <v>851</v>
      </c>
      <c r="C3013" t="str" cm="1">
        <f t="array" ref="C3013" xml:space="preserve"> CleanText(B3013)</f>
        <v>justice has been done to this moviethank you netflix</v>
      </c>
      <c r="D3013">
        <v>1</v>
      </c>
      <c r="E3013">
        <v>0</v>
      </c>
      <c r="F3013" t="s">
        <v>0</v>
      </c>
      <c r="G3013" t="str" cm="1">
        <f t="array" ref="G3013" xml:space="preserve"> FindCountryName(F3013)</f>
        <v>None</v>
      </c>
      <c r="H3013" s="1">
        <v>45259.962326388886</v>
      </c>
      <c r="I3013" s="1">
        <v>45259.962326388886</v>
      </c>
      <c r="J3013" s="1">
        <v>43056.983310185184</v>
      </c>
      <c r="K3013" cm="1">
        <f t="array" ref="K3013" xml:space="preserve"> sentimentCalc(C3013)</f>
        <v>2</v>
      </c>
      <c r="L3013" t="str" cm="1">
        <f t="array" ref="L3013" xml:space="preserve"> sentimentCategory(K3013)</f>
        <v>Positive</v>
      </c>
    </row>
    <row r="3014" spans="1:12">
      <c r="A3014" t="s">
        <v>496</v>
      </c>
      <c r="B3014" t="s">
        <v>850</v>
      </c>
      <c r="C3014" t="str" cm="1">
        <f t="array" ref="C3014" xml:space="preserve"> CleanText(B3014)</f>
        <v>this actually looks promising hopefully the redemption arc begins tt</v>
      </c>
      <c r="D3014">
        <v>2</v>
      </c>
      <c r="E3014">
        <v>0</v>
      </c>
      <c r="F3014" t="s">
        <v>0</v>
      </c>
      <c r="G3014" t="str" cm="1">
        <f t="array" ref="G3014" xml:space="preserve"> FindCountryName(F3014)</f>
        <v>None</v>
      </c>
      <c r="H3014" s="1">
        <v>45259.916944444441</v>
      </c>
      <c r="I3014" s="1">
        <v>45259.916944444441</v>
      </c>
      <c r="J3014" s="1">
        <v>41716.759247685186</v>
      </c>
      <c r="K3014" cm="1">
        <f t="array" ref="K3014" xml:space="preserve"> sentimentCalc(C3014)</f>
        <v>2</v>
      </c>
      <c r="L3014" t="str" cm="1">
        <f t="array" ref="L3014" xml:space="preserve"> sentimentCategory(K3014)</f>
        <v>Positive</v>
      </c>
    </row>
    <row r="3015" spans="1:12">
      <c r="A3015" t="s">
        <v>849</v>
      </c>
      <c r="B3015" t="s">
        <v>848</v>
      </c>
      <c r="C3015" t="str" cm="1">
        <f t="array" ref="C3015" xml:space="preserve"> CleanText(B3015)</f>
        <v>st season will be solid nd season just okay rd season will be cancelled</v>
      </c>
      <c r="D3015">
        <v>1</v>
      </c>
      <c r="E3015">
        <v>1</v>
      </c>
      <c r="F3015" t="s">
        <v>0</v>
      </c>
      <c r="G3015" t="str" cm="1">
        <f t="array" ref="G3015" xml:space="preserve"> FindCountryName(F3015)</f>
        <v>None</v>
      </c>
      <c r="H3015" s="1">
        <v>45259.914363425924</v>
      </c>
      <c r="I3015" s="1">
        <v>45259.914363425924</v>
      </c>
      <c r="J3015" s="1">
        <v>40806.002916666665</v>
      </c>
      <c r="K3015" cm="1">
        <f t="array" ref="K3015" xml:space="preserve"> sentimentCalc(C3015)</f>
        <v>1</v>
      </c>
      <c r="L3015" t="str" cm="1">
        <f t="array" ref="L3015" xml:space="preserve"> sentimentCategory(K3015)</f>
        <v>Positive</v>
      </c>
    </row>
    <row r="3016" spans="1:12">
      <c r="A3016" t="s">
        <v>376</v>
      </c>
      <c r="B3016" t="s">
        <v>847</v>
      </c>
      <c r="C3016" t="str" cm="1">
        <f t="array" ref="C3016" xml:space="preserve"> CleanText(B3016)</f>
        <v>extremely happy that they are going with the same theme music this gives hope for something good and they have not tried distorting the original story line or the animations the original series music was top notch</v>
      </c>
      <c r="D3016">
        <v>45</v>
      </c>
      <c r="E3016">
        <v>1</v>
      </c>
      <c r="F3016" t="s">
        <v>610</v>
      </c>
      <c r="G3016" t="str" cm="1">
        <f t="array" ref="G3016" xml:space="preserve"> FindCountryName(F3016)</f>
        <v>Sri Lanka</v>
      </c>
      <c r="H3016" s="1">
        <v>45259.896851851852</v>
      </c>
      <c r="I3016" s="1">
        <v>45259.896851851852</v>
      </c>
      <c r="J3016" s="1">
        <v>42862.771805555552</v>
      </c>
      <c r="K3016" cm="1">
        <f t="array" ref="K3016" xml:space="preserve"> sentimentCalc(C3016)</f>
        <v>8</v>
      </c>
      <c r="L3016" t="str" cm="1">
        <f t="array" ref="L3016" xml:space="preserve"> sentimentCategory(K3016)</f>
        <v>Positive</v>
      </c>
    </row>
    <row r="3017" spans="1:12">
      <c r="A3017" t="s">
        <v>445</v>
      </c>
      <c r="B3017" t="s">
        <v>846</v>
      </c>
      <c r="C3017" t="str" cm="1">
        <f t="array" ref="C3017" xml:space="preserve"> CleanText(B3017)</f>
        <v>whats the difference of the the last airbender  to this 4?</v>
      </c>
      <c r="D3017">
        <v>1</v>
      </c>
      <c r="E3017">
        <v>2</v>
      </c>
      <c r="F3017" t="s">
        <v>0</v>
      </c>
      <c r="G3017" t="str" cm="1">
        <f t="array" ref="G3017" xml:space="preserve"> FindCountryName(F3017)</f>
        <v>None</v>
      </c>
      <c r="H3017" s="1">
        <v>45259.878113425926</v>
      </c>
      <c r="I3017" s="1">
        <v>45259.878113425926</v>
      </c>
      <c r="J3017" s="1">
        <v>43842.208495370367</v>
      </c>
      <c r="K3017" cm="1">
        <f t="array" ref="K3017" xml:space="preserve"> sentimentCalc(C3017)</f>
        <v>0</v>
      </c>
      <c r="L3017" t="str" cm="1">
        <f t="array" ref="L3017" xml:space="preserve"> sentimentCategory(K3017)</f>
        <v>Neutral</v>
      </c>
    </row>
    <row r="3018" spans="1:12">
      <c r="A3018" t="s">
        <v>845</v>
      </c>
      <c r="B3018" t="s">
        <v>844</v>
      </c>
      <c r="C3018" t="str" cm="1">
        <f t="array" ref="C3018" xml:space="preserve"> CleanText(B3018)</f>
        <v>well this looks promising</v>
      </c>
      <c r="D3018">
        <v>2</v>
      </c>
      <c r="E3018">
        <v>0</v>
      </c>
      <c r="F3018" t="s">
        <v>0</v>
      </c>
      <c r="G3018" t="str" cm="1">
        <f t="array" ref="G3018" xml:space="preserve"> FindCountryName(F3018)</f>
        <v>None</v>
      </c>
      <c r="H3018" s="1">
        <v>45259.860289351855</v>
      </c>
      <c r="I3018" s="1">
        <v>45259.860289351855</v>
      </c>
      <c r="J3018" s="1">
        <v>44477.354791666665</v>
      </c>
      <c r="K3018" cm="1">
        <f t="array" ref="K3018" xml:space="preserve"> sentimentCalc(C3018)</f>
        <v>0</v>
      </c>
      <c r="L3018" t="str" cm="1">
        <f t="array" ref="L3018" xml:space="preserve"> sentimentCategory(K3018)</f>
        <v>Neutral</v>
      </c>
    </row>
    <row r="3019" spans="1:12">
      <c r="A3019" t="s">
        <v>843</v>
      </c>
      <c r="B3019" t="s">
        <v>842</v>
      </c>
      <c r="C3019" t="str" cm="1">
        <f t="array" ref="C3019" xml:space="preserve"> CleanText(B3019)</f>
        <v>like the actors in the last movie were good its just the script</v>
      </c>
      <c r="D3019">
        <v>1</v>
      </c>
      <c r="E3019">
        <v>1</v>
      </c>
      <c r="F3019" t="s">
        <v>0</v>
      </c>
      <c r="G3019" t="str" cm="1">
        <f t="array" ref="G3019" xml:space="preserve"> FindCountryName(F3019)</f>
        <v>None</v>
      </c>
      <c r="H3019" s="1">
        <v>45259.856724537036</v>
      </c>
      <c r="I3019" s="1">
        <v>45259.856724537036</v>
      </c>
      <c r="J3019" s="1">
        <v>41771.725543981483</v>
      </c>
      <c r="K3019" cm="1">
        <f t="array" ref="K3019" xml:space="preserve"> sentimentCalc(C3019)</f>
        <v>5</v>
      </c>
      <c r="L3019" t="str" cm="1">
        <f t="array" ref="L3019" xml:space="preserve"> sentimentCategory(K3019)</f>
        <v>Positive</v>
      </c>
    </row>
    <row r="3020" spans="1:12">
      <c r="A3020" t="s">
        <v>367</v>
      </c>
      <c r="B3020" t="s">
        <v>841</v>
      </c>
      <c r="C3020" t="str" cm="1">
        <f t="array" ref="C3020" xml:space="preserve"> CleanText(B3020)</f>
        <v>doesnt make sense to me</v>
      </c>
      <c r="D3020">
        <v>0</v>
      </c>
      <c r="E3020">
        <v>0</v>
      </c>
      <c r="F3020" t="s">
        <v>0</v>
      </c>
      <c r="G3020" t="str" cm="1">
        <f t="array" ref="G3020" xml:space="preserve"> FindCountryName(F3020)</f>
        <v>None</v>
      </c>
      <c r="H3020" s="1">
        <v>45259.837314814817</v>
      </c>
      <c r="I3020" s="1">
        <v>45259.837314814817</v>
      </c>
      <c r="J3020" s="1">
        <v>44602.823009259257</v>
      </c>
      <c r="K3020" cm="1">
        <f t="array" ref="K3020" xml:space="preserve"> sentimentCalc(C3020)</f>
        <v>0</v>
      </c>
      <c r="L3020" t="str" cm="1">
        <f t="array" ref="L3020" xml:space="preserve"> sentimentCategory(K3020)</f>
        <v>Neutral</v>
      </c>
    </row>
    <row r="3021" spans="1:12">
      <c r="A3021" t="s">
        <v>367</v>
      </c>
      <c r="B3021" t="s">
        <v>840</v>
      </c>
      <c r="C3021" t="str" cm="1">
        <f t="array" ref="C3021" xml:space="preserve"> CleanText(B3021)</f>
        <v>movie not necessary</v>
      </c>
      <c r="D3021">
        <v>0</v>
      </c>
      <c r="E3021">
        <v>1</v>
      </c>
      <c r="F3021" t="s">
        <v>0</v>
      </c>
      <c r="G3021" t="str" cm="1">
        <f t="array" ref="G3021" xml:space="preserve"> FindCountryName(F3021)</f>
        <v>None</v>
      </c>
      <c r="H3021" s="1">
        <v>45259.837037037039</v>
      </c>
      <c r="I3021" s="1">
        <v>45259.837037037039</v>
      </c>
      <c r="J3021" s="1">
        <v>44602.823009259257</v>
      </c>
      <c r="K3021" cm="1">
        <f t="array" ref="K3021" xml:space="preserve"> sentimentCalc(C3021)</f>
        <v>0</v>
      </c>
      <c r="L3021" t="str" cm="1">
        <f t="array" ref="L3021" xml:space="preserve"> sentimentCategory(K3021)</f>
        <v>Neutral</v>
      </c>
    </row>
    <row r="3022" spans="1:12">
      <c r="A3022" t="s">
        <v>582</v>
      </c>
      <c r="B3022" t="s">
        <v>839</v>
      </c>
      <c r="C3022" t="str" cm="1">
        <f t="array" ref="C3022" xml:space="preserve"> CleanText(B3022)</f>
        <v>esa no es katara _xDE25_</v>
      </c>
      <c r="D3022">
        <v>0</v>
      </c>
      <c r="E3022">
        <v>1</v>
      </c>
      <c r="F3022" t="s">
        <v>0</v>
      </c>
      <c r="G3022" t="str" cm="1">
        <f t="array" ref="G3022" xml:space="preserve"> FindCountryName(F3022)</f>
        <v>None</v>
      </c>
      <c r="H3022" s="1">
        <v>45259.824953703705</v>
      </c>
      <c r="I3022" s="1">
        <v>45259.824953703705</v>
      </c>
      <c r="J3022" s="1">
        <v>41487.60528935185</v>
      </c>
      <c r="K3022" cm="1">
        <f t="array" ref="K3022" xml:space="preserve"> sentimentCalc(C3022)</f>
        <v>-1</v>
      </c>
      <c r="L3022" t="str" cm="1">
        <f t="array" ref="L3022" xml:space="preserve"> sentimentCategory(K3022)</f>
        <v>Negative</v>
      </c>
    </row>
    <row r="3023" spans="1:12">
      <c r="A3023" t="s">
        <v>838</v>
      </c>
      <c r="B3023" t="s">
        <v>837</v>
      </c>
      <c r="C3023" t="str" cm="1">
        <f t="array" ref="C3023" xml:space="preserve"> CleanText(B3023)</f>
        <v>im surprised hes  white</v>
      </c>
      <c r="D3023">
        <v>0</v>
      </c>
      <c r="E3023">
        <v>1</v>
      </c>
      <c r="F3023" t="s">
        <v>0</v>
      </c>
      <c r="G3023" t="str" cm="1">
        <f t="array" ref="G3023" xml:space="preserve"> FindCountryName(F3023)</f>
        <v>None</v>
      </c>
      <c r="H3023" s="1">
        <v>45259.817407407405</v>
      </c>
      <c r="I3023" s="1">
        <v>45259.817407407405</v>
      </c>
      <c r="J3023" s="1">
        <v>39217.819293981483</v>
      </c>
      <c r="K3023" cm="1">
        <f t="array" ref="K3023" xml:space="preserve"> sentimentCalc(C3023)</f>
        <v>0</v>
      </c>
      <c r="L3023" t="str" cm="1">
        <f t="array" ref="L3023" xml:space="preserve"> sentimentCategory(K3023)</f>
        <v>Neutral</v>
      </c>
    </row>
    <row r="3024" spans="1:12">
      <c r="A3024" t="s">
        <v>836</v>
      </c>
      <c r="B3024" t="s">
        <v>835</v>
      </c>
      <c r="C3024" t="str" cm="1">
        <f t="array" ref="C3024" xml:space="preserve"> CleanText(B3024)</f>
        <v>hope this one doesnt have the floating rock thing</v>
      </c>
      <c r="D3024">
        <v>2</v>
      </c>
      <c r="E3024">
        <v>3</v>
      </c>
      <c r="F3024" t="s">
        <v>0</v>
      </c>
      <c r="G3024" t="str" cm="1">
        <f t="array" ref="G3024" xml:space="preserve"> FindCountryName(F3024)</f>
        <v>None</v>
      </c>
      <c r="H3024" s="1">
        <v>45259.800532407404</v>
      </c>
      <c r="I3024" s="1">
        <v>45259.800532407404</v>
      </c>
      <c r="J3024" s="1">
        <v>40855.168796296297</v>
      </c>
      <c r="K3024" cm="1">
        <f t="array" ref="K3024" xml:space="preserve"> sentimentCalc(C3024)</f>
        <v>2</v>
      </c>
      <c r="L3024" t="str" cm="1">
        <f t="array" ref="L3024" xml:space="preserve"> sentimentCategory(K3024)</f>
        <v>Positive</v>
      </c>
    </row>
    <row r="3025" spans="1:12">
      <c r="A3025" t="s">
        <v>834</v>
      </c>
      <c r="B3025" t="s">
        <v>833</v>
      </c>
      <c r="C3025" t="str" cm="1">
        <f t="array" ref="C3025" xml:space="preserve"> CleanText(B3025)</f>
        <v>i hope they didnt this woke i get people are excited but dont let this blind you all to the bs that may appear in it regardless i hope it does do well and to be honest the mnight version is bad but it had its good moments anyway i will wait until i watch it to comment furthernetflix you better have gotten this right you feel me</v>
      </c>
      <c r="D3025">
        <v>1</v>
      </c>
      <c r="E3025">
        <v>0</v>
      </c>
      <c r="F3025" t="s">
        <v>0</v>
      </c>
      <c r="G3025" t="str" cm="1">
        <f t="array" ref="G3025" xml:space="preserve"> FindCountryName(F3025)</f>
        <v>None</v>
      </c>
      <c r="H3025" s="1">
        <v>45259.779444444444</v>
      </c>
      <c r="I3025" s="1">
        <v>45259.779444444444</v>
      </c>
      <c r="J3025" s="1">
        <v>44636.460590277777</v>
      </c>
      <c r="K3025" cm="1">
        <f t="array" ref="K3025" xml:space="preserve"> sentimentCalc(C3025)</f>
        <v>10</v>
      </c>
      <c r="L3025" t="str" cm="1">
        <f t="array" ref="L3025" xml:space="preserve"> sentimentCategory(K3025)</f>
        <v>Positive</v>
      </c>
    </row>
    <row r="3026" spans="1:12">
      <c r="A3026" t="s">
        <v>578</v>
      </c>
      <c r="B3026" t="s">
        <v>832</v>
      </c>
      <c r="C3026" t="str" cm="1">
        <f t="array" ref="C3026" xml:space="preserve"> CleanText(B3026)</f>
        <v>why not just drop the anime again</v>
      </c>
      <c r="D3026">
        <v>2</v>
      </c>
      <c r="E3026">
        <v>3</v>
      </c>
      <c r="F3026" t="s">
        <v>0</v>
      </c>
      <c r="G3026" t="str" cm="1">
        <f t="array" ref="G3026" xml:space="preserve"> FindCountryName(F3026)</f>
        <v>None</v>
      </c>
      <c r="H3026" s="1">
        <v>45259.769548611112</v>
      </c>
      <c r="I3026" s="1">
        <v>45259.769548611112</v>
      </c>
      <c r="J3026" s="1">
        <v>43331.030405092592</v>
      </c>
      <c r="K3026" cm="1">
        <f t="array" ref="K3026" xml:space="preserve"> sentimentCalc(C3026)</f>
        <v>-1</v>
      </c>
      <c r="L3026" t="str" cm="1">
        <f t="array" ref="L3026" xml:space="preserve"> sentimentCategory(K3026)</f>
        <v>Negative</v>
      </c>
    </row>
    <row r="3027" spans="1:12">
      <c r="A3027" t="s">
        <v>204</v>
      </c>
      <c r="B3027" t="s">
        <v>831</v>
      </c>
      <c r="C3027" t="str" cm="1">
        <f t="array" ref="C3027" xml:space="preserve"> CleanText(B3027)</f>
        <v>will netflix screw up another series like they did with witcher  time will tell</v>
      </c>
      <c r="D3027">
        <v>1</v>
      </c>
      <c r="E3027">
        <v>0</v>
      </c>
      <c r="F3027" t="s">
        <v>0</v>
      </c>
      <c r="G3027" t="str" cm="1">
        <f t="array" ref="G3027" xml:space="preserve"> FindCountryName(F3027)</f>
        <v>None</v>
      </c>
      <c r="H3027" s="1">
        <v>45259.765775462962</v>
      </c>
      <c r="I3027" s="1">
        <v>45259.765775462962</v>
      </c>
      <c r="J3027" s="1">
        <v>39531.647569444445</v>
      </c>
      <c r="K3027" cm="1">
        <f t="array" ref="K3027" xml:space="preserve"> sentimentCalc(C3027)</f>
        <v>2</v>
      </c>
      <c r="L3027" t="str" cm="1">
        <f t="array" ref="L3027" xml:space="preserve"> sentimentCategory(K3027)</f>
        <v>Positive</v>
      </c>
    </row>
    <row r="3028" spans="1:12">
      <c r="A3028" t="s">
        <v>830</v>
      </c>
      <c r="B3028" t="s">
        <v>829</v>
      </c>
      <c r="C3028" t="str" cm="1">
        <f t="array" ref="C3028" xml:space="preserve"> CleanText(B3028)</f>
        <v>pleasepleasepleaseplease dont suck</v>
      </c>
      <c r="D3028">
        <v>1</v>
      </c>
      <c r="E3028">
        <v>0</v>
      </c>
      <c r="F3028" t="s">
        <v>0</v>
      </c>
      <c r="G3028" t="str" cm="1">
        <f t="array" ref="G3028" xml:space="preserve"> FindCountryName(F3028)</f>
        <v>None</v>
      </c>
      <c r="H3028" s="1">
        <v>45259.757719907408</v>
      </c>
      <c r="I3028" s="1">
        <v>45259.757719907408</v>
      </c>
      <c r="J3028" s="1">
        <v>41643.922766203701</v>
      </c>
      <c r="K3028" cm="1">
        <f t="array" ref="K3028" xml:space="preserve"> sentimentCalc(C3028)</f>
        <v>-3</v>
      </c>
      <c r="L3028" t="str" cm="1">
        <f t="array" ref="L3028" xml:space="preserve"> sentimentCategory(K3028)</f>
        <v>Negative</v>
      </c>
    </row>
    <row r="3029" spans="1:12">
      <c r="A3029" t="s">
        <v>320</v>
      </c>
      <c r="B3029" t="s">
        <v>828</v>
      </c>
      <c r="C3029" t="str" cm="1">
        <f t="array" ref="C3029" xml:space="preserve"> CleanText(B3029)</f>
        <v>looks like trash aang still a white canadian kid lets see what else they white wash _xDE2E_</v>
      </c>
      <c r="D3029">
        <v>0</v>
      </c>
      <c r="E3029">
        <v>1</v>
      </c>
      <c r="F3029" t="s">
        <v>0</v>
      </c>
      <c r="G3029" t="str" cm="1">
        <f t="array" ref="G3029" xml:space="preserve"> FindCountryName(F3029)</f>
        <v>None</v>
      </c>
      <c r="H3029" s="1">
        <v>45259.755983796298</v>
      </c>
      <c r="I3029" s="1">
        <v>45259.755983796298</v>
      </c>
      <c r="J3029" s="1">
        <v>41335.110138888886</v>
      </c>
      <c r="K3029" cm="1">
        <f t="array" ref="K3029" xml:space="preserve"> sentimentCalc(C3029)</f>
        <v>2</v>
      </c>
      <c r="L3029" t="str" cm="1">
        <f t="array" ref="L3029" xml:space="preserve"> sentimentCategory(K3029)</f>
        <v>Positive</v>
      </c>
    </row>
    <row r="3030" spans="1:12">
      <c r="A3030" t="s">
        <v>146</v>
      </c>
      <c r="B3030" t="s">
        <v>827</v>
      </c>
      <c r="C3030" t="str" cm="1">
        <f t="array" ref="C3030" xml:space="preserve"> CleanText(B3030)</f>
        <v>after how many years bri the last movie sucked timewise not to mention the to be contineud  only now do we get the following part fair to say i pretty much lost all interest</v>
      </c>
      <c r="D3030">
        <v>0</v>
      </c>
      <c r="E3030">
        <v>1</v>
      </c>
      <c r="F3030" t="s">
        <v>0</v>
      </c>
      <c r="G3030" t="str" cm="1">
        <f t="array" ref="G3030" xml:space="preserve"> FindCountryName(F3030)</f>
        <v>None</v>
      </c>
      <c r="H3030" s="1">
        <v>45259.747824074075</v>
      </c>
      <c r="I3030" s="1">
        <v>45259.747824074075</v>
      </c>
      <c r="J3030" s="1">
        <v>45259.747812499998</v>
      </c>
      <c r="K3030" cm="1">
        <f t="array" ref="K3030" xml:space="preserve"> sentimentCalc(C3030)</f>
        <v>1</v>
      </c>
      <c r="L3030" t="str" cm="1">
        <f t="array" ref="L3030" xml:space="preserve"> sentimentCategory(K3030)</f>
        <v>Positive</v>
      </c>
    </row>
    <row r="3031" spans="1:12">
      <c r="A3031" t="s">
        <v>826</v>
      </c>
      <c r="B3031" t="s">
        <v>825</v>
      </c>
      <c r="C3031" t="str" cm="1">
        <f t="array" ref="C3031" xml:space="preserve"> CleanText(B3031)</f>
        <v>i swear if they dont cast toph as a giant buff dude imma lose it</v>
      </c>
      <c r="D3031">
        <v>2</v>
      </c>
      <c r="E3031">
        <v>1</v>
      </c>
      <c r="F3031" t="s">
        <v>0</v>
      </c>
      <c r="G3031" t="str" cm="1">
        <f t="array" ref="G3031" xml:space="preserve"> FindCountryName(F3031)</f>
        <v>None</v>
      </c>
      <c r="H3031" s="1">
        <v>45259.734675925924</v>
      </c>
      <c r="I3031" s="1">
        <v>45259.734675925924</v>
      </c>
      <c r="J3031" s="1">
        <v>41755.532592592594</v>
      </c>
      <c r="K3031" cm="1">
        <f t="array" ref="K3031" xml:space="preserve"> sentimentCalc(C3031)</f>
        <v>-2</v>
      </c>
      <c r="L3031" t="str" cm="1">
        <f t="array" ref="L3031" xml:space="preserve"> sentimentCategory(K3031)</f>
        <v>Negative</v>
      </c>
    </row>
    <row r="3032" spans="1:12">
      <c r="A3032" t="s">
        <v>824</v>
      </c>
      <c r="B3032" t="s">
        <v>823</v>
      </c>
      <c r="C3032" t="str" cm="1">
        <f t="array" ref="C3032" xml:space="preserve"> CleanText(B3032)</f>
        <v>this looks like the avatar fans have been waiting for</v>
      </c>
      <c r="D3032">
        <v>1</v>
      </c>
      <c r="E3032">
        <v>0</v>
      </c>
      <c r="F3032" t="s">
        <v>0</v>
      </c>
      <c r="G3032" t="str" cm="1">
        <f t="array" ref="G3032" xml:space="preserve"> FindCountryName(F3032)</f>
        <v>None</v>
      </c>
      <c r="H3032" s="1">
        <v>45259.734351851854</v>
      </c>
      <c r="I3032" s="1">
        <v>45259.734351851854</v>
      </c>
      <c r="J3032" s="1">
        <v>41383.938888888886</v>
      </c>
      <c r="K3032" cm="1">
        <f t="array" ref="K3032" xml:space="preserve"> sentimentCalc(C3032)</f>
        <v>2</v>
      </c>
      <c r="L3032" t="str" cm="1">
        <f t="array" ref="L3032" xml:space="preserve"> sentimentCategory(K3032)</f>
        <v>Positive</v>
      </c>
    </row>
    <row r="3033" spans="1:12">
      <c r="A3033" t="s">
        <v>415</v>
      </c>
      <c r="B3033" t="s">
        <v>822</v>
      </c>
      <c r="C3033" t="str" cm="1">
        <f t="array" ref="C3033" xml:space="preserve"> CleanText(B3033)</f>
        <v>i think animated series still better than this</v>
      </c>
      <c r="D3033">
        <v>2</v>
      </c>
      <c r="E3033">
        <v>1</v>
      </c>
      <c r="F3033" t="s">
        <v>19</v>
      </c>
      <c r="G3033" t="str" cm="1">
        <f t="array" ref="G3033" xml:space="preserve"> FindCountryName(F3033)</f>
        <v>United States of America (the)</v>
      </c>
      <c r="H3033" s="1">
        <v>45259.71570601852</v>
      </c>
      <c r="I3033" s="1">
        <v>45259.71570601852</v>
      </c>
      <c r="J3033" s="1">
        <v>41992.903680555559</v>
      </c>
      <c r="K3033" cm="1">
        <f t="array" ref="K3033" xml:space="preserve"> sentimentCalc(C3033)</f>
        <v>2</v>
      </c>
      <c r="L3033" t="str" cm="1">
        <f t="array" ref="L3033" xml:space="preserve"> sentimentCategory(K3033)</f>
        <v>Positive</v>
      </c>
    </row>
    <row r="3034" spans="1:12">
      <c r="A3034" t="s">
        <v>821</v>
      </c>
      <c r="B3034" t="s">
        <v>820</v>
      </c>
      <c r="C3034" t="str" cm="1">
        <f t="array" ref="C3034" xml:space="preserve"> CleanText(B3034)</f>
        <v>dear netflix  please do all the movies dc has already done me wrong  i dont think i could take another hit smh</v>
      </c>
      <c r="D3034">
        <v>1</v>
      </c>
      <c r="E3034">
        <v>1</v>
      </c>
      <c r="F3034" t="s">
        <v>0</v>
      </c>
      <c r="G3034" t="str" cm="1">
        <f t="array" ref="G3034" xml:space="preserve"> FindCountryName(F3034)</f>
        <v>None</v>
      </c>
      <c r="H3034" s="1">
        <v>45259.712638888886</v>
      </c>
      <c r="I3034" s="1">
        <v>45259.712638888886</v>
      </c>
      <c r="J3034" s="1">
        <v>40936.863206018519</v>
      </c>
      <c r="K3034" cm="1">
        <f t="array" ref="K3034" xml:space="preserve"> sentimentCalc(C3034)</f>
        <v>1</v>
      </c>
      <c r="L3034" t="str" cm="1">
        <f t="array" ref="L3034" xml:space="preserve"> sentimentCategory(K3034)</f>
        <v>Positive</v>
      </c>
    </row>
    <row r="3035" spans="1:12">
      <c r="A3035" t="s">
        <v>445</v>
      </c>
      <c r="B3035" t="s">
        <v>819</v>
      </c>
      <c r="C3035" t="str" cm="1">
        <f t="array" ref="C3035" xml:space="preserve"> CleanText(B3035)</f>
        <v>this is dumb just continue the animation</v>
      </c>
      <c r="D3035">
        <v>0</v>
      </c>
      <c r="E3035">
        <v>1</v>
      </c>
      <c r="F3035" t="s">
        <v>0</v>
      </c>
      <c r="G3035" t="str" cm="1">
        <f t="array" ref="G3035" xml:space="preserve"> FindCountryName(F3035)</f>
        <v>None</v>
      </c>
      <c r="H3035" s="1">
        <v>45259.702245370368</v>
      </c>
      <c r="I3035" s="1">
        <v>45259.702245370368</v>
      </c>
      <c r="J3035" s="1">
        <v>43643.797615740739</v>
      </c>
      <c r="K3035" cm="1">
        <f t="array" ref="K3035" xml:space="preserve"> sentimentCalc(C3035)</f>
        <v>-3</v>
      </c>
      <c r="L3035" t="str" cm="1">
        <f t="array" ref="L3035" xml:space="preserve"> sentimentCategory(K3035)</f>
        <v>Negative</v>
      </c>
    </row>
    <row r="3036" spans="1:12">
      <c r="A3036" t="s">
        <v>818</v>
      </c>
      <c r="B3036" t="s">
        <v>817</v>
      </c>
      <c r="C3036" t="str" cm="1">
        <f t="array" ref="C3036" xml:space="preserve"> CleanText(B3036)</f>
        <v>this looks good</v>
      </c>
      <c r="D3036">
        <v>1</v>
      </c>
      <c r="E3036">
        <v>0</v>
      </c>
      <c r="F3036" t="s">
        <v>0</v>
      </c>
      <c r="G3036" t="str" cm="1">
        <f t="array" ref="G3036" xml:space="preserve"> FindCountryName(F3036)</f>
        <v>None</v>
      </c>
      <c r="H3036" s="1">
        <v>45259.696226851855</v>
      </c>
      <c r="I3036" s="1">
        <v>45259.696226851855</v>
      </c>
      <c r="J3036" s="1">
        <v>44555.558715277781</v>
      </c>
      <c r="K3036" cm="1">
        <f t="array" ref="K3036" xml:space="preserve"> sentimentCalc(C3036)</f>
        <v>3</v>
      </c>
      <c r="L3036" t="str" cm="1">
        <f t="array" ref="L3036" xml:space="preserve"> sentimentCategory(K3036)</f>
        <v>Positive</v>
      </c>
    </row>
    <row r="3037" spans="1:12">
      <c r="A3037" t="s">
        <v>816</v>
      </c>
      <c r="B3037" t="s">
        <v>815</v>
      </c>
      <c r="C3037" t="str" cm="1">
        <f t="array" ref="C3037" xml:space="preserve"> CleanText(B3037)</f>
        <v>bring back the indian fire nation</v>
      </c>
      <c r="D3037">
        <v>1</v>
      </c>
      <c r="E3037">
        <v>3</v>
      </c>
      <c r="F3037" t="s">
        <v>0</v>
      </c>
      <c r="G3037" t="str" cm="1">
        <f t="array" ref="G3037" xml:space="preserve"> FindCountryName(F3037)</f>
        <v>None</v>
      </c>
      <c r="H3037" s="1">
        <v>45259.691006944442</v>
      </c>
      <c r="I3037" s="1">
        <v>45259.691006944442</v>
      </c>
      <c r="J3037" s="1">
        <v>44948.435520833336</v>
      </c>
      <c r="K3037" cm="1">
        <f t="array" ref="K3037" xml:space="preserve"> sentimentCalc(C3037)</f>
        <v>-2</v>
      </c>
      <c r="L3037" t="str" cm="1">
        <f t="array" ref="L3037" xml:space="preserve"> sentimentCategory(K3037)</f>
        <v>Negative</v>
      </c>
    </row>
    <row r="3038" spans="1:12">
      <c r="A3038" t="s">
        <v>814</v>
      </c>
      <c r="B3038" t="s">
        <v>813</v>
      </c>
      <c r="C3038" t="str" cm="1">
        <f t="array" ref="C3038" xml:space="preserve"> CleanText(B3038)</f>
        <v>exciting❤</v>
      </c>
      <c r="D3038">
        <v>1</v>
      </c>
      <c r="E3038">
        <v>0</v>
      </c>
      <c r="F3038" t="s">
        <v>39</v>
      </c>
      <c r="G3038" t="str" cm="1">
        <f t="array" ref="G3038" xml:space="preserve"> FindCountryName(F3038)</f>
        <v>United Kingdom of Great Britain and Northern Ireland (the)</v>
      </c>
      <c r="H3038" s="1">
        <v>45259.65016203704</v>
      </c>
      <c r="I3038" s="1">
        <v>45259.65016203704</v>
      </c>
      <c r="J3038" s="1">
        <v>44084.686099537037</v>
      </c>
      <c r="K3038" cm="1">
        <f t="array" ref="K3038" xml:space="preserve"> sentimentCalc(C3038)</f>
        <v>0</v>
      </c>
      <c r="L3038" t="str" cm="1">
        <f t="array" ref="L3038" xml:space="preserve"> sentimentCategory(K3038)</f>
        <v>Neutral</v>
      </c>
    </row>
    <row r="3039" spans="1:12">
      <c r="A3039" t="s">
        <v>139</v>
      </c>
      <c r="B3039" t="s">
        <v>812</v>
      </c>
      <c r="C3039" t="str" cm="1">
        <f t="array" ref="C3039" xml:space="preserve"> CleanText(B3039)</f>
        <v>im kinda scared about how this could go its a 00 chance it could be good or shit</v>
      </c>
      <c r="D3039">
        <v>1</v>
      </c>
      <c r="E3039">
        <v>0</v>
      </c>
      <c r="F3039" t="s">
        <v>112</v>
      </c>
      <c r="G3039" t="str" cm="1">
        <f t="array" ref="G3039" xml:space="preserve"> FindCountryName(F3039)</f>
        <v>Canada</v>
      </c>
      <c r="H3039" s="1">
        <v>45259.641006944446</v>
      </c>
      <c r="I3039" s="1">
        <v>45259.641006944446</v>
      </c>
      <c r="J3039" s="1">
        <v>40378.363981481481</v>
      </c>
      <c r="K3039" cm="1">
        <f t="array" ref="K3039" xml:space="preserve"> sentimentCalc(C3039)</f>
        <v>3</v>
      </c>
      <c r="L3039" t="str" cm="1">
        <f t="array" ref="L3039" xml:space="preserve"> sentimentCategory(K3039)</f>
        <v>Positive</v>
      </c>
    </row>
    <row r="3040" spans="1:12">
      <c r="A3040" t="s">
        <v>779</v>
      </c>
      <c r="B3040" t="s">
        <v>811</v>
      </c>
      <c r="C3040" t="str" cm="1">
        <f t="array" ref="C3040" xml:space="preserve"> CleanText(B3040)</f>
        <v>mhmzu viel greenscreen wieder mal gnstig produziert um den mainstream zu befriedigen</v>
      </c>
      <c r="D3040">
        <v>0</v>
      </c>
      <c r="E3040">
        <v>0</v>
      </c>
      <c r="F3040" t="s">
        <v>0</v>
      </c>
      <c r="G3040" t="str" cm="1">
        <f t="array" ref="G3040" xml:space="preserve"> FindCountryName(F3040)</f>
        <v>None</v>
      </c>
      <c r="H3040" s="1">
        <v>45259.63894675926</v>
      </c>
      <c r="I3040" s="1">
        <v>45259.63894675926</v>
      </c>
      <c r="J3040" s="1">
        <v>41528.483796296299</v>
      </c>
      <c r="K3040" cm="1">
        <f t="array" ref="K3040" xml:space="preserve"> sentimentCalc(C3040)</f>
        <v>0</v>
      </c>
      <c r="L3040" t="str" cm="1">
        <f t="array" ref="L3040" xml:space="preserve"> sentimentCategory(K3040)</f>
        <v>Neutral</v>
      </c>
    </row>
    <row r="3041" spans="1:12">
      <c r="A3041" t="s">
        <v>810</v>
      </c>
      <c r="B3041" t="s">
        <v>809</v>
      </c>
      <c r="C3041" t="str" cm="1">
        <f t="array" ref="C3041" xml:space="preserve"> CleanText(B3041)</f>
        <v>animation version is much better than this</v>
      </c>
      <c r="D3041">
        <v>1</v>
      </c>
      <c r="E3041">
        <v>1</v>
      </c>
      <c r="F3041" t="s">
        <v>0</v>
      </c>
      <c r="G3041" t="str" cm="1">
        <f t="array" ref="G3041" xml:space="preserve"> FindCountryName(F3041)</f>
        <v>None</v>
      </c>
      <c r="H3041" s="1">
        <v>45259.63616898148</v>
      </c>
      <c r="I3041" s="1">
        <v>45259.63616898148</v>
      </c>
      <c r="J3041" s="1">
        <v>40817.247569444444</v>
      </c>
      <c r="K3041" cm="1">
        <f t="array" ref="K3041" xml:space="preserve"> sentimentCalc(C3041)</f>
        <v>2</v>
      </c>
      <c r="L3041" t="str" cm="1">
        <f t="array" ref="L3041" xml:space="preserve"> sentimentCategory(K3041)</f>
        <v>Positive</v>
      </c>
    </row>
    <row r="3042" spans="1:12">
      <c r="A3042" t="s">
        <v>808</v>
      </c>
      <c r="B3042" t="s">
        <v>807</v>
      </c>
      <c r="C3042" t="str" cm="1">
        <f t="array" ref="C3042" xml:space="preserve"> CleanText(B3042)</f>
        <v>i love this cant wait to see it how it looks like in real life just want them to make it awesome without skipping any event and also please make prequels on avatar kyoshi and roku like show there stories too how kyoshi became cold and most powerfull avatar and her next life roku how he lost his battle</v>
      </c>
      <c r="D3042">
        <v>1</v>
      </c>
      <c r="E3042">
        <v>0</v>
      </c>
      <c r="F3042" t="s">
        <v>0</v>
      </c>
      <c r="G3042" t="str" cm="1">
        <f t="array" ref="G3042" xml:space="preserve"> FindCountryName(F3042)</f>
        <v>None</v>
      </c>
      <c r="H3042" s="1">
        <v>45259.594166666669</v>
      </c>
      <c r="I3042" s="1">
        <v>45259.594166666669</v>
      </c>
      <c r="J3042" s="1">
        <v>44338.443425925929</v>
      </c>
      <c r="K3042" cm="1">
        <f t="array" ref="K3042" xml:space="preserve"> sentimentCalc(C3042)</f>
        <v>9</v>
      </c>
      <c r="L3042" t="str" cm="1">
        <f t="array" ref="L3042" xml:space="preserve"> sentimentCategory(K3042)</f>
        <v>Positive</v>
      </c>
    </row>
    <row r="3043" spans="1:12">
      <c r="A3043" t="s">
        <v>806</v>
      </c>
      <c r="B3043" t="s">
        <v>805</v>
      </c>
      <c r="C3043" t="str" cm="1">
        <f t="array" ref="C3043" xml:space="preserve"> CleanText(B3043)</f>
        <v>this has better character selection actors than before</v>
      </c>
      <c r="D3043">
        <v>5</v>
      </c>
      <c r="E3043">
        <v>1</v>
      </c>
      <c r="F3043" t="s">
        <v>804</v>
      </c>
      <c r="G3043" t="str" cm="1">
        <f t="array" ref="G3043" xml:space="preserve"> FindCountryName(F3043)</f>
        <v>Nepal</v>
      </c>
      <c r="H3043" s="1">
        <v>45259.585798611108</v>
      </c>
      <c r="I3043" s="1">
        <v>45259.585798611108</v>
      </c>
      <c r="J3043" s="1">
        <v>41814.388726851852</v>
      </c>
      <c r="K3043" cm="1">
        <f t="array" ref="K3043" xml:space="preserve"> sentimentCalc(C3043)</f>
        <v>2</v>
      </c>
      <c r="L3043" t="str" cm="1">
        <f t="array" ref="L3043" xml:space="preserve"> sentimentCategory(K3043)</f>
        <v>Positive</v>
      </c>
    </row>
    <row r="3044" spans="1:12">
      <c r="A3044" t="s">
        <v>653</v>
      </c>
      <c r="B3044" t="s">
        <v>803</v>
      </c>
      <c r="C3044" t="str" cm="1">
        <f t="array" ref="C3044" xml:space="preserve"> CleanText(B3044)</f>
        <v>hell yea</v>
      </c>
      <c r="D3044">
        <v>1</v>
      </c>
      <c r="E3044">
        <v>0</v>
      </c>
      <c r="F3044" t="s">
        <v>0</v>
      </c>
      <c r="G3044" t="str" cm="1">
        <f t="array" ref="G3044" xml:space="preserve"> FindCountryName(F3044)</f>
        <v>None</v>
      </c>
      <c r="H3044" s="1">
        <v>45259.585173611114</v>
      </c>
      <c r="I3044" s="1">
        <v>45259.585173611114</v>
      </c>
      <c r="J3044" s="1">
        <v>42964.758391203701</v>
      </c>
      <c r="K3044" cm="1">
        <f t="array" ref="K3044" xml:space="preserve"> sentimentCalc(C3044)</f>
        <v>-4</v>
      </c>
      <c r="L3044" t="str" cm="1">
        <f t="array" ref="L3044" xml:space="preserve"> sentimentCategory(K3044)</f>
        <v>Negative</v>
      </c>
    </row>
    <row r="3045" spans="1:12">
      <c r="A3045" t="s">
        <v>802</v>
      </c>
      <c r="B3045" t="s">
        <v>801</v>
      </c>
      <c r="C3045" t="str" cm="1">
        <f t="array" ref="C3045" xml:space="preserve"> CleanText(B3045)</f>
        <v>yep yep jajaja ahora si se la rifaron y hasta se parecen los actores a los personajes jaja _xDC4D__xDC4D_</v>
      </c>
      <c r="D3045">
        <v>1</v>
      </c>
      <c r="E3045">
        <v>1</v>
      </c>
      <c r="F3045" t="s">
        <v>0</v>
      </c>
      <c r="G3045" t="str" cm="1">
        <f t="array" ref="G3045" xml:space="preserve"> FindCountryName(F3045)</f>
        <v>None</v>
      </c>
      <c r="H3045" s="1">
        <v>45259.530856481484</v>
      </c>
      <c r="I3045" s="1">
        <v>45259.530856481484</v>
      </c>
      <c r="J3045" s="1">
        <v>39520.83488425926</v>
      </c>
      <c r="K3045" cm="1">
        <f t="array" ref="K3045" xml:space="preserve"> sentimentCalc(C3045)</f>
        <v>0</v>
      </c>
      <c r="L3045" t="str" cm="1">
        <f t="array" ref="L3045" xml:space="preserve"> sentimentCategory(K3045)</f>
        <v>Neutral</v>
      </c>
    </row>
    <row r="3046" spans="1:12">
      <c r="A3046" t="s">
        <v>43</v>
      </c>
      <c r="B3046" t="s">
        <v>800</v>
      </c>
      <c r="C3046" t="str" cm="1">
        <f t="array" ref="C3046" xml:space="preserve"> CleanText(B3046)</f>
        <v>finally the real live action avatar</v>
      </c>
      <c r="D3046">
        <v>1</v>
      </c>
      <c r="E3046">
        <v>0</v>
      </c>
      <c r="F3046" t="s">
        <v>0</v>
      </c>
      <c r="G3046" t="str" cm="1">
        <f t="array" ref="G3046" xml:space="preserve"> FindCountryName(F3046)</f>
        <v>None</v>
      </c>
      <c r="H3046" s="1">
        <v>45259.505393518521</v>
      </c>
      <c r="I3046" s="1">
        <v>45259.505393518521</v>
      </c>
      <c r="J3046" s="1">
        <v>38943.457696759258</v>
      </c>
      <c r="K3046" cm="1">
        <f t="array" ref="K3046" xml:space="preserve"> sentimentCalc(C3046)</f>
        <v>0</v>
      </c>
      <c r="L3046" t="str" cm="1">
        <f t="array" ref="L3046" xml:space="preserve"> sentimentCategory(K3046)</f>
        <v>Neutral</v>
      </c>
    </row>
    <row r="3047" spans="1:12">
      <c r="A3047" t="s">
        <v>799</v>
      </c>
      <c r="B3047" t="s">
        <v>798</v>
      </c>
      <c r="C3047" t="str" cm="1">
        <f t="array" ref="C3047" xml:space="preserve"> CleanText(B3047)</f>
        <v>im really going crazy with happiness and im counting the minutes for it to come thank you netflix_xDE0D__xDD29_</v>
      </c>
      <c r="D3047">
        <v>2</v>
      </c>
      <c r="E3047">
        <v>0</v>
      </c>
      <c r="F3047" t="s">
        <v>0</v>
      </c>
      <c r="G3047" t="str" cm="1">
        <f t="array" ref="G3047" xml:space="preserve"> FindCountryName(F3047)</f>
        <v>None</v>
      </c>
      <c r="H3047" s="1">
        <v>45259.500300925924</v>
      </c>
      <c r="I3047" s="1">
        <v>45259.500300925924</v>
      </c>
      <c r="J3047" s="1">
        <v>45022.421493055554</v>
      </c>
      <c r="K3047" cm="1">
        <f t="array" ref="K3047" xml:space="preserve"> sentimentCalc(C3047)</f>
        <v>3</v>
      </c>
      <c r="L3047" t="str" cm="1">
        <f t="array" ref="L3047" xml:space="preserve"> sentimentCategory(K3047)</f>
        <v>Positive</v>
      </c>
    </row>
    <row r="3048" spans="1:12">
      <c r="A3048" t="s">
        <v>343</v>
      </c>
      <c r="B3048" t="s">
        <v>797</v>
      </c>
      <c r="C3048" t="str" cm="1">
        <f t="array" ref="C3048" xml:space="preserve"> CleanText(B3048)</f>
        <v>i just hope they dont make it too overly serious thats where live actions fail every single time</v>
      </c>
      <c r="D3048">
        <v>1</v>
      </c>
      <c r="E3048">
        <v>0</v>
      </c>
      <c r="F3048" t="s">
        <v>0</v>
      </c>
      <c r="G3048" t="str" cm="1">
        <f t="array" ref="G3048" xml:space="preserve"> FindCountryName(F3048)</f>
        <v>None</v>
      </c>
      <c r="H3048" s="1">
        <v>45259.494722222225</v>
      </c>
      <c r="I3048" s="1">
        <v>45259.494722222225</v>
      </c>
      <c r="J3048" s="1">
        <v>43258.180868055555</v>
      </c>
      <c r="K3048" cm="1">
        <f t="array" ref="K3048" xml:space="preserve"> sentimentCalc(C3048)</f>
        <v>0</v>
      </c>
      <c r="L3048" t="str" cm="1">
        <f t="array" ref="L3048" xml:space="preserve"> sentimentCategory(K3048)</f>
        <v>Neutral</v>
      </c>
    </row>
    <row r="3049" spans="1:12">
      <c r="A3049" t="s">
        <v>796</v>
      </c>
      <c r="B3049" t="s">
        <v>795</v>
      </c>
      <c r="C3049" t="str" cm="1">
        <f t="array" ref="C3049" xml:space="preserve"> CleanText(B3049)</f>
        <v>need a new avatar series not the avatar last airbender or legend of korra</v>
      </c>
      <c r="D3049">
        <v>0</v>
      </c>
      <c r="E3049">
        <v>4</v>
      </c>
      <c r="F3049" t="s">
        <v>98</v>
      </c>
      <c r="G3049" t="str" cm="1">
        <f t="array" ref="G3049" xml:space="preserve"> FindCountryName(F3049)</f>
        <v>India</v>
      </c>
      <c r="H3049" s="1">
        <v>45259.491203703707</v>
      </c>
      <c r="I3049" s="1">
        <v>45259.491203703707</v>
      </c>
      <c r="J3049" s="1">
        <v>44293.350590277776</v>
      </c>
      <c r="K3049" cm="1">
        <f t="array" ref="K3049" xml:space="preserve"> sentimentCalc(C3049)</f>
        <v>0</v>
      </c>
      <c r="L3049" t="str" cm="1">
        <f t="array" ref="L3049" xml:space="preserve"> sentimentCategory(K3049)</f>
        <v>Neutral</v>
      </c>
    </row>
    <row r="3050" spans="1:12">
      <c r="A3050" t="s">
        <v>97</v>
      </c>
      <c r="B3050" t="s">
        <v>794</v>
      </c>
      <c r="C3050" t="str" cm="1">
        <f t="array" ref="C3050" xml:space="preserve"> CleanText(B3050)</f>
        <v>ok this looks dope</v>
      </c>
      <c r="D3050">
        <v>1</v>
      </c>
      <c r="E3050">
        <v>1</v>
      </c>
      <c r="F3050" t="s">
        <v>0</v>
      </c>
      <c r="G3050" t="str" cm="1">
        <f t="array" ref="G3050" xml:space="preserve"> FindCountryName(F3050)</f>
        <v>None</v>
      </c>
      <c r="H3050" s="1">
        <v>45259.489074074074</v>
      </c>
      <c r="I3050" s="1">
        <v>45259.489074074074</v>
      </c>
      <c r="J3050" s="1">
        <v>40393.788518518515</v>
      </c>
      <c r="K3050" cm="1">
        <f t="array" ref="K3050" xml:space="preserve"> sentimentCalc(C3050)</f>
        <v>0</v>
      </c>
      <c r="L3050" t="str" cm="1">
        <f t="array" ref="L3050" xml:space="preserve"> sentimentCategory(K3050)</f>
        <v>Neutral</v>
      </c>
    </row>
    <row r="3051" spans="1:12">
      <c r="A3051" t="s">
        <v>793</v>
      </c>
      <c r="B3051" t="s">
        <v>792</v>
      </c>
      <c r="C3051" t="str" cm="1">
        <f t="array" ref="C3051" xml:space="preserve"> CleanText(B3051)</f>
        <v>5- the fact they got the zuko origin story right restored my faith in this series</v>
      </c>
      <c r="D3051">
        <v>1</v>
      </c>
      <c r="E3051">
        <v>0</v>
      </c>
      <c r="F3051" t="s">
        <v>0</v>
      </c>
      <c r="G3051" t="str" cm="1">
        <f t="array" ref="G3051" xml:space="preserve"> FindCountryName(F3051)</f>
        <v>None</v>
      </c>
      <c r="H3051" s="1">
        <v>45259.486527777779</v>
      </c>
      <c r="I3051" s="1">
        <v>45259.486527777779</v>
      </c>
      <c r="J3051" s="1">
        <v>41883.041458333333</v>
      </c>
      <c r="K3051" cm="1">
        <f t="array" ref="K3051" xml:space="preserve"> sentimentCalc(C3051)</f>
        <v>2</v>
      </c>
      <c r="L3051" t="str" cm="1">
        <f t="array" ref="L3051" xml:space="preserve"> sentimentCategory(K3051)</f>
        <v>Positive</v>
      </c>
    </row>
    <row r="3052" spans="1:12">
      <c r="A3052" t="s">
        <v>791</v>
      </c>
      <c r="B3052" t="s">
        <v>790</v>
      </c>
      <c r="C3052" t="str" cm="1">
        <f t="array" ref="C3052" xml:space="preserve"> CleanText(B3052)</f>
        <v>movie or series</v>
      </c>
      <c r="D3052">
        <v>1</v>
      </c>
      <c r="E3052">
        <v>1</v>
      </c>
      <c r="F3052" t="s">
        <v>0</v>
      </c>
      <c r="G3052" t="str" cm="1">
        <f t="array" ref="G3052" xml:space="preserve"> FindCountryName(F3052)</f>
        <v>None</v>
      </c>
      <c r="H3052" s="1">
        <v>45259.481527777774</v>
      </c>
      <c r="I3052" s="1">
        <v>45259.481527777774</v>
      </c>
      <c r="J3052" s="1">
        <v>41489.796249999999</v>
      </c>
      <c r="K3052" cm="1">
        <f t="array" ref="K3052" xml:space="preserve"> sentimentCalc(C3052)</f>
        <v>0</v>
      </c>
      <c r="L3052" t="str" cm="1">
        <f t="array" ref="L3052" xml:space="preserve"> sentimentCategory(K3052)</f>
        <v>Neutral</v>
      </c>
    </row>
    <row r="3053" spans="1:12">
      <c r="A3053" t="s">
        <v>789</v>
      </c>
      <c r="B3053" t="s">
        <v>788</v>
      </c>
      <c r="C3053" t="str" cm="1">
        <f t="array" ref="C3053" xml:space="preserve"> CleanText(B3053)</f>
        <v>i am soooooooooooo freaking excited</v>
      </c>
      <c r="D3053">
        <v>1</v>
      </c>
      <c r="E3053">
        <v>0</v>
      </c>
      <c r="F3053" t="s">
        <v>0</v>
      </c>
      <c r="G3053" t="str" cm="1">
        <f t="array" ref="G3053" xml:space="preserve"> FindCountryName(F3053)</f>
        <v>None</v>
      </c>
      <c r="H3053" s="1">
        <v>45259.478368055556</v>
      </c>
      <c r="I3053" s="1">
        <v>45259.478368055556</v>
      </c>
      <c r="J3053" s="1">
        <v>41162.865636574075</v>
      </c>
      <c r="K3053" cm="1">
        <f t="array" ref="K3053" xml:space="preserve"> sentimentCalc(C3053)</f>
        <v>3</v>
      </c>
      <c r="L3053" t="str" cm="1">
        <f t="array" ref="L3053" xml:space="preserve"> sentimentCategory(K3053)</f>
        <v>Positive</v>
      </c>
    </row>
    <row r="3054" spans="1:12">
      <c r="A3054" t="s">
        <v>60</v>
      </c>
      <c r="B3054" t="s">
        <v>787</v>
      </c>
      <c r="C3054" t="str" cm="1">
        <f t="array" ref="C3054" xml:space="preserve"> CleanText(B3054)</f>
        <v>ill reserve my judgement until i hear them say the names</v>
      </c>
      <c r="D3054">
        <v>1</v>
      </c>
      <c r="E3054">
        <v>0</v>
      </c>
      <c r="F3054" t="s">
        <v>0</v>
      </c>
      <c r="G3054" t="str" cm="1">
        <f t="array" ref="G3054" xml:space="preserve"> FindCountryName(F3054)</f>
        <v>None</v>
      </c>
      <c r="H3054" s="1">
        <v>45259.469699074078</v>
      </c>
      <c r="I3054" s="1">
        <v>45259.469699074078</v>
      </c>
      <c r="J3054" s="1">
        <v>40381.888321759259</v>
      </c>
      <c r="K3054" cm="1">
        <f t="array" ref="K3054" xml:space="preserve"> sentimentCalc(C3054)</f>
        <v>-2</v>
      </c>
      <c r="L3054" t="str" cm="1">
        <f t="array" ref="L3054" xml:space="preserve"> sentimentCategory(K3054)</f>
        <v>Negative</v>
      </c>
    </row>
    <row r="3055" spans="1:12">
      <c r="A3055" t="s">
        <v>786</v>
      </c>
      <c r="B3055" t="s">
        <v>785</v>
      </c>
      <c r="C3055" t="str" cm="1">
        <f t="array" ref="C3055" xml:space="preserve"> CleanText(B3055)</f>
        <v>gj</v>
      </c>
      <c r="D3055">
        <v>0</v>
      </c>
      <c r="E3055">
        <v>0</v>
      </c>
      <c r="F3055" t="s">
        <v>0</v>
      </c>
      <c r="G3055" t="str" cm="1">
        <f t="array" ref="G3055" xml:space="preserve"> FindCountryName(F3055)</f>
        <v>None</v>
      </c>
      <c r="H3055" s="1">
        <v>45259.468668981484</v>
      </c>
      <c r="I3055" s="1">
        <v>45259.468668981484</v>
      </c>
      <c r="J3055" s="1">
        <v>40919.6718287037</v>
      </c>
      <c r="K3055" cm="1">
        <f t="array" ref="K3055" xml:space="preserve"> sentimentCalc(C3055)</f>
        <v>0</v>
      </c>
      <c r="L3055" t="str" cm="1">
        <f t="array" ref="L3055" xml:space="preserve"> sentimentCategory(K3055)</f>
        <v>Neutral</v>
      </c>
    </row>
    <row r="3056" spans="1:12">
      <c r="A3056" t="s">
        <v>784</v>
      </c>
      <c r="B3056" t="s">
        <v>783</v>
      </c>
      <c r="C3056" t="str" cm="1">
        <f t="array" ref="C3056" xml:space="preserve"> CleanText(B3056)</f>
        <v>oh boy here we go again</v>
      </c>
      <c r="D3056">
        <v>2</v>
      </c>
      <c r="E3056">
        <v>0</v>
      </c>
      <c r="F3056" t="s">
        <v>0</v>
      </c>
      <c r="G3056" t="str" cm="1">
        <f t="array" ref="G3056" xml:space="preserve"> FindCountryName(F3056)</f>
        <v>None</v>
      </c>
      <c r="H3056" s="1">
        <v>45259.447256944448</v>
      </c>
      <c r="I3056" s="1">
        <v>45259.447256944448</v>
      </c>
      <c r="J3056" s="1">
        <v>39156.600532407407</v>
      </c>
      <c r="K3056" cm="1">
        <f t="array" ref="K3056" xml:space="preserve"> sentimentCalc(C3056)</f>
        <v>0</v>
      </c>
      <c r="L3056" t="str" cm="1">
        <f t="array" ref="L3056" xml:space="preserve"> sentimentCategory(K3056)</f>
        <v>Neutral</v>
      </c>
    </row>
    <row r="3057" spans="1:12">
      <c r="A3057" t="s">
        <v>150</v>
      </c>
      <c r="B3057" t="s">
        <v>782</v>
      </c>
      <c r="C3057" t="str" cm="1">
        <f t="array" ref="C3057" xml:space="preserve"> CleanText(B3057)</f>
        <v>k xo hi km ha</v>
      </c>
      <c r="D3057">
        <v>0</v>
      </c>
      <c r="E3057">
        <v>0</v>
      </c>
      <c r="F3057" t="s">
        <v>0</v>
      </c>
      <c r="G3057" t="str" cm="1">
        <f t="array" ref="G3057" xml:space="preserve"> FindCountryName(F3057)</f>
        <v>None</v>
      </c>
      <c r="H3057" s="1">
        <v>45259.445381944446</v>
      </c>
      <c r="I3057" s="1">
        <v>45259.445381944446</v>
      </c>
      <c r="J3057" s="1">
        <v>43142.002743055556</v>
      </c>
      <c r="K3057" cm="1">
        <f t="array" ref="K3057" xml:space="preserve"> sentimentCalc(C3057)</f>
        <v>0</v>
      </c>
      <c r="L3057" t="str" cm="1">
        <f t="array" ref="L3057" xml:space="preserve"> sentimentCategory(K3057)</f>
        <v>Neutral</v>
      </c>
    </row>
    <row r="3058" spans="1:12">
      <c r="A3058" t="s">
        <v>781</v>
      </c>
      <c r="B3058" t="s">
        <v>780</v>
      </c>
      <c r="C3058" t="str" cm="1">
        <f t="array" ref="C3058" xml:space="preserve"> CleanText(B3058)</f>
        <v>really they used chinese people and not the indians they used in the movie i have high hopes</v>
      </c>
      <c r="D3058">
        <v>2</v>
      </c>
      <c r="E3058">
        <v>4</v>
      </c>
      <c r="F3058" t="s">
        <v>0</v>
      </c>
      <c r="G3058" t="str" cm="1">
        <f t="array" ref="G3058" xml:space="preserve"> FindCountryName(F3058)</f>
        <v>None</v>
      </c>
      <c r="H3058" s="1">
        <v>45259.434513888889</v>
      </c>
      <c r="I3058" s="1">
        <v>45259.434513888889</v>
      </c>
      <c r="J3058" s="1">
        <v>42226.766481481478</v>
      </c>
      <c r="K3058" cm="1">
        <f t="array" ref="K3058" xml:space="preserve"> sentimentCalc(C3058)</f>
        <v>2</v>
      </c>
      <c r="L3058" t="str" cm="1">
        <f t="array" ref="L3058" xml:space="preserve"> sentimentCategory(K3058)</f>
        <v>Positive</v>
      </c>
    </row>
    <row r="3059" spans="1:12">
      <c r="A3059" t="s">
        <v>779</v>
      </c>
      <c r="B3059" t="s">
        <v>778</v>
      </c>
      <c r="C3059" t="str" cm="1">
        <f t="array" ref="C3059" xml:space="preserve"> CleanText(B3059)</f>
        <v>3 is smile</v>
      </c>
      <c r="D3059">
        <v>0</v>
      </c>
      <c r="E3059">
        <v>0</v>
      </c>
      <c r="F3059" t="s">
        <v>0</v>
      </c>
      <c r="G3059" t="str" cm="1">
        <f t="array" ref="G3059" xml:space="preserve"> FindCountryName(F3059)</f>
        <v>None</v>
      </c>
      <c r="H3059" s="1">
        <v>45259.414467592593</v>
      </c>
      <c r="I3059" s="1">
        <v>45259.414467592593</v>
      </c>
      <c r="J3059" s="1">
        <v>44956.679050925923</v>
      </c>
      <c r="K3059" cm="1">
        <f t="array" ref="K3059" xml:space="preserve"> sentimentCalc(C3059)</f>
        <v>2</v>
      </c>
      <c r="L3059" t="str" cm="1">
        <f t="array" ref="L3059" xml:space="preserve"> sentimentCategory(K3059)</f>
        <v>Positive</v>
      </c>
    </row>
    <row r="3060" spans="1:12">
      <c r="A3060" t="s">
        <v>23</v>
      </c>
      <c r="B3060" t="s">
        <v>777</v>
      </c>
      <c r="C3060" t="str" cm="1">
        <f t="array" ref="C3060" xml:space="preserve"> CleanText(B3060)</f>
        <v>finally_xD83D__xD83D__xD83D__xD83D_</v>
      </c>
      <c r="D3060">
        <v>1</v>
      </c>
      <c r="E3060">
        <v>0</v>
      </c>
      <c r="F3060" t="s">
        <v>0</v>
      </c>
      <c r="G3060" t="str" cm="1">
        <f t="array" ref="G3060" xml:space="preserve"> FindCountryName(F3060)</f>
        <v>None</v>
      </c>
      <c r="H3060" s="1">
        <v>45259.408402777779</v>
      </c>
      <c r="I3060" s="1">
        <v>45259.408402777779</v>
      </c>
      <c r="J3060" s="1">
        <v>42622.970046296294</v>
      </c>
      <c r="K3060" cm="1">
        <f t="array" ref="K3060" xml:space="preserve"> sentimentCalc(C3060)</f>
        <v>0</v>
      </c>
      <c r="L3060" t="str" cm="1">
        <f t="array" ref="L3060" xml:space="preserve"> sentimentCategory(K3060)</f>
        <v>Neutral</v>
      </c>
    </row>
    <row r="3061" spans="1:12">
      <c r="A3061" t="s">
        <v>776</v>
      </c>
      <c r="B3061" t="s">
        <v>775</v>
      </c>
      <c r="C3061" t="str" cm="1">
        <f t="array" ref="C3061" xml:space="preserve"> CleanText(B3061)</f>
        <v>i used to watch this on mbc when i was a kid on mbc anyone related</v>
      </c>
      <c r="D3061">
        <v>0</v>
      </c>
      <c r="E3061">
        <v>0</v>
      </c>
      <c r="F3061" t="s">
        <v>0</v>
      </c>
      <c r="G3061" t="str" cm="1">
        <f t="array" ref="G3061" xml:space="preserve"> FindCountryName(F3061)</f>
        <v>None</v>
      </c>
      <c r="H3061" s="1">
        <v>45259.39607638889</v>
      </c>
      <c r="I3061" s="1">
        <v>45259.39607638889</v>
      </c>
      <c r="J3061" s="1">
        <v>45211.16815972222</v>
      </c>
      <c r="K3061" cm="1">
        <f t="array" ref="K3061" xml:space="preserve"> sentimentCalc(C3061)</f>
        <v>0</v>
      </c>
      <c r="L3061" t="str" cm="1">
        <f t="array" ref="L3061" xml:space="preserve"> sentimentCategory(K3061)</f>
        <v>Neutral</v>
      </c>
    </row>
    <row r="3062" spans="1:12">
      <c r="A3062" t="s">
        <v>774</v>
      </c>
      <c r="B3062" t="s">
        <v>773</v>
      </c>
      <c r="C3062" t="str" cm="1">
        <f t="array" ref="C3062" xml:space="preserve"> CleanText(B3062)</f>
        <v>this better be  hours long  i loved this thanks to the creators getting involved</v>
      </c>
      <c r="D3062">
        <v>0</v>
      </c>
      <c r="E3062">
        <v>2</v>
      </c>
      <c r="F3062" t="s">
        <v>0</v>
      </c>
      <c r="G3062" t="str" cm="1">
        <f t="array" ref="G3062" xml:space="preserve"> FindCountryName(F3062)</f>
        <v>None</v>
      </c>
      <c r="H3062" s="1">
        <v>45259.371689814812</v>
      </c>
      <c r="I3062" s="1">
        <v>45259.371689814812</v>
      </c>
      <c r="J3062" s="1">
        <v>41536.365405092591</v>
      </c>
      <c r="K3062" cm="1">
        <f t="array" ref="K3062" xml:space="preserve"> sentimentCalc(C3062)</f>
        <v>7</v>
      </c>
      <c r="L3062" t="str" cm="1">
        <f t="array" ref="L3062" xml:space="preserve"> sentimentCategory(K3062)</f>
        <v>Positive</v>
      </c>
    </row>
    <row r="3063" spans="1:12">
      <c r="A3063" t="s">
        <v>192</v>
      </c>
      <c r="B3063" t="s">
        <v>772</v>
      </c>
      <c r="C3063" t="str" cm="1">
        <f t="array" ref="C3063" xml:space="preserve"> CleanText(B3063)</f>
        <v>i hope like everything else they wont ruin it</v>
      </c>
      <c r="D3063">
        <v>1</v>
      </c>
      <c r="E3063">
        <v>0</v>
      </c>
      <c r="F3063" t="s">
        <v>771</v>
      </c>
      <c r="G3063" t="str" cm="1">
        <f t="array" ref="G3063" xml:space="preserve"> FindCountryName(F3063)</f>
        <v>Malaysia</v>
      </c>
      <c r="H3063" s="1">
        <v>45259.367465277777</v>
      </c>
      <c r="I3063" s="1">
        <v>45259.367465277777</v>
      </c>
      <c r="J3063" s="1">
        <v>39518.694293981483</v>
      </c>
      <c r="K3063" cm="1">
        <f t="array" ref="K3063" xml:space="preserve"> sentimentCalc(C3063)</f>
        <v>2</v>
      </c>
      <c r="L3063" t="str" cm="1">
        <f t="array" ref="L3063" xml:space="preserve"> sentimentCategory(K3063)</f>
        <v>Positive</v>
      </c>
    </row>
    <row r="3064" spans="1:12">
      <c r="A3064" t="s">
        <v>770</v>
      </c>
      <c r="B3064" t="s">
        <v>769</v>
      </c>
      <c r="C3064" t="str" cm="1">
        <f t="array" ref="C3064" xml:space="preserve"> CleanText(B3064)</f>
        <v>the plot is the same as the anime dont bother watching it if youve seen the anime this is def worst by a lot compared to the anime</v>
      </c>
      <c r="D3064">
        <v>1</v>
      </c>
      <c r="E3064">
        <v>0</v>
      </c>
      <c r="F3064" t="s">
        <v>768</v>
      </c>
      <c r="G3064" t="str" cm="1">
        <f t="array" ref="G3064" xml:space="preserve"> FindCountryName(F3064)</f>
        <v>Romania</v>
      </c>
      <c r="H3064" s="1">
        <v>45259.365902777776</v>
      </c>
      <c r="I3064" s="1">
        <v>45259.365902777776</v>
      </c>
      <c r="J3064" s="1">
        <v>41856.905451388891</v>
      </c>
      <c r="K3064" cm="1">
        <f t="array" ref="K3064" xml:space="preserve"> sentimentCalc(C3064)</f>
        <v>-5</v>
      </c>
      <c r="L3064" t="str" cm="1">
        <f t="array" ref="L3064" xml:space="preserve"> sentimentCategory(K3064)</f>
        <v>Negative</v>
      </c>
    </row>
    <row r="3065" spans="1:12">
      <c r="A3065" t="s">
        <v>767</v>
      </c>
      <c r="B3065" t="s">
        <v>766</v>
      </c>
      <c r="C3065" t="str" cm="1">
        <f t="array" ref="C3065" xml:space="preserve"> CleanText(B3065)</f>
        <v>i love this please dont be like the last one dont disappoint</v>
      </c>
      <c r="D3065">
        <v>6</v>
      </c>
      <c r="E3065">
        <v>1</v>
      </c>
      <c r="F3065" t="s">
        <v>0</v>
      </c>
      <c r="G3065" t="str" cm="1">
        <f t="array" ref="G3065" xml:space="preserve"> FindCountryName(F3065)</f>
        <v>None</v>
      </c>
      <c r="H3065" s="1">
        <v>45259.360358796293</v>
      </c>
      <c r="I3065" s="1">
        <v>45259.360358796293</v>
      </c>
      <c r="J3065" s="1">
        <v>45248.20003472222</v>
      </c>
      <c r="K3065" cm="1">
        <f t="array" ref="K3065" xml:space="preserve"> sentimentCalc(C3065)</f>
        <v>4</v>
      </c>
      <c r="L3065" t="str" cm="1">
        <f t="array" ref="L3065" xml:space="preserve"> sentimentCategory(K3065)</f>
        <v>Positive</v>
      </c>
    </row>
    <row r="3066" spans="1:12">
      <c r="A3066" t="s">
        <v>123</v>
      </c>
      <c r="B3066" t="s">
        <v>765</v>
      </c>
      <c r="C3066" t="str" cm="1">
        <f t="array" ref="C3066" xml:space="preserve"> CleanText(B3066)</f>
        <v>_xDD1D__xDD4A_ n</v>
      </c>
      <c r="D3066">
        <v>0</v>
      </c>
      <c r="E3066">
        <v>0</v>
      </c>
      <c r="F3066" t="s">
        <v>0</v>
      </c>
      <c r="G3066" t="str" cm="1">
        <f t="array" ref="G3066" xml:space="preserve"> FindCountryName(F3066)</f>
        <v>None</v>
      </c>
      <c r="H3066" s="1">
        <v>45259.353460648148</v>
      </c>
      <c r="I3066" s="1">
        <v>45259.353460648148</v>
      </c>
      <c r="J3066" s="1">
        <v>44480.316874999997</v>
      </c>
      <c r="K3066" cm="1">
        <f t="array" ref="K3066" xml:space="preserve"> sentimentCalc(C3066)</f>
        <v>0</v>
      </c>
      <c r="L3066" t="str" cm="1">
        <f t="array" ref="L3066" xml:space="preserve"> sentimentCategory(K3066)</f>
        <v>Neutral</v>
      </c>
    </row>
    <row r="3067" spans="1:12">
      <c r="A3067" t="s">
        <v>221</v>
      </c>
      <c r="B3067" t="s">
        <v>764</v>
      </c>
      <c r="C3067" t="str" cm="1">
        <f t="array" ref="C3067" xml:space="preserve"> CleanText(B3067)</f>
        <v>netflix need to stop ruining my childhood memories everything is better when its animated not the other way around</v>
      </c>
      <c r="D3067">
        <v>1</v>
      </c>
      <c r="E3067">
        <v>0</v>
      </c>
      <c r="F3067" t="s">
        <v>0</v>
      </c>
      <c r="G3067" t="str" cm="1">
        <f t="array" ref="G3067" xml:space="preserve"> FindCountryName(F3067)</f>
        <v>None</v>
      </c>
      <c r="H3067" s="1">
        <v>45259.3280787037</v>
      </c>
      <c r="I3067" s="1">
        <v>45259.3280787037</v>
      </c>
      <c r="J3067" s="1">
        <v>44968.178368055553</v>
      </c>
      <c r="K3067" cm="1">
        <f t="array" ref="K3067" xml:space="preserve"> sentimentCalc(C3067)</f>
        <v>-1</v>
      </c>
      <c r="L3067" t="str" cm="1">
        <f t="array" ref="L3067" xml:space="preserve"> sentimentCategory(K3067)</f>
        <v>Negative</v>
      </c>
    </row>
    <row r="3068" spans="1:12">
      <c r="A3068" t="s">
        <v>763</v>
      </c>
      <c r="B3068" t="s">
        <v>762</v>
      </c>
      <c r="C3068" t="str" cm="1">
        <f t="array" ref="C3068" xml:space="preserve"> CleanText(B3068)</f>
        <v>tbh this casting is mind blowing fr _xDD25_</v>
      </c>
      <c r="D3068">
        <v>1</v>
      </c>
      <c r="E3068">
        <v>0</v>
      </c>
      <c r="F3068" t="s">
        <v>0</v>
      </c>
      <c r="G3068" t="str" cm="1">
        <f t="array" ref="G3068" xml:space="preserve"> FindCountryName(F3068)</f>
        <v>None</v>
      </c>
      <c r="H3068" s="1">
        <v>45259.29923611111</v>
      </c>
      <c r="I3068" s="1">
        <v>45259.29923611111</v>
      </c>
      <c r="J3068" s="1">
        <v>45259.299189814818</v>
      </c>
      <c r="K3068" cm="1">
        <f t="array" ref="K3068" xml:space="preserve"> sentimentCalc(C3068)</f>
        <v>0</v>
      </c>
      <c r="L3068" t="str" cm="1">
        <f t="array" ref="L3068" xml:space="preserve"> sentimentCategory(K3068)</f>
        <v>Neutral</v>
      </c>
    </row>
    <row r="3069" spans="1:12">
      <c r="A3069" t="s">
        <v>566</v>
      </c>
      <c r="B3069" t="s">
        <v>761</v>
      </c>
      <c r="C3069" t="str" cm="1">
        <f t="array" ref="C3069" xml:space="preserve"> CleanText(B3069)</f>
        <v>why does momo look like that _xDE2D_</v>
      </c>
      <c r="D3069">
        <v>1</v>
      </c>
      <c r="E3069">
        <v>0</v>
      </c>
      <c r="F3069" t="s">
        <v>0</v>
      </c>
      <c r="G3069" t="str" cm="1">
        <f t="array" ref="G3069" xml:space="preserve"> FindCountryName(F3069)</f>
        <v>None</v>
      </c>
      <c r="H3069" s="1">
        <v>45259.298518518517</v>
      </c>
      <c r="I3069" s="1">
        <v>45259.298518518517</v>
      </c>
      <c r="J3069" s="1">
        <v>41066.237083333333</v>
      </c>
      <c r="K3069" cm="1">
        <f t="array" ref="K3069" xml:space="preserve"> sentimentCalc(C3069)</f>
        <v>2</v>
      </c>
      <c r="L3069" t="str" cm="1">
        <f t="array" ref="L3069" xml:space="preserve"> sentimentCategory(K3069)</f>
        <v>Positive</v>
      </c>
    </row>
    <row r="3070" spans="1:12">
      <c r="A3070" t="s">
        <v>153</v>
      </c>
      <c r="B3070" t="s">
        <v>760</v>
      </c>
      <c r="C3070" t="str" cm="1">
        <f t="array" ref="C3070" xml:space="preserve"> CleanText(B3070)</f>
        <v>please oh please be better than the movie</v>
      </c>
      <c r="D3070">
        <v>0</v>
      </c>
      <c r="E3070">
        <v>0</v>
      </c>
      <c r="F3070" t="s">
        <v>0</v>
      </c>
      <c r="G3070" t="str" cm="1">
        <f t="array" ref="G3070" xml:space="preserve"> FindCountryName(F3070)</f>
        <v>None</v>
      </c>
      <c r="H3070" s="1">
        <v>45259.296724537038</v>
      </c>
      <c r="I3070" s="1">
        <v>45259.296724537038</v>
      </c>
      <c r="J3070" s="1">
        <v>40303.592187499999</v>
      </c>
      <c r="K3070" cm="1">
        <f t="array" ref="K3070" xml:space="preserve"> sentimentCalc(C3070)</f>
        <v>4</v>
      </c>
      <c r="L3070" t="str" cm="1">
        <f t="array" ref="L3070" xml:space="preserve"> sentimentCategory(K3070)</f>
        <v>Positive</v>
      </c>
    </row>
    <row r="3071" spans="1:12">
      <c r="A3071" t="s">
        <v>710</v>
      </c>
      <c r="B3071" t="s">
        <v>759</v>
      </c>
      <c r="C3071" t="str" cm="1">
        <f t="array" ref="C3071" xml:space="preserve"> CleanText(B3071)</f>
        <v>why recreate the same movie</v>
      </c>
      <c r="D3071">
        <v>1</v>
      </c>
      <c r="E3071">
        <v>1</v>
      </c>
      <c r="F3071" t="s">
        <v>0</v>
      </c>
      <c r="G3071" t="str" cm="1">
        <f t="array" ref="G3071" xml:space="preserve"> FindCountryName(F3071)</f>
        <v>None</v>
      </c>
      <c r="H3071" s="1">
        <v>45259.28837962963</v>
      </c>
      <c r="I3071" s="1">
        <v>45259.28837962963</v>
      </c>
      <c r="J3071" s="1">
        <v>44020.082511574074</v>
      </c>
      <c r="K3071" cm="1">
        <f t="array" ref="K3071" xml:space="preserve"> sentimentCalc(C3071)</f>
        <v>0</v>
      </c>
      <c r="L3071" t="str" cm="1">
        <f t="array" ref="L3071" xml:space="preserve"> sentimentCategory(K3071)</f>
        <v>Neutral</v>
      </c>
    </row>
    <row r="3072" spans="1:12">
      <c r="A3072" t="s">
        <v>28</v>
      </c>
      <c r="B3072" t="s">
        <v>758</v>
      </c>
      <c r="C3072" t="str" cm="1">
        <f t="array" ref="C3072" xml:space="preserve"> CleanText(B3072)</f>
        <v>nice</v>
      </c>
      <c r="D3072">
        <v>0</v>
      </c>
      <c r="E3072">
        <v>0</v>
      </c>
      <c r="F3072" t="s">
        <v>0</v>
      </c>
      <c r="G3072" t="str" cm="1">
        <f t="array" ref="G3072" xml:space="preserve"> FindCountryName(F3072)</f>
        <v>None</v>
      </c>
      <c r="H3072" s="1">
        <v>45259.276145833333</v>
      </c>
      <c r="I3072" s="1">
        <v>45259.276145833333</v>
      </c>
      <c r="J3072" s="1">
        <v>42979.530833333331</v>
      </c>
      <c r="K3072" cm="1">
        <f t="array" ref="K3072" xml:space="preserve"> sentimentCalc(C3072)</f>
        <v>3</v>
      </c>
      <c r="L3072" t="str" cm="1">
        <f t="array" ref="L3072" xml:space="preserve"> sentimentCategory(K3072)</f>
        <v>Positive</v>
      </c>
    </row>
    <row r="3073" spans="1:12">
      <c r="A3073" t="s">
        <v>255</v>
      </c>
      <c r="B3073" t="s">
        <v>757</v>
      </c>
      <c r="C3073" t="str" cm="1">
        <f t="array" ref="C3073" xml:space="preserve"> CleanText(B3073)</f>
        <v>hopefully we do better this time around _xDE02_</v>
      </c>
      <c r="D3073">
        <v>0</v>
      </c>
      <c r="E3073">
        <v>0</v>
      </c>
      <c r="F3073" t="s">
        <v>0</v>
      </c>
      <c r="G3073" t="str" cm="1">
        <f t="array" ref="G3073" xml:space="preserve"> FindCountryName(F3073)</f>
        <v>None</v>
      </c>
      <c r="H3073" s="1">
        <v>45259.254374999997</v>
      </c>
      <c r="I3073" s="1">
        <v>45259.254374999997</v>
      </c>
      <c r="J3073" s="1">
        <v>43681.921168981484</v>
      </c>
      <c r="K3073" cm="1">
        <f t="array" ref="K3073" xml:space="preserve"> sentimentCalc(C3073)</f>
        <v>4</v>
      </c>
      <c r="L3073" t="str" cm="1">
        <f t="array" ref="L3073" xml:space="preserve"> sentimentCategory(K3073)</f>
        <v>Positive</v>
      </c>
    </row>
    <row r="3074" spans="1:12">
      <c r="A3074" t="s">
        <v>756</v>
      </c>
      <c r="B3074" t="s">
        <v>755</v>
      </c>
      <c r="C3074" t="str" cm="1">
        <f t="array" ref="C3074" xml:space="preserve"> CleanText(B3074)</f>
        <v>i just hope there is uncle irohs tsungi horn and wisdom talks present in movie</v>
      </c>
      <c r="D3074">
        <v>0</v>
      </c>
      <c r="E3074">
        <v>0</v>
      </c>
      <c r="F3074" t="s">
        <v>754</v>
      </c>
      <c r="G3074" t="str" cm="1">
        <f t="array" ref="G3074" xml:space="preserve"> FindCountryName(F3074)</f>
        <v>China</v>
      </c>
      <c r="H3074" s="1">
        <v>45259.243564814817</v>
      </c>
      <c r="I3074" s="1">
        <v>45259.243564814817</v>
      </c>
      <c r="J3074" s="1">
        <v>39983.241249999999</v>
      </c>
      <c r="K3074" cm="1">
        <f t="array" ref="K3074" xml:space="preserve"> sentimentCalc(C3074)</f>
        <v>2</v>
      </c>
      <c r="L3074" t="str" cm="1">
        <f t="array" ref="L3074" xml:space="preserve"> sentimentCategory(K3074)</f>
        <v>Positive</v>
      </c>
    </row>
    <row r="3075" spans="1:12">
      <c r="A3075" t="s">
        <v>221</v>
      </c>
      <c r="B3075" t="s">
        <v>753</v>
      </c>
      <c r="C3075" t="str" cm="1">
        <f t="array" ref="C3075" xml:space="preserve"> CleanText(B3075)</f>
        <v>i am literally dancing right nowi hope netflix will do justice to our childhood memories _xDE0A_</v>
      </c>
      <c r="D3075">
        <v>1</v>
      </c>
      <c r="E3075">
        <v>0</v>
      </c>
      <c r="F3075" t="s">
        <v>0</v>
      </c>
      <c r="G3075" t="str" cm="1">
        <f t="array" ref="G3075" xml:space="preserve"> FindCountryName(F3075)</f>
        <v>None</v>
      </c>
      <c r="H3075" s="1">
        <v>45259.210324074076</v>
      </c>
      <c r="I3075" s="1">
        <v>45259.210324074076</v>
      </c>
      <c r="J3075" s="1">
        <v>42833.448946759258</v>
      </c>
      <c r="K3075" cm="1">
        <f t="array" ref="K3075" xml:space="preserve"> sentimentCalc(C3075)</f>
        <v>4</v>
      </c>
      <c r="L3075" t="str" cm="1">
        <f t="array" ref="L3075" xml:space="preserve"> sentimentCategory(K3075)</f>
        <v>Positive</v>
      </c>
    </row>
    <row r="3076" spans="1:12">
      <c r="A3076" t="s">
        <v>752</v>
      </c>
      <c r="B3076" t="s">
        <v>751</v>
      </c>
      <c r="C3076" t="str" cm="1">
        <f t="array" ref="C3076" xml:space="preserve"> CleanText(B3076)</f>
        <v>how many years waiting for this movie but finally it happened</v>
      </c>
      <c r="D3076">
        <v>1</v>
      </c>
      <c r="E3076">
        <v>0</v>
      </c>
      <c r="F3076" t="s">
        <v>0</v>
      </c>
      <c r="G3076" t="str" cm="1">
        <f t="array" ref="G3076" xml:space="preserve"> FindCountryName(F3076)</f>
        <v>None</v>
      </c>
      <c r="H3076" s="1">
        <v>45259.204398148147</v>
      </c>
      <c r="I3076" s="1">
        <v>45259.204398148147</v>
      </c>
      <c r="J3076" s="1">
        <v>42846.167129629626</v>
      </c>
      <c r="K3076" cm="1">
        <f t="array" ref="K3076" xml:space="preserve"> sentimentCalc(C3076)</f>
        <v>0</v>
      </c>
      <c r="L3076" t="str" cm="1">
        <f t="array" ref="L3076" xml:space="preserve"> sentimentCategory(K3076)</f>
        <v>Neutral</v>
      </c>
    </row>
    <row r="3077" spans="1:12">
      <c r="A3077" t="s">
        <v>18</v>
      </c>
      <c r="B3077" t="s">
        <v>750</v>
      </c>
      <c r="C3077" t="str" cm="1">
        <f t="array" ref="C3077" xml:space="preserve"> CleanText(B3077)</f>
        <v>this is what netflix should have done years ago just take other peoples ip and make it themselves make one piece make avatar heck theres so much cool stuff make mistborn make red rising make elderlings just keep doing this instead of trying to make up original stuff</v>
      </c>
      <c r="D3077">
        <v>0</v>
      </c>
      <c r="E3077">
        <v>0</v>
      </c>
      <c r="F3077" t="s">
        <v>0</v>
      </c>
      <c r="G3077" t="str" cm="1">
        <f t="array" ref="G3077" xml:space="preserve"> FindCountryName(F3077)</f>
        <v>None</v>
      </c>
      <c r="H3077" s="1">
        <v>45259.186435185184</v>
      </c>
      <c r="I3077" s="1">
        <v>45259.186435185184</v>
      </c>
      <c r="J3077" s="1">
        <v>42523.950474537036</v>
      </c>
      <c r="K3077" cm="1">
        <f t="array" ref="K3077" xml:space="preserve"> sentimentCalc(C3077)</f>
        <v>1</v>
      </c>
      <c r="L3077" t="str" cm="1">
        <f t="array" ref="L3077" xml:space="preserve"> sentimentCategory(K3077)</f>
        <v>Positive</v>
      </c>
    </row>
    <row r="3078" spans="1:12">
      <c r="A3078" t="s">
        <v>749</v>
      </c>
      <c r="B3078" t="s">
        <v>748</v>
      </c>
      <c r="C3078" t="str" cm="1">
        <f t="array" ref="C3078" xml:space="preserve"> CleanText(B3078)</f>
        <v>azula dont look menacing enoughshe just looks like the mean girl at school</v>
      </c>
      <c r="D3078">
        <v>0</v>
      </c>
      <c r="E3078">
        <v>0</v>
      </c>
      <c r="F3078" t="s">
        <v>0</v>
      </c>
      <c r="G3078" t="str" cm="1">
        <f t="array" ref="G3078" xml:space="preserve"> FindCountryName(F3078)</f>
        <v>None</v>
      </c>
      <c r="H3078" s="1">
        <v>45259.164976851855</v>
      </c>
      <c r="I3078" s="1">
        <v>45259.164976851855</v>
      </c>
      <c r="J3078" s="1">
        <v>44156.132824074077</v>
      </c>
      <c r="K3078" cm="1">
        <f t="array" ref="K3078" xml:space="preserve"> sentimentCalc(C3078)</f>
        <v>2</v>
      </c>
      <c r="L3078" t="str" cm="1">
        <f t="array" ref="L3078" xml:space="preserve"> sentimentCategory(K3078)</f>
        <v>Positive</v>
      </c>
    </row>
    <row r="3079" spans="1:12">
      <c r="A3079" t="s">
        <v>376</v>
      </c>
      <c r="B3079" t="s">
        <v>747</v>
      </c>
      <c r="C3079" t="str" cm="1">
        <f t="array" ref="C3079" xml:space="preserve"> CleanText(B3079)</f>
        <v>i hope they do a better job than the previous one</v>
      </c>
      <c r="D3079">
        <v>0</v>
      </c>
      <c r="E3079">
        <v>0</v>
      </c>
      <c r="F3079" t="s">
        <v>0</v>
      </c>
      <c r="G3079" t="str" cm="1">
        <f t="array" ref="G3079" xml:space="preserve"> FindCountryName(F3079)</f>
        <v>None</v>
      </c>
      <c r="H3079" s="1">
        <v>45259.156458333331</v>
      </c>
      <c r="I3079" s="1">
        <v>45259.156458333331</v>
      </c>
      <c r="J3079" s="1">
        <v>45019.523738425924</v>
      </c>
      <c r="K3079" cm="1">
        <f t="array" ref="K3079" xml:space="preserve"> sentimentCalc(C3079)</f>
        <v>4</v>
      </c>
      <c r="L3079" t="str" cm="1">
        <f t="array" ref="L3079" xml:space="preserve"> sentimentCategory(K3079)</f>
        <v>Positive</v>
      </c>
    </row>
    <row r="3080" spans="1:12">
      <c r="A3080" t="s">
        <v>38</v>
      </c>
      <c r="B3080" t="s">
        <v>746</v>
      </c>
      <c r="C3080" t="str" cm="1">
        <f t="array" ref="C3080" xml:space="preserve"> CleanText(B3080)</f>
        <v>are we gonna ignore that soka and katara look nothing alike like kataras mother cheated on her father with a firebender _xDE15_</v>
      </c>
      <c r="D3080">
        <v>1</v>
      </c>
      <c r="E3080">
        <v>0</v>
      </c>
      <c r="F3080" t="s">
        <v>0</v>
      </c>
      <c r="G3080" t="str" cm="1">
        <f t="array" ref="G3080" xml:space="preserve"> FindCountryName(F3080)</f>
        <v>None</v>
      </c>
      <c r="H3080" s="1">
        <v>45259.151724537034</v>
      </c>
      <c r="I3080" s="1">
        <v>45259.151724537034</v>
      </c>
      <c r="J3080" s="1">
        <v>41825.528611111113</v>
      </c>
      <c r="K3080" cm="1">
        <f t="array" ref="K3080" xml:space="preserve"> sentimentCalc(C3080)</f>
        <v>-2</v>
      </c>
      <c r="L3080" t="str" cm="1">
        <f t="array" ref="L3080" xml:space="preserve"> sentimentCategory(K3080)</f>
        <v>Negative</v>
      </c>
    </row>
    <row r="3081" spans="1:12">
      <c r="A3081" t="s">
        <v>745</v>
      </c>
      <c r="B3081" t="s">
        <v>744</v>
      </c>
      <c r="C3081" t="str" cm="1">
        <f t="array" ref="C3081" xml:space="preserve"> CleanText(B3081)</f>
        <v>you shuould change the azula_xDC49_</v>
      </c>
      <c r="D3081">
        <v>0</v>
      </c>
      <c r="E3081">
        <v>0</v>
      </c>
      <c r="F3081" t="s">
        <v>0</v>
      </c>
      <c r="G3081" t="str" cm="1">
        <f t="array" ref="G3081" xml:space="preserve"> FindCountryName(F3081)</f>
        <v>None</v>
      </c>
      <c r="H3081" s="1">
        <v>45259.144791666666</v>
      </c>
      <c r="I3081" s="1">
        <v>45259.144791666666</v>
      </c>
      <c r="J3081" s="1">
        <v>43749.413645833331</v>
      </c>
      <c r="K3081" cm="1">
        <f t="array" ref="K3081" xml:space="preserve"> sentimentCalc(C3081)</f>
        <v>0</v>
      </c>
      <c r="L3081" t="str" cm="1">
        <f t="array" ref="L3081" xml:space="preserve"> sentimentCategory(K3081)</f>
        <v>Neutral</v>
      </c>
    </row>
    <row r="3082" spans="1:12">
      <c r="A3082" t="s">
        <v>743</v>
      </c>
      <c r="B3082" t="s">
        <v>742</v>
      </c>
      <c r="C3082" t="str" cm="1">
        <f t="array" ref="C3082" xml:space="preserve"> CleanText(B3082)</f>
        <v>film name shoud be arrow down</v>
      </c>
      <c r="D3082">
        <v>1</v>
      </c>
      <c r="E3082">
        <v>0</v>
      </c>
      <c r="F3082" t="s">
        <v>0</v>
      </c>
      <c r="G3082" t="str" cm="1">
        <f t="array" ref="G3082" xml:space="preserve"> FindCountryName(F3082)</f>
        <v>None</v>
      </c>
      <c r="H3082" s="1">
        <v>45259.126689814817</v>
      </c>
      <c r="I3082" s="1">
        <v>45259.126689814817</v>
      </c>
      <c r="J3082" s="1">
        <v>41726.198078703703</v>
      </c>
      <c r="K3082" cm="1">
        <f t="array" ref="K3082" xml:space="preserve"> sentimentCalc(C3082)</f>
        <v>0</v>
      </c>
      <c r="L3082" t="str" cm="1">
        <f t="array" ref="L3082" xml:space="preserve"> sentimentCategory(K3082)</f>
        <v>Neutral</v>
      </c>
    </row>
    <row r="3083" spans="1:12">
      <c r="A3083" t="s">
        <v>741</v>
      </c>
      <c r="B3083" t="s">
        <v>740</v>
      </c>
      <c r="C3083" t="str" cm="1">
        <f t="array" ref="C3083" xml:space="preserve"> CleanText(B3083)</f>
        <v>3 youngest old man ive ever seen</v>
      </c>
      <c r="D3083">
        <v>0</v>
      </c>
      <c r="E3083">
        <v>0</v>
      </c>
      <c r="F3083" t="s">
        <v>0</v>
      </c>
      <c r="G3083" t="str" cm="1">
        <f t="array" ref="G3083" xml:space="preserve"> FindCountryName(F3083)</f>
        <v>None</v>
      </c>
      <c r="H3083" s="1">
        <v>45259.111481481479</v>
      </c>
      <c r="I3083" s="1">
        <v>45259.111481481479</v>
      </c>
      <c r="J3083" s="1">
        <v>38932.955428240741</v>
      </c>
      <c r="K3083" cm="1">
        <f t="array" ref="K3083" xml:space="preserve"> sentimentCalc(C3083)</f>
        <v>0</v>
      </c>
      <c r="L3083" t="str" cm="1">
        <f t="array" ref="L3083" xml:space="preserve"> sentimentCategory(K3083)</f>
        <v>Neutral</v>
      </c>
    </row>
    <row r="3084" spans="1:12">
      <c r="A3084" t="s">
        <v>739</v>
      </c>
      <c r="B3084" t="s">
        <v>738</v>
      </c>
      <c r="C3084" t="str" cm="1">
        <f t="array" ref="C3084" xml:space="preserve"> CleanText(B3084)</f>
        <v>yes pleaseeeee</v>
      </c>
      <c r="D3084">
        <v>0</v>
      </c>
      <c r="E3084">
        <v>0</v>
      </c>
      <c r="F3084" t="s">
        <v>0</v>
      </c>
      <c r="G3084" t="str" cm="1">
        <f t="array" ref="G3084" xml:space="preserve"> FindCountryName(F3084)</f>
        <v>None</v>
      </c>
      <c r="H3084" s="1">
        <v>45259.109525462962</v>
      </c>
      <c r="I3084" s="1">
        <v>45259.109525462962</v>
      </c>
      <c r="J3084" s="1">
        <v>42889.59101851852</v>
      </c>
      <c r="K3084" cm="1">
        <f t="array" ref="K3084" xml:space="preserve"> sentimentCalc(C3084)</f>
        <v>1</v>
      </c>
      <c r="L3084" t="str" cm="1">
        <f t="array" ref="L3084" xml:space="preserve"> sentimentCategory(K3084)</f>
        <v>Positive</v>
      </c>
    </row>
    <row r="3085" spans="1:12">
      <c r="A3085" t="s">
        <v>286</v>
      </c>
      <c r="B3085" t="s">
        <v>737</v>
      </c>
      <c r="C3085" t="str" cm="1">
        <f t="array" ref="C3085" xml:space="preserve"> CleanText(B3085)</f>
        <v>оаиь n</v>
      </c>
      <c r="D3085">
        <v>0</v>
      </c>
      <c r="E3085">
        <v>0</v>
      </c>
      <c r="F3085" t="s">
        <v>0</v>
      </c>
      <c r="G3085" t="str" cm="1">
        <f t="array" ref="G3085" xml:space="preserve"> FindCountryName(F3085)</f>
        <v>None</v>
      </c>
      <c r="H3085" s="1">
        <v>45259.102581018517</v>
      </c>
      <c r="I3085" s="1">
        <v>45259.102581018517</v>
      </c>
      <c r="J3085" s="1">
        <v>45107.178425925929</v>
      </c>
      <c r="K3085" cm="1">
        <f t="array" ref="K3085" xml:space="preserve"> sentimentCalc(C3085)</f>
        <v>0</v>
      </c>
      <c r="L3085" t="str" cm="1">
        <f t="array" ref="L3085" xml:space="preserve"> sentimentCategory(K3085)</f>
        <v>Neutral</v>
      </c>
    </row>
    <row r="3086" spans="1:12">
      <c r="A3086" t="s">
        <v>460</v>
      </c>
      <c r="B3086" t="s">
        <v>736</v>
      </c>
      <c r="C3086" t="str" cm="1">
        <f t="array" ref="C3086" xml:space="preserve"> CleanText(B3086)</f>
        <v>i think it would be best addition</v>
      </c>
      <c r="D3086">
        <v>0</v>
      </c>
      <c r="E3086">
        <v>0</v>
      </c>
      <c r="F3086" t="s">
        <v>0</v>
      </c>
      <c r="G3086" t="str" cm="1">
        <f t="array" ref="G3086" xml:space="preserve"> FindCountryName(F3086)</f>
        <v>None</v>
      </c>
      <c r="H3086" s="1">
        <v>45259.079386574071</v>
      </c>
      <c r="I3086" s="1">
        <v>45259.079386574071</v>
      </c>
      <c r="J3086" s="1">
        <v>43297.146574074075</v>
      </c>
      <c r="K3086" cm="1">
        <f t="array" ref="K3086" xml:space="preserve"> sentimentCalc(C3086)</f>
        <v>3</v>
      </c>
      <c r="L3086" t="str" cm="1">
        <f t="array" ref="L3086" xml:space="preserve"> sentimentCategory(K3086)</f>
        <v>Positive</v>
      </c>
    </row>
    <row r="3087" spans="1:12">
      <c r="A3087" t="s">
        <v>735</v>
      </c>
      <c r="B3087" t="s">
        <v>734</v>
      </c>
      <c r="C3087" t="str" cm="1">
        <f t="array" ref="C3087" xml:space="preserve"> CleanText(B3087)</f>
        <v>ละืงนีมก กำหง n</v>
      </c>
      <c r="D3087">
        <v>0</v>
      </c>
      <c r="E3087">
        <v>0</v>
      </c>
      <c r="F3087" t="s">
        <v>0</v>
      </c>
      <c r="G3087" t="str" cm="1">
        <f t="array" ref="G3087" xml:space="preserve"> FindCountryName(F3087)</f>
        <v>None</v>
      </c>
      <c r="H3087" s="1">
        <v>45259.067604166667</v>
      </c>
      <c r="I3087" s="1">
        <v>45259.067604166667</v>
      </c>
      <c r="J3087" s="1">
        <v>40144.022256944445</v>
      </c>
      <c r="K3087" cm="1">
        <f t="array" ref="K3087" xml:space="preserve"> sentimentCalc(C3087)</f>
        <v>0</v>
      </c>
      <c r="L3087" t="str" cm="1">
        <f t="array" ref="L3087" xml:space="preserve"> sentimentCategory(K3087)</f>
        <v>Neutral</v>
      </c>
    </row>
    <row r="3088" spans="1:12">
      <c r="A3088" t="s">
        <v>733</v>
      </c>
      <c r="B3088" t="s">
        <v>732</v>
      </c>
      <c r="C3088" t="str" cm="1">
        <f t="array" ref="C3088" xml:space="preserve"> CleanText(B3088)</f>
        <v>first great move was proper casting at least  they look like the characters</v>
      </c>
      <c r="D3088">
        <v>0</v>
      </c>
      <c r="E3088">
        <v>0</v>
      </c>
      <c r="F3088" t="s">
        <v>0</v>
      </c>
      <c r="G3088" t="str" cm="1">
        <f t="array" ref="G3088" xml:space="preserve"> FindCountryName(F3088)</f>
        <v>None</v>
      </c>
      <c r="H3088" s="1">
        <v>45259.057638888888</v>
      </c>
      <c r="I3088" s="1">
        <v>45259.057638888888</v>
      </c>
      <c r="J3088" s="1">
        <v>40477.137314814812</v>
      </c>
      <c r="K3088" cm="1">
        <f t="array" ref="K3088" xml:space="preserve"> sentimentCalc(C3088)</f>
        <v>5</v>
      </c>
      <c r="L3088" t="str" cm="1">
        <f t="array" ref="L3088" xml:space="preserve"> sentimentCategory(K3088)</f>
        <v>Positive</v>
      </c>
    </row>
    <row r="3089" spans="1:12">
      <c r="A3089" t="s">
        <v>221</v>
      </c>
      <c r="B3089" t="s">
        <v>731</v>
      </c>
      <c r="C3089" t="str" cm="1">
        <f t="array" ref="C3089" xml:space="preserve"> CleanText(B3089)</f>
        <v>this looks a lot better than the last one that came out im stoked this looks awesome</v>
      </c>
      <c r="D3089">
        <v>8</v>
      </c>
      <c r="E3089">
        <v>0</v>
      </c>
      <c r="F3089" t="s">
        <v>0</v>
      </c>
      <c r="G3089" t="str" cm="1">
        <f t="array" ref="G3089" xml:space="preserve"> FindCountryName(F3089)</f>
        <v>None</v>
      </c>
      <c r="H3089" s="1">
        <v>45259.056956018518</v>
      </c>
      <c r="I3089" s="1">
        <v>45259.056956018518</v>
      </c>
      <c r="J3089" s="1">
        <v>44563.319178240738</v>
      </c>
      <c r="K3089" cm="1">
        <f t="array" ref="K3089" xml:space="preserve"> sentimentCalc(C3089)</f>
        <v>6</v>
      </c>
      <c r="L3089" t="str" cm="1">
        <f t="array" ref="L3089" xml:space="preserve"> sentimentCategory(K3089)</f>
        <v>Positive</v>
      </c>
    </row>
    <row r="3090" spans="1:12">
      <c r="A3090" t="s">
        <v>730</v>
      </c>
      <c r="B3090" t="s">
        <v>729</v>
      </c>
      <c r="C3090" t="str" cm="1">
        <f t="array" ref="C3090" xml:space="preserve"> CleanText(B3090)</f>
        <v>its trash</v>
      </c>
      <c r="D3090">
        <v>1</v>
      </c>
      <c r="E3090">
        <v>0</v>
      </c>
      <c r="F3090" t="s">
        <v>0</v>
      </c>
      <c r="G3090" t="str" cm="1">
        <f t="array" ref="G3090" xml:space="preserve"> FindCountryName(F3090)</f>
        <v>None</v>
      </c>
      <c r="H3090" s="1">
        <v>45259.022928240738</v>
      </c>
      <c r="I3090" s="1">
        <v>45259.022928240738</v>
      </c>
      <c r="J3090" s="1">
        <v>43410.502106481479</v>
      </c>
      <c r="K3090" cm="1">
        <f t="array" ref="K3090" xml:space="preserve"> sentimentCalc(C3090)</f>
        <v>0</v>
      </c>
      <c r="L3090" t="str" cm="1">
        <f t="array" ref="L3090" xml:space="preserve"> sentimentCategory(K3090)</f>
        <v>Neutral</v>
      </c>
    </row>
    <row r="3091" spans="1:12">
      <c r="A3091" t="s">
        <v>728</v>
      </c>
      <c r="B3091" t="s">
        <v>727</v>
      </c>
      <c r="C3091" t="str" cm="1">
        <f t="array" ref="C3091" xml:space="preserve"> CleanText(B3091)</f>
        <v>more realistic than before</v>
      </c>
      <c r="D3091">
        <v>0</v>
      </c>
      <c r="E3091">
        <v>0</v>
      </c>
      <c r="F3091" t="s">
        <v>633</v>
      </c>
      <c r="G3091" t="str" cm="1">
        <f t="array" ref="G3091" xml:space="preserve"> FindCountryName(F3091)</f>
        <v>Indonesia</v>
      </c>
      <c r="H3091" s="1">
        <v>45259.019988425927</v>
      </c>
      <c r="I3091" s="1">
        <v>45259.019988425927</v>
      </c>
      <c r="J3091" s="1">
        <v>45119.0390162037</v>
      </c>
      <c r="K3091" cm="1">
        <f t="array" ref="K3091" xml:space="preserve"> sentimentCalc(C3091)</f>
        <v>0</v>
      </c>
      <c r="L3091" t="str" cm="1">
        <f t="array" ref="L3091" xml:space="preserve"> sentimentCategory(K3091)</f>
        <v>Neutral</v>
      </c>
    </row>
    <row r="3092" spans="1:12">
      <c r="A3092" t="s">
        <v>726</v>
      </c>
      <c r="B3092" t="s">
        <v>725</v>
      </c>
      <c r="C3092" t="str" cm="1">
        <f t="array" ref="C3092" xml:space="preserve"> CleanText(B3092)</f>
        <v>looks pretty bad</v>
      </c>
      <c r="D3092">
        <v>1</v>
      </c>
      <c r="E3092">
        <v>0</v>
      </c>
      <c r="F3092" t="s">
        <v>0</v>
      </c>
      <c r="G3092" t="str" cm="1">
        <f t="array" ref="G3092" xml:space="preserve"> FindCountryName(F3092)</f>
        <v>None</v>
      </c>
      <c r="H3092" s="1">
        <v>45258.995752314811</v>
      </c>
      <c r="I3092" s="1">
        <v>45258.995752314811</v>
      </c>
      <c r="J3092" s="1">
        <v>41239.016435185185</v>
      </c>
      <c r="K3092" cm="1">
        <f t="array" ref="K3092" xml:space="preserve"> sentimentCalc(C3092)</f>
        <v>-2</v>
      </c>
      <c r="L3092" t="str" cm="1">
        <f t="array" ref="L3092" xml:space="preserve"> sentimentCategory(K3092)</f>
        <v>Negative</v>
      </c>
    </row>
    <row r="3093" spans="1:12">
      <c r="A3093" t="s">
        <v>290</v>
      </c>
      <c r="B3093" t="s">
        <v>724</v>
      </c>
      <c r="C3093" t="str" cm="1">
        <f t="array" ref="C3093" xml:space="preserve"> CleanText(B3093)</f>
        <v>wow this series looks absolutely amazing it looks so accurate to the cartoon especially at 2 which looks like ba singh se and the agni kai between firelord ozai and zuko even the iceberg looks amazing this series looks so much better than the movie the casting for all the characters is just amazing and really accurate compared to the movie</v>
      </c>
      <c r="D3093">
        <v>1</v>
      </c>
      <c r="E3093">
        <v>2</v>
      </c>
      <c r="F3093" t="s">
        <v>0</v>
      </c>
      <c r="G3093" t="str" cm="1">
        <f t="array" ref="G3093" xml:space="preserve"> FindCountryName(F3093)</f>
        <v>None</v>
      </c>
      <c r="H3093" s="1">
        <v>45258.990266203706</v>
      </c>
      <c r="I3093" s="1">
        <v>45258.990266203706</v>
      </c>
      <c r="J3093" s="1">
        <v>41873.920300925929</v>
      </c>
      <c r="K3093" cm="1">
        <f t="array" ref="K3093" xml:space="preserve"> sentimentCalc(C3093)</f>
        <v>20</v>
      </c>
      <c r="L3093" t="str" cm="1">
        <f t="array" ref="L3093" xml:space="preserve"> sentimentCategory(K3093)</f>
        <v>Positive</v>
      </c>
    </row>
    <row r="3094" spans="1:12">
      <c r="A3094" t="s">
        <v>691</v>
      </c>
      <c r="B3094" t="s">
        <v>723</v>
      </c>
      <c r="C3094" t="str" cm="1">
        <f t="array" ref="C3094" xml:space="preserve"> CleanText(B3094)</f>
        <v>mannnnnn yall already came out with one in 00  _xDD23_lame asf who writing ️ for yall in hollywood only difference its on netflix _xDE02_</v>
      </c>
      <c r="D3094">
        <v>0</v>
      </c>
      <c r="E3094">
        <v>0</v>
      </c>
      <c r="F3094" t="s">
        <v>0</v>
      </c>
      <c r="G3094" t="str" cm="1">
        <f t="array" ref="G3094" xml:space="preserve"> FindCountryName(F3094)</f>
        <v>None</v>
      </c>
      <c r="H3094" s="1">
        <v>45258.983101851853</v>
      </c>
      <c r="I3094" s="1">
        <v>45258.983101851853</v>
      </c>
      <c r="J3094" s="1">
        <v>42267.398668981485</v>
      </c>
      <c r="K3094" cm="1">
        <f t="array" ref="K3094" xml:space="preserve"> sentimentCalc(C3094)</f>
        <v>0</v>
      </c>
      <c r="L3094" t="str" cm="1">
        <f t="array" ref="L3094" xml:space="preserve"> sentimentCategory(K3094)</f>
        <v>Neutral</v>
      </c>
    </row>
    <row r="3095" spans="1:12">
      <c r="A3095" t="s">
        <v>722</v>
      </c>
      <c r="B3095" t="s">
        <v>721</v>
      </c>
      <c r="C3095" t="str" cm="1">
        <f t="array" ref="C3095" xml:space="preserve"> CleanText(B3095)</f>
        <v>better follow the cartoon show</v>
      </c>
      <c r="D3095">
        <v>0</v>
      </c>
      <c r="E3095">
        <v>0</v>
      </c>
      <c r="F3095" t="s">
        <v>0</v>
      </c>
      <c r="G3095" t="str" cm="1">
        <f t="array" ref="G3095" xml:space="preserve"> FindCountryName(F3095)</f>
        <v>None</v>
      </c>
      <c r="H3095" s="1">
        <v>45258.982476851852</v>
      </c>
      <c r="I3095" s="1">
        <v>45258.982476851852</v>
      </c>
      <c r="J3095" s="1">
        <v>44865.703587962962</v>
      </c>
      <c r="K3095" cm="1">
        <f t="array" ref="K3095" xml:space="preserve"> sentimentCalc(C3095)</f>
        <v>2</v>
      </c>
      <c r="L3095" t="str" cm="1">
        <f t="array" ref="L3095" xml:space="preserve"> sentimentCategory(K3095)</f>
        <v>Positive</v>
      </c>
    </row>
    <row r="3096" spans="1:12">
      <c r="A3096" t="s">
        <v>719</v>
      </c>
      <c r="B3096" t="s">
        <v>720</v>
      </c>
      <c r="C3096" t="str" cm="1">
        <f t="array" ref="C3096" xml:space="preserve"> CleanText(B3096)</f>
        <v>i wonder if they will cover all the chapters up until firelord ozai that was one of the most epic buildups to a fight id ever seen when i was a kid</v>
      </c>
      <c r="D3096">
        <v>0</v>
      </c>
      <c r="E3096">
        <v>1</v>
      </c>
      <c r="F3096" t="s">
        <v>0</v>
      </c>
      <c r="G3096" t="str" cm="1">
        <f t="array" ref="G3096" xml:space="preserve"> FindCountryName(F3096)</f>
        <v>None</v>
      </c>
      <c r="H3096" s="1">
        <v>45258.95652777778</v>
      </c>
      <c r="I3096" s="1">
        <v>45258.95652777778</v>
      </c>
      <c r="J3096" s="1">
        <v>45159.180358796293</v>
      </c>
      <c r="K3096" cm="1">
        <f t="array" ref="K3096" xml:space="preserve"> sentimentCalc(C3096)</f>
        <v>-1</v>
      </c>
      <c r="L3096" t="str" cm="1">
        <f t="array" ref="L3096" xml:space="preserve"> sentimentCategory(K3096)</f>
        <v>Negative</v>
      </c>
    </row>
    <row r="3097" spans="1:12">
      <c r="A3097" t="s">
        <v>719</v>
      </c>
      <c r="B3097" t="s">
        <v>718</v>
      </c>
      <c r="C3097" t="str" cm="1">
        <f t="array" ref="C3097" xml:space="preserve"> CleanText(B3097)</f>
        <v>please dont let this be a dumpster fire like the first movie this is such an amazing show and beautiful lessons and characters this is already looking better than last time but please yall dont ruin this _xDE05_</v>
      </c>
      <c r="D3097">
        <v>1533</v>
      </c>
      <c r="E3097">
        <v>35</v>
      </c>
      <c r="F3097" t="s">
        <v>0</v>
      </c>
      <c r="G3097" t="str" cm="1">
        <f t="array" ref="G3097" xml:space="preserve"> FindCountryName(F3097)</f>
        <v>None</v>
      </c>
      <c r="H3097" s="1">
        <v>45258.955740740741</v>
      </c>
      <c r="I3097" s="1">
        <v>45258.955740740741</v>
      </c>
      <c r="J3097" s="1">
        <v>45159.180358796293</v>
      </c>
      <c r="K3097" cm="1">
        <f t="array" ref="K3097" xml:space="preserve"> sentimentCalc(C3097)</f>
        <v>9</v>
      </c>
      <c r="L3097" t="str" cm="1">
        <f t="array" ref="L3097" xml:space="preserve"> sentimentCategory(K3097)</f>
        <v>Positive</v>
      </c>
    </row>
    <row r="3098" spans="1:12">
      <c r="A3098" t="s">
        <v>717</v>
      </c>
      <c r="B3098" t="s">
        <v>716</v>
      </c>
      <c r="C3098" t="str" cm="1">
        <f t="array" ref="C3098" xml:space="preserve"> CleanText(B3098)</f>
        <v>whys kitara bigger than aang</v>
      </c>
      <c r="D3098">
        <v>0</v>
      </c>
      <c r="E3098">
        <v>0</v>
      </c>
      <c r="F3098" t="s">
        <v>715</v>
      </c>
      <c r="G3098" t="str" cm="1">
        <f t="array" ref="G3098" xml:space="preserve"> FindCountryName(F3098)</f>
        <v>Nigeria</v>
      </c>
      <c r="H3098" s="1">
        <v>45258.954027777778</v>
      </c>
      <c r="I3098" s="1">
        <v>45258.954027777778</v>
      </c>
      <c r="J3098" s="1">
        <v>44696.254479166666</v>
      </c>
      <c r="K3098" cm="1">
        <f t="array" ref="K3098" xml:space="preserve"> sentimentCalc(C3098)</f>
        <v>0</v>
      </c>
      <c r="L3098" t="str" cm="1">
        <f t="array" ref="L3098" xml:space="preserve"> sentimentCategory(K3098)</f>
        <v>Neutral</v>
      </c>
    </row>
    <row r="3099" spans="1:12">
      <c r="A3099" t="s">
        <v>714</v>
      </c>
      <c r="B3099" t="s">
        <v>713</v>
      </c>
      <c r="C3099" t="str" cm="1">
        <f t="array" ref="C3099" xml:space="preserve"> CleanText(B3099)</f>
        <v>i like the casting but i can always complaini wish they wouldve made sokka and katara look more like in the cartoon  blue eyes darker skin  theyre a fictional race of people  they dont have to accurately represent any real ethnicity that exists today  maybe they tried it but the cgi looked like shi</v>
      </c>
      <c r="D3099">
        <v>3</v>
      </c>
      <c r="E3099">
        <v>0</v>
      </c>
      <c r="F3099" t="s">
        <v>0</v>
      </c>
      <c r="G3099" t="str" cm="1">
        <f t="array" ref="G3099" xml:space="preserve"> FindCountryName(F3099)</f>
        <v>None</v>
      </c>
      <c r="H3099" s="1">
        <v>45258.92083333333</v>
      </c>
      <c r="I3099" s="1">
        <v>45258.92083333333</v>
      </c>
      <c r="J3099" s="1">
        <v>41370.567974537036</v>
      </c>
      <c r="K3099" cm="1">
        <f t="array" ref="K3099" xml:space="preserve"> sentimentCalc(C3099)</f>
        <v>7</v>
      </c>
      <c r="L3099" t="str" cm="1">
        <f t="array" ref="L3099" xml:space="preserve"> sentimentCategory(K3099)</f>
        <v>Positive</v>
      </c>
    </row>
    <row r="3100" spans="1:12">
      <c r="A3100" t="s">
        <v>712</v>
      </c>
      <c r="B3100" t="s">
        <v>711</v>
      </c>
      <c r="C3100" t="str" cm="1">
        <f t="array" ref="C3100" xml:space="preserve"> CleanText(B3100)</f>
        <v>toph better be in this or im not watching</v>
      </c>
      <c r="D3100">
        <v>0</v>
      </c>
      <c r="E3100">
        <v>3</v>
      </c>
      <c r="F3100" t="s">
        <v>0</v>
      </c>
      <c r="G3100" t="str" cm="1">
        <f t="array" ref="G3100" xml:space="preserve"> FindCountryName(F3100)</f>
        <v>None</v>
      </c>
      <c r="H3100" s="1">
        <v>45258.909212962964</v>
      </c>
      <c r="I3100" s="1">
        <v>45258.909212962964</v>
      </c>
      <c r="J3100" s="1">
        <v>44562.887604166666</v>
      </c>
      <c r="K3100" cm="1">
        <f t="array" ref="K3100" xml:space="preserve"> sentimentCalc(C3100)</f>
        <v>2</v>
      </c>
      <c r="L3100" t="str" cm="1">
        <f t="array" ref="L3100" xml:space="preserve"> sentimentCategory(K3100)</f>
        <v>Positive</v>
      </c>
    </row>
    <row r="3101" spans="1:12">
      <c r="A3101" t="s">
        <v>710</v>
      </c>
      <c r="B3101" t="s">
        <v>709</v>
      </c>
      <c r="C3101" t="str" cm="1">
        <f t="array" ref="C3101" xml:space="preserve"> CleanText(B3101)</f>
        <v>hopefully its made by an actually competent studio not netflix</v>
      </c>
      <c r="D3101">
        <v>0</v>
      </c>
      <c r="E3101">
        <v>0</v>
      </c>
      <c r="F3101" t="s">
        <v>0</v>
      </c>
      <c r="G3101" t="str" cm="1">
        <f t="array" ref="G3101" xml:space="preserve"> FindCountryName(F3101)</f>
        <v>None</v>
      </c>
      <c r="H3101" s="1">
        <v>45258.909108796295</v>
      </c>
      <c r="I3101" s="1">
        <v>45258.909108796295</v>
      </c>
      <c r="J3101" s="1">
        <v>41376.123379629629</v>
      </c>
      <c r="K3101" cm="1">
        <f t="array" ref="K3101" xml:space="preserve"> sentimentCalc(C3101)</f>
        <v>4</v>
      </c>
      <c r="L3101" t="str" cm="1">
        <f t="array" ref="L3101" xml:space="preserve"> sentimentCategory(K3101)</f>
        <v>Positive</v>
      </c>
    </row>
    <row r="3102" spans="1:12">
      <c r="A3102" t="s">
        <v>612</v>
      </c>
      <c r="B3102" t="s">
        <v>708</v>
      </c>
      <c r="C3102" t="str" cm="1">
        <f t="array" ref="C3102" xml:space="preserve"> CleanText(B3102)</f>
        <v>waiting for book  with tough beifangmy favorite</v>
      </c>
      <c r="D3102">
        <v>0</v>
      </c>
      <c r="E3102">
        <v>0</v>
      </c>
      <c r="F3102" t="s">
        <v>610</v>
      </c>
      <c r="G3102" t="str" cm="1">
        <f t="array" ref="G3102" xml:space="preserve"> FindCountryName(F3102)</f>
        <v>Sri Lanka</v>
      </c>
      <c r="H3102" s="1">
        <v>45258.909039351849</v>
      </c>
      <c r="I3102" s="1">
        <v>45258.909039351849</v>
      </c>
      <c r="J3102" s="1">
        <v>44207.886342592596</v>
      </c>
      <c r="K3102" cm="1">
        <f t="array" ref="K3102" xml:space="preserve"> sentimentCalc(C3102)</f>
        <v>2</v>
      </c>
      <c r="L3102" t="str" cm="1">
        <f t="array" ref="L3102" xml:space="preserve"> sentimentCategory(K3102)</f>
        <v>Positive</v>
      </c>
    </row>
    <row r="3103" spans="1:12">
      <c r="A3103" t="s">
        <v>707</v>
      </c>
      <c r="B3103" t="s">
        <v>706</v>
      </c>
      <c r="C3103" t="str" cm="1">
        <f t="array" ref="C3103" xml:space="preserve"> CleanText(B3103)</f>
        <v>hopefully its better than the dumbazz movie</v>
      </c>
      <c r="D3103">
        <v>0</v>
      </c>
      <c r="E3103">
        <v>0</v>
      </c>
      <c r="F3103" t="s">
        <v>0</v>
      </c>
      <c r="G3103" t="str" cm="1">
        <f t="array" ref="G3103" xml:space="preserve"> FindCountryName(F3103)</f>
        <v>None</v>
      </c>
      <c r="H3103" s="1">
        <v>45258.90415509259</v>
      </c>
      <c r="I3103" s="1">
        <v>45258.90415509259</v>
      </c>
      <c r="J3103" s="1">
        <v>39046.084629629629</v>
      </c>
      <c r="K3103" cm="1">
        <f t="array" ref="K3103" xml:space="preserve"> sentimentCalc(C3103)</f>
        <v>4</v>
      </c>
      <c r="L3103" t="str" cm="1">
        <f t="array" ref="L3103" xml:space="preserve"> sentimentCategory(K3103)</f>
        <v>Positive</v>
      </c>
    </row>
    <row r="3104" spans="1:12">
      <c r="A3104" t="s">
        <v>225</v>
      </c>
      <c r="B3104" t="s">
        <v>705</v>
      </c>
      <c r="C3104" t="str" cm="1">
        <f t="array" ref="C3104" xml:space="preserve"> CleanText(B3104)</f>
        <v>so an exact remake of a movie that had tons of potentialwill it follow suit guess well see</v>
      </c>
      <c r="D3104">
        <v>0</v>
      </c>
      <c r="E3104">
        <v>0</v>
      </c>
      <c r="F3104" t="s">
        <v>0</v>
      </c>
      <c r="G3104" t="str" cm="1">
        <f t="array" ref="G3104" xml:space="preserve"> FindCountryName(F3104)</f>
        <v>None</v>
      </c>
      <c r="H3104" s="1">
        <v>45258.879861111112</v>
      </c>
      <c r="I3104" s="1">
        <v>45258.879861111112</v>
      </c>
      <c r="J3104" s="1">
        <v>42234.704699074071</v>
      </c>
      <c r="K3104" cm="1">
        <f t="array" ref="K3104" xml:space="preserve"> sentimentCalc(C3104)</f>
        <v>0</v>
      </c>
      <c r="L3104" t="str" cm="1">
        <f t="array" ref="L3104" xml:space="preserve"> sentimentCategory(K3104)</f>
        <v>Neutral</v>
      </c>
    </row>
    <row r="3105" spans="1:12">
      <c r="A3105" t="s">
        <v>704</v>
      </c>
      <c r="B3105" t="s">
        <v>703</v>
      </c>
      <c r="C3105" t="str" cm="1">
        <f t="array" ref="C3105" xml:space="preserve"> CleanText(B3105)</f>
        <v>yarrak gb olucak</v>
      </c>
      <c r="D3105">
        <v>0</v>
      </c>
      <c r="E3105">
        <v>2</v>
      </c>
      <c r="F3105" t="s">
        <v>0</v>
      </c>
      <c r="G3105" t="str" cm="1">
        <f t="array" ref="G3105" xml:space="preserve"> FindCountryName(F3105)</f>
        <v>None</v>
      </c>
      <c r="H3105" s="1">
        <v>45258.845254629632</v>
      </c>
      <c r="I3105" s="1">
        <v>45258.845254629632</v>
      </c>
      <c r="J3105" s="1">
        <v>42423.282129629632</v>
      </c>
      <c r="K3105" cm="1">
        <f t="array" ref="K3105" xml:space="preserve"> sentimentCalc(C3105)</f>
        <v>0</v>
      </c>
      <c r="L3105" t="str" cm="1">
        <f t="array" ref="L3105" xml:space="preserve"> sentimentCategory(K3105)</f>
        <v>Neutral</v>
      </c>
    </row>
    <row r="3106" spans="1:12">
      <c r="A3106" t="s">
        <v>437</v>
      </c>
      <c r="B3106" t="s">
        <v>702</v>
      </c>
      <c r="C3106" t="str" cm="1">
        <f t="array" ref="C3106" xml:space="preserve"> CleanText(B3106)</f>
        <v>i just pray they say aangs name correctly</v>
      </c>
      <c r="D3106">
        <v>1</v>
      </c>
      <c r="E3106">
        <v>1</v>
      </c>
      <c r="F3106" t="s">
        <v>0</v>
      </c>
      <c r="G3106" t="str" cm="1">
        <f t="array" ref="G3106" xml:space="preserve"> FindCountryName(F3106)</f>
        <v>None</v>
      </c>
      <c r="H3106" s="1">
        <v>45258.844398148147</v>
      </c>
      <c r="I3106" s="1">
        <v>45258.844398148147</v>
      </c>
      <c r="J3106" s="1">
        <v>41531.992442129631</v>
      </c>
      <c r="K3106" cm="1">
        <f t="array" ref="K3106" xml:space="preserve"> sentimentCalc(C3106)</f>
        <v>1</v>
      </c>
      <c r="L3106" t="str" cm="1">
        <f t="array" ref="L3106" xml:space="preserve"> sentimentCategory(K3106)</f>
        <v>Positive</v>
      </c>
    </row>
    <row r="3107" spans="1:12">
      <c r="A3107" t="s">
        <v>62</v>
      </c>
      <c r="B3107" t="s">
        <v>701</v>
      </c>
      <c r="C3107" t="str" cm="1">
        <f t="array" ref="C3107" xml:space="preserve"> CleanText(B3107)</f>
        <v>god i hope they actually tell the whole story this time im so done with chapter  and quit storytellers</v>
      </c>
      <c r="D3107">
        <v>0</v>
      </c>
      <c r="E3107">
        <v>0</v>
      </c>
      <c r="F3107" t="s">
        <v>0</v>
      </c>
      <c r="G3107" t="str" cm="1">
        <f t="array" ref="G3107" xml:space="preserve"> FindCountryName(F3107)</f>
        <v>None</v>
      </c>
      <c r="H3107" s="1">
        <v>45258.821122685185</v>
      </c>
      <c r="I3107" s="1">
        <v>45258.821122685185</v>
      </c>
      <c r="J3107" s="1">
        <v>41457.647766203707</v>
      </c>
      <c r="K3107" cm="1">
        <f t="array" ref="K3107" xml:space="preserve"> sentimentCalc(C3107)</f>
        <v>3</v>
      </c>
      <c r="L3107" t="str" cm="1">
        <f t="array" ref="L3107" xml:space="preserve"> sentimentCategory(K3107)</f>
        <v>Positive</v>
      </c>
    </row>
    <row r="3108" spans="1:12">
      <c r="A3108" t="s">
        <v>62</v>
      </c>
      <c r="B3108" t="s">
        <v>701</v>
      </c>
      <c r="C3108" t="str" cm="1">
        <f t="array" ref="C3108" xml:space="preserve"> CleanText(B3108)</f>
        <v>god i hope they actually tell the whole story this time im so done with chapter  and quit storytellers</v>
      </c>
      <c r="D3108">
        <v>0</v>
      </c>
      <c r="E3108">
        <v>0</v>
      </c>
      <c r="F3108" t="s">
        <v>0</v>
      </c>
      <c r="G3108" t="str" cm="1">
        <f t="array" ref="G3108" xml:space="preserve"> FindCountryName(F3108)</f>
        <v>None</v>
      </c>
      <c r="H3108" s="1">
        <v>45258.821053240739</v>
      </c>
      <c r="I3108" s="1">
        <v>45258.821053240739</v>
      </c>
      <c r="J3108" s="1">
        <v>41457.647766203707</v>
      </c>
      <c r="K3108" cm="1">
        <f t="array" ref="K3108" xml:space="preserve"> sentimentCalc(C3108)</f>
        <v>3</v>
      </c>
      <c r="L3108" t="str" cm="1">
        <f t="array" ref="L3108" xml:space="preserve"> sentimentCategory(K3108)</f>
        <v>Positive</v>
      </c>
    </row>
    <row r="3109" spans="1:12">
      <c r="A3109" t="s">
        <v>700</v>
      </c>
      <c r="B3109" t="s">
        <v>699</v>
      </c>
      <c r="C3109" t="str" cm="1">
        <f t="array" ref="C3109" xml:space="preserve"> CleanText(B3109)</f>
        <v>the aang is copy of nepali movie carreng</v>
      </c>
      <c r="D3109">
        <v>0</v>
      </c>
      <c r="E3109">
        <v>0</v>
      </c>
      <c r="F3109" t="s">
        <v>0</v>
      </c>
      <c r="G3109" t="str" cm="1">
        <f t="array" ref="G3109" xml:space="preserve"> FindCountryName(F3109)</f>
        <v>None</v>
      </c>
      <c r="H3109" s="1">
        <v>45258.801319444443</v>
      </c>
      <c r="I3109" s="1">
        <v>45258.801319444443</v>
      </c>
      <c r="J3109" s="1">
        <v>44648.242465277777</v>
      </c>
      <c r="K3109" cm="1">
        <f t="array" ref="K3109" xml:space="preserve"> sentimentCalc(C3109)</f>
        <v>0</v>
      </c>
      <c r="L3109" t="str" cm="1">
        <f t="array" ref="L3109" xml:space="preserve"> sentimentCategory(K3109)</f>
        <v>Neutral</v>
      </c>
    </row>
    <row r="3110" spans="1:12">
      <c r="A3110" t="s">
        <v>91</v>
      </c>
      <c r="B3110" t="s">
        <v>698</v>
      </c>
      <c r="C3110" t="str" cm="1">
        <f t="array" ref="C3110" xml:space="preserve"> CleanText(B3110)</f>
        <v>okay this is cool but just like how the movie failed i need to hear how they say his name if they say his name like the other movie this will just be a huge flop</v>
      </c>
      <c r="D3110">
        <v>0</v>
      </c>
      <c r="E3110">
        <v>0</v>
      </c>
      <c r="F3110" t="s">
        <v>0</v>
      </c>
      <c r="G3110" t="str" cm="1">
        <f t="array" ref="G3110" xml:space="preserve"> FindCountryName(F3110)</f>
        <v>None</v>
      </c>
      <c r="H3110" s="1">
        <v>45258.799618055556</v>
      </c>
      <c r="I3110" s="1">
        <v>45258.799618055556</v>
      </c>
      <c r="J3110" s="1">
        <v>40721.372418981482</v>
      </c>
      <c r="K3110" cm="1">
        <f t="array" ref="K3110" xml:space="preserve"> sentimentCalc(C3110)</f>
        <v>2</v>
      </c>
      <c r="L3110" t="str" cm="1">
        <f t="array" ref="L3110" xml:space="preserve"> sentimentCategory(K3110)</f>
        <v>Positive</v>
      </c>
    </row>
    <row r="3111" spans="1:12">
      <c r="A3111" t="s">
        <v>697</v>
      </c>
      <c r="B3111" t="s">
        <v>696</v>
      </c>
      <c r="C3111" t="str" cm="1">
        <f t="array" ref="C3111" xml:space="preserve"> CleanText(B3111)</f>
        <v>the biggest worry is seeing sceneslocations from books  and  is there any confirmation of this being a single season limited series or will we get multiple with representation of each nation through out the story given good writing there is so much depth beyond the original series to expand upon further looking forward to seeing uncle iro</v>
      </c>
      <c r="D3111">
        <v>8</v>
      </c>
      <c r="E3111">
        <v>4</v>
      </c>
      <c r="F3111" t="s">
        <v>0</v>
      </c>
      <c r="G3111" t="str" cm="1">
        <f t="array" ref="G3111" xml:space="preserve"> FindCountryName(F3111)</f>
        <v>None</v>
      </c>
      <c r="H3111" s="1">
        <v>45258.762743055559</v>
      </c>
      <c r="I3111" s="1">
        <v>45258.762743055559</v>
      </c>
      <c r="J3111" s="1">
        <v>41836.684039351851</v>
      </c>
      <c r="K3111" cm="1">
        <f t="array" ref="K3111" xml:space="preserve"> sentimentCalc(C3111)</f>
        <v>0</v>
      </c>
      <c r="L3111" t="str" cm="1">
        <f t="array" ref="L3111" xml:space="preserve"> sentimentCategory(K3111)</f>
        <v>Neutral</v>
      </c>
    </row>
    <row r="3112" spans="1:12">
      <c r="A3112" t="s">
        <v>603</v>
      </c>
      <c r="B3112" t="s">
        <v>695</v>
      </c>
      <c r="C3112" t="str" cm="1">
        <f t="array" ref="C3112" xml:space="preserve"> CleanText(B3112)</f>
        <v>dear netfllix use black people properly keep them away from antiquity dark ages georgian elizabethanvictorian and edwardian england   comprenda same goes for brown people too</v>
      </c>
      <c r="D3112">
        <v>0</v>
      </c>
      <c r="E3112">
        <v>2</v>
      </c>
      <c r="F3112" t="s">
        <v>0</v>
      </c>
      <c r="G3112" t="str" cm="1">
        <f t="array" ref="G3112" xml:space="preserve"> FindCountryName(F3112)</f>
        <v>None</v>
      </c>
      <c r="H3112" s="1">
        <v>45258.745046296295</v>
      </c>
      <c r="I3112" s="1">
        <v>45258.745046296295</v>
      </c>
      <c r="J3112" s="1">
        <v>44670.437893518516</v>
      </c>
      <c r="K3112" cm="1">
        <f t="array" ref="K3112" xml:space="preserve"> sentimentCalc(C3112)</f>
        <v>2</v>
      </c>
      <c r="L3112" t="str" cm="1">
        <f t="array" ref="L3112" xml:space="preserve"> sentimentCategory(K3112)</f>
        <v>Positive</v>
      </c>
    </row>
    <row r="3113" spans="1:12">
      <c r="A3113" t="s">
        <v>694</v>
      </c>
      <c r="B3113" t="s">
        <v>693</v>
      </c>
      <c r="C3113" t="str" cm="1">
        <f t="array" ref="C3113" xml:space="preserve"> CleanText(B3113)</f>
        <v>netflix is coming out with a lot of new movies</v>
      </c>
      <c r="D3113">
        <v>0</v>
      </c>
      <c r="E3113">
        <v>0</v>
      </c>
      <c r="F3113" t="s">
        <v>0</v>
      </c>
      <c r="G3113" t="str" cm="1">
        <f t="array" ref="G3113" xml:space="preserve"> FindCountryName(F3113)</f>
        <v>None</v>
      </c>
      <c r="H3113" s="1">
        <v>45258.732685185183</v>
      </c>
      <c r="I3113" s="1">
        <v>45258.732685185183</v>
      </c>
      <c r="J3113" s="1">
        <v>44394.841041666667</v>
      </c>
      <c r="K3113" cm="1">
        <f t="array" ref="K3113" xml:space="preserve"> sentimentCalc(C3113)</f>
        <v>0</v>
      </c>
      <c r="L3113" t="str" cm="1">
        <f t="array" ref="L3113" xml:space="preserve"> sentimentCategory(K3113)</f>
        <v>Neutral</v>
      </c>
    </row>
    <row r="3114" spans="1:12">
      <c r="A3114" t="s">
        <v>82</v>
      </c>
      <c r="B3114" t="s">
        <v>692</v>
      </c>
      <c r="C3114" t="str" cm="1">
        <f t="array" ref="C3114" xml:space="preserve"> CleanText(B3114)</f>
        <v>i think i already watched the last airbendernot anime before is this a remake</v>
      </c>
      <c r="D3114">
        <v>0</v>
      </c>
      <c r="E3114">
        <v>1</v>
      </c>
      <c r="F3114" t="s">
        <v>0</v>
      </c>
      <c r="G3114" t="str" cm="1">
        <f t="array" ref="G3114" xml:space="preserve"> FindCountryName(F3114)</f>
        <v>None</v>
      </c>
      <c r="H3114" s="1">
        <v>45258.730196759258</v>
      </c>
      <c r="I3114" s="1">
        <v>45258.730196759258</v>
      </c>
      <c r="J3114" s="1">
        <v>41513.851631944446</v>
      </c>
      <c r="K3114" cm="1">
        <f t="array" ref="K3114" xml:space="preserve"> sentimentCalc(C3114)</f>
        <v>0</v>
      </c>
      <c r="L3114" t="str" cm="1">
        <f t="array" ref="L3114" xml:space="preserve"> sentimentCategory(K3114)</f>
        <v>Neutral</v>
      </c>
    </row>
    <row r="3115" spans="1:12">
      <c r="A3115" t="s">
        <v>691</v>
      </c>
      <c r="B3115" t="s">
        <v>690</v>
      </c>
      <c r="C3115" t="str" cm="1">
        <f t="array" ref="C3115" xml:space="preserve"> CleanText(B3115)</f>
        <v>mannnnn yall really run out of ideas writing skill over there in hollywood cause this movie came out already so whats the difference now</v>
      </c>
      <c r="D3115">
        <v>0</v>
      </c>
      <c r="E3115">
        <v>2</v>
      </c>
      <c r="F3115" t="s">
        <v>0</v>
      </c>
      <c r="G3115" t="str" cm="1">
        <f t="array" ref="G3115" xml:space="preserve"> FindCountryName(F3115)</f>
        <v>None</v>
      </c>
      <c r="H3115" s="1">
        <v>45258.726157407407</v>
      </c>
      <c r="I3115" s="1">
        <v>45258.726817129631</v>
      </c>
      <c r="J3115" s="1">
        <v>42267.398668981485</v>
      </c>
      <c r="K3115" cm="1">
        <f t="array" ref="K3115" xml:space="preserve"> sentimentCalc(C3115)</f>
        <v>0</v>
      </c>
      <c r="L3115" t="str" cm="1">
        <f t="array" ref="L3115" xml:space="preserve"> sentimentCategory(K3115)</f>
        <v>Neutral</v>
      </c>
    </row>
    <row r="3116" spans="1:12">
      <c r="A3116" t="s">
        <v>62</v>
      </c>
      <c r="B3116" t="s">
        <v>689</v>
      </c>
      <c r="C3116" t="str" cm="1">
        <f t="array" ref="C3116" xml:space="preserve"> CleanText(B3116)</f>
        <v>but why</v>
      </c>
      <c r="D3116">
        <v>0</v>
      </c>
      <c r="E3116">
        <v>0</v>
      </c>
      <c r="F3116" t="s">
        <v>0</v>
      </c>
      <c r="G3116" t="str" cm="1">
        <f t="array" ref="G3116" xml:space="preserve"> FindCountryName(F3116)</f>
        <v>None</v>
      </c>
      <c r="H3116" s="1">
        <v>45258.725034722222</v>
      </c>
      <c r="I3116" s="1">
        <v>45258.725034722222</v>
      </c>
      <c r="J3116" s="1">
        <v>40057.661724537036</v>
      </c>
      <c r="K3116" cm="1">
        <f t="array" ref="K3116" xml:space="preserve"> sentimentCalc(C3116)</f>
        <v>0</v>
      </c>
      <c r="L3116" t="str" cm="1">
        <f t="array" ref="L3116" xml:space="preserve"> sentimentCategory(K3116)</f>
        <v>Neutral</v>
      </c>
    </row>
    <row r="3117" spans="1:12">
      <c r="A3117" t="s">
        <v>223</v>
      </c>
      <c r="B3117" t="s">
        <v>688</v>
      </c>
      <c r="C3117" t="str" cm="1">
        <f t="array" ref="C3117" xml:space="preserve"> CleanText(B3117)</f>
        <v>yeaaaahhhhhh</v>
      </c>
      <c r="D3117">
        <v>0</v>
      </c>
      <c r="E3117">
        <v>0</v>
      </c>
      <c r="F3117" t="s">
        <v>0</v>
      </c>
      <c r="G3117" t="str" cm="1">
        <f t="array" ref="G3117" xml:space="preserve"> FindCountryName(F3117)</f>
        <v>None</v>
      </c>
      <c r="H3117" s="1">
        <v>45258.700983796298</v>
      </c>
      <c r="I3117" s="1">
        <v>45258.700983796298</v>
      </c>
      <c r="J3117" s="1">
        <v>41719.55300925926</v>
      </c>
      <c r="K3117" cm="1">
        <f t="array" ref="K3117" xml:space="preserve"> sentimentCalc(C3117)</f>
        <v>0</v>
      </c>
      <c r="L3117" t="str" cm="1">
        <f t="array" ref="L3117" xml:space="preserve"> sentimentCategory(K3117)</f>
        <v>Neutral</v>
      </c>
    </row>
    <row r="3118" spans="1:12">
      <c r="A3118" t="s">
        <v>687</v>
      </c>
      <c r="B3118" t="s">
        <v>686</v>
      </c>
      <c r="C3118" t="str" cm="1">
        <f t="array" ref="C3118" xml:space="preserve"> CleanText(B3118)</f>
        <v>dont u mess this up</v>
      </c>
      <c r="D3118">
        <v>0</v>
      </c>
      <c r="E3118">
        <v>0</v>
      </c>
      <c r="F3118" t="s">
        <v>0</v>
      </c>
      <c r="G3118" t="str" cm="1">
        <f t="array" ref="G3118" xml:space="preserve"> FindCountryName(F3118)</f>
        <v>None</v>
      </c>
      <c r="H3118" s="1">
        <v>45258.682800925926</v>
      </c>
      <c r="I3118" s="1">
        <v>45258.682800925926</v>
      </c>
      <c r="J3118" s="1">
        <v>41082.343171296299</v>
      </c>
      <c r="K3118" cm="1">
        <f t="array" ref="K3118" xml:space="preserve"> sentimentCalc(C3118)</f>
        <v>-2</v>
      </c>
      <c r="L3118" t="str" cm="1">
        <f t="array" ref="L3118" xml:space="preserve"> sentimentCategory(K3118)</f>
        <v>Negative</v>
      </c>
    </row>
    <row r="3119" spans="1:12">
      <c r="A3119" t="s">
        <v>685</v>
      </c>
      <c r="B3119" t="s">
        <v>684</v>
      </c>
      <c r="C3119" t="str" cm="1">
        <f t="array" ref="C3119" xml:space="preserve"> CleanText(B3119)</f>
        <v>eh i wont get my hopes up i want it to be good we shall see shant we</v>
      </c>
      <c r="D3119">
        <v>0</v>
      </c>
      <c r="E3119">
        <v>0</v>
      </c>
      <c r="F3119" t="s">
        <v>0</v>
      </c>
      <c r="G3119" t="str" cm="1">
        <f t="array" ref="G3119" xml:space="preserve"> FindCountryName(F3119)</f>
        <v>None</v>
      </c>
      <c r="H3119" s="1">
        <v>45258.664641203701</v>
      </c>
      <c r="I3119" s="1">
        <v>45258.664641203701</v>
      </c>
      <c r="J3119" s="1">
        <v>40870.99732638889</v>
      </c>
      <c r="K3119" cm="1">
        <f t="array" ref="K3119" xml:space="preserve"> sentimentCalc(C3119)</f>
        <v>6</v>
      </c>
      <c r="L3119" t="str" cm="1">
        <f t="array" ref="L3119" xml:space="preserve"> sentimentCategory(K3119)</f>
        <v>Positive</v>
      </c>
    </row>
    <row r="3120" spans="1:12">
      <c r="A3120" t="s">
        <v>683</v>
      </c>
      <c r="B3120" t="s">
        <v>682</v>
      </c>
      <c r="C3120" t="str" cm="1">
        <f t="array" ref="C3120" xml:space="preserve"> CleanText(B3120)</f>
        <v>please for the love of god make it faithful to the source material</v>
      </c>
      <c r="D3120">
        <v>0</v>
      </c>
      <c r="E3120">
        <v>0</v>
      </c>
      <c r="F3120" t="s">
        <v>681</v>
      </c>
      <c r="G3120" t="str" cm="1">
        <f t="array" ref="G3120" xml:space="preserve"> FindCountryName(F3120)</f>
        <v>Ireland</v>
      </c>
      <c r="H3120" s="1">
        <v>45258.66</v>
      </c>
      <c r="I3120" s="1">
        <v>45258.66</v>
      </c>
      <c r="J3120" s="1">
        <v>42114.57135416667</v>
      </c>
      <c r="K3120" cm="1">
        <f t="array" ref="K3120" xml:space="preserve"> sentimentCalc(C3120)</f>
        <v>8</v>
      </c>
      <c r="L3120" t="str" cm="1">
        <f t="array" ref="L3120" xml:space="preserve"> sentimentCategory(K3120)</f>
        <v>Positive</v>
      </c>
    </row>
    <row r="3121" spans="1:12">
      <c r="A3121" t="s">
        <v>680</v>
      </c>
      <c r="B3121" t="s">
        <v>679</v>
      </c>
      <c r="C3121" t="str" cm="1">
        <f t="array" ref="C3121" xml:space="preserve"> CleanText(B3121)</f>
        <v>expect dissapointment hope for the best</v>
      </c>
      <c r="D3121">
        <v>0</v>
      </c>
      <c r="E3121">
        <v>0</v>
      </c>
      <c r="F3121" t="s">
        <v>0</v>
      </c>
      <c r="G3121" t="str" cm="1">
        <f t="array" ref="G3121" xml:space="preserve"> FindCountryName(F3121)</f>
        <v>None</v>
      </c>
      <c r="H3121" s="1">
        <v>45258.659155092595</v>
      </c>
      <c r="I3121" s="1">
        <v>45258.659155092595</v>
      </c>
      <c r="J3121" s="1">
        <v>45208.928043981483</v>
      </c>
      <c r="K3121" cm="1">
        <f t="array" ref="K3121" xml:space="preserve"> sentimentCalc(C3121)</f>
        <v>5</v>
      </c>
      <c r="L3121" t="str" cm="1">
        <f t="array" ref="L3121" xml:space="preserve"> sentimentCategory(K3121)</f>
        <v>Positive</v>
      </c>
    </row>
    <row r="3122" spans="1:12">
      <c r="A3122" t="s">
        <v>678</v>
      </c>
      <c r="B3122" t="s">
        <v>677</v>
      </c>
      <c r="C3122" t="str" cm="1">
        <f t="array" ref="C3122" xml:space="preserve"> CleanText(B3122)</f>
        <v>another netflix show that will be cancelled just after  season</v>
      </c>
      <c r="D3122">
        <v>0</v>
      </c>
      <c r="E3122">
        <v>0</v>
      </c>
      <c r="F3122" t="s">
        <v>0</v>
      </c>
      <c r="G3122" t="str" cm="1">
        <f t="array" ref="G3122" xml:space="preserve"> FindCountryName(F3122)</f>
        <v>None</v>
      </c>
      <c r="H3122" s="1">
        <v>45258.636886574073</v>
      </c>
      <c r="I3122" s="1">
        <v>45258.636886574073</v>
      </c>
      <c r="J3122" s="1">
        <v>40213.494398148148</v>
      </c>
      <c r="K3122" cm="1">
        <f t="array" ref="K3122" xml:space="preserve"> sentimentCalc(C3122)</f>
        <v>-1</v>
      </c>
      <c r="L3122" t="str" cm="1">
        <f t="array" ref="L3122" xml:space="preserve"> sentimentCategory(K3122)</f>
        <v>Negative</v>
      </c>
    </row>
    <row r="3123" spans="1:12">
      <c r="A3123" t="s">
        <v>225</v>
      </c>
      <c r="B3123" t="s">
        <v>676</v>
      </c>
      <c r="C3123" t="str" cm="1">
        <f t="array" ref="C3123" xml:space="preserve"> CleanText(B3123)</f>
        <v>feb 0</v>
      </c>
      <c r="D3123">
        <v>0</v>
      </c>
      <c r="E3123">
        <v>1</v>
      </c>
      <c r="F3123" t="s">
        <v>0</v>
      </c>
      <c r="G3123" t="str" cm="1">
        <f t="array" ref="G3123" xml:space="preserve"> FindCountryName(F3123)</f>
        <v>None</v>
      </c>
      <c r="H3123" s="1">
        <v>45258.632106481484</v>
      </c>
      <c r="I3123" s="1">
        <v>45258.632106481484</v>
      </c>
      <c r="J3123" s="1">
        <v>41723.788807870369</v>
      </c>
      <c r="K3123" cm="1">
        <f t="array" ref="K3123" xml:space="preserve"> sentimentCalc(C3123)</f>
        <v>0</v>
      </c>
      <c r="L3123" t="str" cm="1">
        <f t="array" ref="L3123" xml:space="preserve"> sentimentCategory(K3123)</f>
        <v>Neutral</v>
      </c>
    </row>
    <row r="3124" spans="1:12">
      <c r="A3124" t="s">
        <v>575</v>
      </c>
      <c r="B3124" t="s">
        <v>675</v>
      </c>
      <c r="C3124" t="str" cm="1">
        <f t="array" ref="C3124" xml:space="preserve"> CleanText(B3124)</f>
        <v>hopefully this one is better then the last movie because im a huge avatar fan  and i dont wanna be left disappointed for the second time</v>
      </c>
      <c r="D3124">
        <v>50</v>
      </c>
      <c r="E3124">
        <v>9</v>
      </c>
      <c r="F3124" t="s">
        <v>0</v>
      </c>
      <c r="G3124" t="str" cm="1">
        <f t="array" ref="G3124" xml:space="preserve"> FindCountryName(F3124)</f>
        <v>None</v>
      </c>
      <c r="H3124" s="1">
        <v>45258.630833333336</v>
      </c>
      <c r="I3124" s="1">
        <v>45258.630833333336</v>
      </c>
      <c r="J3124" s="1">
        <v>43069.741585648146</v>
      </c>
      <c r="K3124" cm="1">
        <f t="array" ref="K3124" xml:space="preserve"> sentimentCalc(C3124)</f>
        <v>6</v>
      </c>
      <c r="L3124" t="str" cm="1">
        <f t="array" ref="L3124" xml:space="preserve"> sentimentCategory(K3124)</f>
        <v>Positive</v>
      </c>
    </row>
    <row r="3125" spans="1:12">
      <c r="A3125" t="s">
        <v>674</v>
      </c>
      <c r="B3125" t="s">
        <v>673</v>
      </c>
      <c r="C3125" t="str" cm="1">
        <f t="array" ref="C3125" xml:space="preserve"> CleanText(B3125)</f>
        <v>elcagaming</v>
      </c>
      <c r="D3125">
        <v>0</v>
      </c>
      <c r="E3125">
        <v>0</v>
      </c>
      <c r="F3125" t="s">
        <v>0</v>
      </c>
      <c r="G3125" t="str" cm="1">
        <f t="array" ref="G3125" xml:space="preserve"> FindCountryName(F3125)</f>
        <v>None</v>
      </c>
      <c r="H3125" s="1">
        <v>45258.618125000001</v>
      </c>
      <c r="I3125" s="1">
        <v>45258.618125000001</v>
      </c>
      <c r="J3125" s="1">
        <v>41501.176388888889</v>
      </c>
      <c r="K3125" cm="1">
        <f t="array" ref="K3125" xml:space="preserve"> sentimentCalc(C3125)</f>
        <v>0</v>
      </c>
      <c r="L3125" t="str" cm="1">
        <f t="array" ref="L3125" xml:space="preserve"> sentimentCategory(K3125)</f>
        <v>Neutral</v>
      </c>
    </row>
    <row r="3126" spans="1:12">
      <c r="A3126" t="s">
        <v>4</v>
      </c>
      <c r="B3126" t="s">
        <v>672</v>
      </c>
      <c r="C3126" t="str" cm="1">
        <f t="array" ref="C3126" xml:space="preserve"> CleanText(B3126)</f>
        <v>netflix if this doesnt follow the actual story im done with your overpriced sub fee and your creative writers trying to make the show their own</v>
      </c>
      <c r="D3126">
        <v>0</v>
      </c>
      <c r="E3126">
        <v>0</v>
      </c>
      <c r="F3126" t="s">
        <v>0</v>
      </c>
      <c r="G3126" t="str" cm="1">
        <f t="array" ref="G3126" xml:space="preserve"> FindCountryName(F3126)</f>
        <v>None</v>
      </c>
      <c r="H3126" s="1">
        <v>45258.606469907405</v>
      </c>
      <c r="I3126" s="1">
        <v>45258.606469907405</v>
      </c>
      <c r="J3126" s="1">
        <v>42026.41479166667</v>
      </c>
      <c r="K3126" cm="1">
        <f t="array" ref="K3126" xml:space="preserve"> sentimentCalc(C3126)</f>
        <v>2</v>
      </c>
      <c r="L3126" t="str" cm="1">
        <f t="array" ref="L3126" xml:space="preserve"> sentimentCategory(K3126)</f>
        <v>Positive</v>
      </c>
    </row>
    <row r="3127" spans="1:12">
      <c r="A3127" t="s">
        <v>671</v>
      </c>
      <c r="B3127" t="s">
        <v>670</v>
      </c>
      <c r="C3127" t="str" cm="1">
        <f t="array" ref="C3127" xml:space="preserve"> CleanText(B3127)</f>
        <v>my one hope is that this is better than the movie _xDD23_</v>
      </c>
      <c r="D3127">
        <v>0</v>
      </c>
      <c r="E3127">
        <v>0</v>
      </c>
      <c r="F3127" t="s">
        <v>0</v>
      </c>
      <c r="G3127" t="str" cm="1">
        <f t="array" ref="G3127" xml:space="preserve"> FindCountryName(F3127)</f>
        <v>None</v>
      </c>
      <c r="H3127" s="1">
        <v>45258.605497685188</v>
      </c>
      <c r="I3127" s="1">
        <v>45258.605497685188</v>
      </c>
      <c r="J3127" s="1">
        <v>45008.615833333337</v>
      </c>
      <c r="K3127" cm="1">
        <f t="array" ref="K3127" xml:space="preserve"> sentimentCalc(C3127)</f>
        <v>4</v>
      </c>
      <c r="L3127" t="str" cm="1">
        <f t="array" ref="L3127" xml:space="preserve"> sentimentCategory(K3127)</f>
        <v>Positive</v>
      </c>
    </row>
    <row r="3128" spans="1:12">
      <c r="A3128" t="s">
        <v>669</v>
      </c>
      <c r="B3128" t="s">
        <v>668</v>
      </c>
      <c r="C3128" t="str" cm="1">
        <f t="array" ref="C3128" xml:space="preserve"> CleanText(B3128)</f>
        <v>i need the same hindi dubbing artists in this</v>
      </c>
      <c r="D3128">
        <v>0</v>
      </c>
      <c r="E3128">
        <v>0</v>
      </c>
      <c r="F3128" t="s">
        <v>0</v>
      </c>
      <c r="G3128" t="str" cm="1">
        <f t="array" ref="G3128" xml:space="preserve"> FindCountryName(F3128)</f>
        <v>None</v>
      </c>
      <c r="H3128" s="1">
        <v>45258.588402777779</v>
      </c>
      <c r="I3128" s="1">
        <v>45258.588402777779</v>
      </c>
      <c r="J3128" s="1">
        <v>42859.384722222225</v>
      </c>
      <c r="K3128" cm="1">
        <f t="array" ref="K3128" xml:space="preserve"> sentimentCalc(C3128)</f>
        <v>0</v>
      </c>
      <c r="L3128" t="str" cm="1">
        <f t="array" ref="L3128" xml:space="preserve"> sentimentCategory(K3128)</f>
        <v>Neutral</v>
      </c>
    </row>
    <row r="3129" spans="1:12">
      <c r="A3129" t="s">
        <v>282</v>
      </c>
      <c r="B3129" t="s">
        <v>667</v>
      </c>
      <c r="C3129" t="str" cm="1">
        <f t="array" ref="C3129" xml:space="preserve"> CleanText(B3129)</f>
        <v>los mejores en agarrar algo bueno y hacerlo fallar no entiendo para qu hacen live action una serie que funciona bien animada gasten recursos en otra cosa</v>
      </c>
      <c r="D3129">
        <v>0</v>
      </c>
      <c r="E3129">
        <v>0</v>
      </c>
      <c r="F3129" t="s">
        <v>0</v>
      </c>
      <c r="G3129" t="str" cm="1">
        <f t="array" ref="G3129" xml:space="preserve"> FindCountryName(F3129)</f>
        <v>None</v>
      </c>
      <c r="H3129" s="1">
        <v>45258.575115740743</v>
      </c>
      <c r="I3129" s="1">
        <v>45258.575115740743</v>
      </c>
      <c r="J3129" s="1">
        <v>39343.657719907409</v>
      </c>
      <c r="K3129" cm="1">
        <f t="array" ref="K3129" xml:space="preserve"> sentimentCalc(C3129)</f>
        <v>-1</v>
      </c>
      <c r="L3129" t="str" cm="1">
        <f t="array" ref="L3129" xml:space="preserve"> sentimentCategory(K3129)</f>
        <v>Negative</v>
      </c>
    </row>
    <row r="3130" spans="1:12">
      <c r="A3130" t="s">
        <v>169</v>
      </c>
      <c r="B3130" t="s">
        <v>666</v>
      </c>
      <c r="C3130" t="str" cm="1">
        <f t="array" ref="C3130" xml:space="preserve"> CleanText(B3130)</f>
        <v>it looks way better than the movie you cant do worse than aung</v>
      </c>
      <c r="D3130">
        <v>0</v>
      </c>
      <c r="E3130">
        <v>0</v>
      </c>
      <c r="F3130" t="s">
        <v>0</v>
      </c>
      <c r="G3130" t="str" cm="1">
        <f t="array" ref="G3130" xml:space="preserve"> FindCountryName(F3130)</f>
        <v>None</v>
      </c>
      <c r="H3130" s="1">
        <v>45258.555509259262</v>
      </c>
      <c r="I3130" s="1">
        <v>45258.555509259262</v>
      </c>
      <c r="J3130" s="1">
        <v>42795.127986111111</v>
      </c>
      <c r="K3130" cm="1">
        <f t="array" ref="K3130" xml:space="preserve"> sentimentCalc(C3130)</f>
        <v>-1</v>
      </c>
      <c r="L3130" t="str" cm="1">
        <f t="array" ref="L3130" xml:space="preserve"> sentimentCategory(K3130)</f>
        <v>Negative</v>
      </c>
    </row>
    <row r="3131" spans="1:12">
      <c r="A3131" t="s">
        <v>665</v>
      </c>
      <c r="B3131" t="s">
        <v>664</v>
      </c>
      <c r="C3131" t="str" cm="1">
        <f t="array" ref="C3131" xml:space="preserve"> CleanText(B3131)</f>
        <v>i will definitely buy netflix at least for watching this</v>
      </c>
      <c r="D3131">
        <v>1</v>
      </c>
      <c r="E3131">
        <v>0</v>
      </c>
      <c r="F3131" t="s">
        <v>0</v>
      </c>
      <c r="G3131" t="str" cm="1">
        <f t="array" ref="G3131" xml:space="preserve"> FindCountryName(F3131)</f>
        <v>None</v>
      </c>
      <c r="H3131" s="1">
        <v>45258.546273148146</v>
      </c>
      <c r="I3131" s="1">
        <v>45258.546273148146</v>
      </c>
      <c r="J3131" s="1">
        <v>45155.387523148151</v>
      </c>
      <c r="K3131" cm="1">
        <f t="array" ref="K3131" xml:space="preserve"> sentimentCalc(C3131)</f>
        <v>0</v>
      </c>
      <c r="L3131" t="str" cm="1">
        <f t="array" ref="L3131" xml:space="preserve"> sentimentCategory(K3131)</f>
        <v>Neutral</v>
      </c>
    </row>
    <row r="3132" spans="1:12">
      <c r="A3132" t="s">
        <v>663</v>
      </c>
      <c r="B3132" t="s">
        <v>662</v>
      </c>
      <c r="C3132" t="str" cm="1">
        <f t="array" ref="C3132" xml:space="preserve"> CleanText(B3132)</f>
        <v>im so happy they got the music</v>
      </c>
      <c r="D3132">
        <v>0</v>
      </c>
      <c r="E3132">
        <v>0</v>
      </c>
      <c r="F3132" t="s">
        <v>0</v>
      </c>
      <c r="G3132" t="str" cm="1">
        <f t="array" ref="G3132" xml:space="preserve"> FindCountryName(F3132)</f>
        <v>None</v>
      </c>
      <c r="H3132" s="1">
        <v>45258.543877314813</v>
      </c>
      <c r="I3132" s="1">
        <v>45258.543877314813</v>
      </c>
      <c r="J3132" s="1">
        <v>40007.658784722225</v>
      </c>
      <c r="K3132" cm="1">
        <f t="array" ref="K3132" xml:space="preserve"> sentimentCalc(C3132)</f>
        <v>3</v>
      </c>
      <c r="L3132" t="str" cm="1">
        <f t="array" ref="L3132" xml:space="preserve"> sentimentCategory(K3132)</f>
        <v>Positive</v>
      </c>
    </row>
    <row r="3133" spans="1:12">
      <c r="A3133" t="s">
        <v>661</v>
      </c>
      <c r="B3133" t="s">
        <v>660</v>
      </c>
      <c r="C3133" t="str" cm="1">
        <f t="array" ref="C3133" xml:space="preserve"> CleanText(B3133)</f>
        <v>goosebump bgm_xDD25_</v>
      </c>
      <c r="D3133">
        <v>0</v>
      </c>
      <c r="E3133">
        <v>0</v>
      </c>
      <c r="F3133" t="s">
        <v>0</v>
      </c>
      <c r="G3133" t="str" cm="1">
        <f t="array" ref="G3133" xml:space="preserve"> FindCountryName(F3133)</f>
        <v>None</v>
      </c>
      <c r="H3133" s="1">
        <v>45258.531446759262</v>
      </c>
      <c r="I3133" s="1">
        <v>45258.531446759262</v>
      </c>
      <c r="J3133" s="1">
        <v>42128.892268518517</v>
      </c>
      <c r="K3133" cm="1">
        <f t="array" ref="K3133" xml:space="preserve"> sentimentCalc(C3133)</f>
        <v>0</v>
      </c>
      <c r="L3133" t="str" cm="1">
        <f t="array" ref="L3133" xml:space="preserve"> sentimentCategory(K3133)</f>
        <v>Neutral</v>
      </c>
    </row>
    <row r="3134" spans="1:12">
      <c r="A3134" t="s">
        <v>192</v>
      </c>
      <c r="B3134" t="s">
        <v>659</v>
      </c>
      <c r="C3134" t="str" cm="1">
        <f t="array" ref="C3134" xml:space="preserve"> CleanText(B3134)</f>
        <v>just waiting to see how will they pronounce aang</v>
      </c>
      <c r="D3134">
        <v>0</v>
      </c>
      <c r="E3134">
        <v>0</v>
      </c>
      <c r="F3134" t="s">
        <v>98</v>
      </c>
      <c r="G3134" t="str" cm="1">
        <f t="array" ref="G3134" xml:space="preserve"> FindCountryName(F3134)</f>
        <v>India</v>
      </c>
      <c r="H3134" s="1">
        <v>45258.475046296298</v>
      </c>
      <c r="I3134" s="1">
        <v>45258.475254629629</v>
      </c>
      <c r="J3134" s="1">
        <v>42262.268078703702</v>
      </c>
      <c r="K3134" cm="1">
        <f t="array" ref="K3134" xml:space="preserve"> sentimentCalc(C3134)</f>
        <v>0</v>
      </c>
      <c r="L3134" t="str" cm="1">
        <f t="array" ref="L3134" xml:space="preserve"> sentimentCategory(K3134)</f>
        <v>Neutral</v>
      </c>
    </row>
    <row r="3135" spans="1:12">
      <c r="A3135" t="s">
        <v>658</v>
      </c>
      <c r="B3135" t="s">
        <v>657</v>
      </c>
      <c r="C3135" t="str" cm="1">
        <f t="array" ref="C3135" xml:space="preserve"> CleanText(B3135)</f>
        <v>i might actually buy netflix again when this releases</v>
      </c>
      <c r="D3135">
        <v>0</v>
      </c>
      <c r="E3135">
        <v>0</v>
      </c>
      <c r="F3135" t="s">
        <v>0</v>
      </c>
      <c r="G3135" t="str" cm="1">
        <f t="array" ref="G3135" xml:space="preserve"> FindCountryName(F3135)</f>
        <v>None</v>
      </c>
      <c r="H3135" s="1">
        <v>45258.456828703704</v>
      </c>
      <c r="I3135" s="1">
        <v>45258.456828703704</v>
      </c>
      <c r="J3135" s="1">
        <v>41524.265393518515</v>
      </c>
      <c r="K3135" cm="1">
        <f t="array" ref="K3135" xml:space="preserve"> sentimentCalc(C3135)</f>
        <v>0</v>
      </c>
      <c r="L3135" t="str" cm="1">
        <f t="array" ref="L3135" xml:space="preserve"> sentimentCategory(K3135)</f>
        <v>Neutral</v>
      </c>
    </row>
    <row r="3136" spans="1:12">
      <c r="A3136" t="s">
        <v>529</v>
      </c>
      <c r="B3136" t="s">
        <v>656</v>
      </c>
      <c r="C3136" t="str" cm="1">
        <f t="array" ref="C3136" xml:space="preserve"> CleanText(B3136)</f>
        <v>my wife is a big fan of the original show and ive seen bits and pieces and liked what i saw were finally sitting down and watching the show together and im loving it currently on s e) this trailer has more of an impact now that i started watching after this trailer came out and for once im actually excited about a live action adaptation</v>
      </c>
      <c r="D3136">
        <v>509</v>
      </c>
      <c r="E3136">
        <v>11</v>
      </c>
      <c r="F3136" t="s">
        <v>0</v>
      </c>
      <c r="G3136" t="str" cm="1">
        <f t="array" ref="G3136" xml:space="preserve"> FindCountryName(F3136)</f>
        <v>None</v>
      </c>
      <c r="H3136" s="1">
        <v>45258.455347222225</v>
      </c>
      <c r="I3136" s="1">
        <v>45258.455347222225</v>
      </c>
      <c r="J3136" s="1">
        <v>39031.662291666667</v>
      </c>
      <c r="K3136" cm="1">
        <f t="array" ref="K3136" xml:space="preserve"> sentimentCalc(C3136)</f>
        <v>11</v>
      </c>
      <c r="L3136" t="str" cm="1">
        <f t="array" ref="L3136" xml:space="preserve"> sentimentCategory(K3136)</f>
        <v>Positive</v>
      </c>
    </row>
    <row r="3137" spans="1:12">
      <c r="A3137" t="s">
        <v>233</v>
      </c>
      <c r="B3137" t="s">
        <v>655</v>
      </c>
      <c r="C3137" t="str" cm="1">
        <f t="array" ref="C3137" xml:space="preserve"> CleanText(B3137)</f>
        <v>follow me my friend</v>
      </c>
      <c r="D3137">
        <v>0</v>
      </c>
      <c r="E3137">
        <v>0</v>
      </c>
      <c r="F3137" t="s">
        <v>19</v>
      </c>
      <c r="G3137" t="str" cm="1">
        <f t="array" ref="G3137" xml:space="preserve"> FindCountryName(F3137)</f>
        <v>United States of America (the)</v>
      </c>
      <c r="H3137" s="1">
        <v>45258.439652777779</v>
      </c>
      <c r="I3137" s="1">
        <v>45258.439652777779</v>
      </c>
      <c r="J3137" s="1">
        <v>41258.52853009259</v>
      </c>
      <c r="K3137" cm="1">
        <f t="array" ref="K3137" xml:space="preserve"> sentimentCalc(C3137)</f>
        <v>0</v>
      </c>
      <c r="L3137" t="str" cm="1">
        <f t="array" ref="L3137" xml:space="preserve"> sentimentCategory(K3137)</f>
        <v>Neutral</v>
      </c>
    </row>
    <row r="3138" spans="1:12">
      <c r="A3138" t="s">
        <v>325</v>
      </c>
      <c r="B3138" t="s">
        <v>654</v>
      </c>
      <c r="C3138" t="str" cm="1">
        <f t="array" ref="C3138" xml:space="preserve"> CleanText(B3138)</f>
        <v>my favorite carton ever goosebumps all my body and i am saying all my body is all my body _xDE05_ that is a good sign right</v>
      </c>
      <c r="D3138">
        <v>1</v>
      </c>
      <c r="E3138">
        <v>0</v>
      </c>
      <c r="F3138" t="s">
        <v>0</v>
      </c>
      <c r="G3138" t="str" cm="1">
        <f t="array" ref="G3138" xml:space="preserve"> FindCountryName(F3138)</f>
        <v>None</v>
      </c>
      <c r="H3138" s="1">
        <v>45258.438680555555</v>
      </c>
      <c r="I3138" s="1">
        <v>45258.438680555555</v>
      </c>
      <c r="J3138" s="1">
        <v>40855.328865740739</v>
      </c>
      <c r="K3138" cm="1">
        <f t="array" ref="K3138" xml:space="preserve"> sentimentCalc(C3138)</f>
        <v>5</v>
      </c>
      <c r="L3138" t="str" cm="1">
        <f t="array" ref="L3138" xml:space="preserve"> sentimentCategory(K3138)</f>
        <v>Positive</v>
      </c>
    </row>
    <row r="3139" spans="1:12">
      <c r="A3139" t="s">
        <v>653</v>
      </c>
      <c r="B3139" t="s">
        <v>652</v>
      </c>
      <c r="C3139" t="str" cm="1">
        <f t="array" ref="C3139" xml:space="preserve"> CleanText(B3139)</f>
        <v>i hope netflix learned from the witcher and one piece and sticks to the original material if so very excited about this series</v>
      </c>
      <c r="D3139">
        <v>1</v>
      </c>
      <c r="E3139">
        <v>0</v>
      </c>
      <c r="F3139" t="s">
        <v>0</v>
      </c>
      <c r="G3139" t="str" cm="1">
        <f t="array" ref="G3139" xml:space="preserve"> FindCountryName(F3139)</f>
        <v>None</v>
      </c>
      <c r="H3139" s="1">
        <v>45258.436111111114</v>
      </c>
      <c r="I3139" s="1">
        <v>45258.436111111114</v>
      </c>
      <c r="J3139" s="1">
        <v>41827.765729166669</v>
      </c>
      <c r="K3139" cm="1">
        <f t="array" ref="K3139" xml:space="preserve"> sentimentCalc(C3139)</f>
        <v>5</v>
      </c>
      <c r="L3139" t="str" cm="1">
        <f t="array" ref="L3139" xml:space="preserve"> sentimentCategory(K3139)</f>
        <v>Positive</v>
      </c>
    </row>
    <row r="3140" spans="1:12">
      <c r="A3140" t="s">
        <v>51</v>
      </c>
      <c r="B3140" t="s">
        <v>651</v>
      </c>
      <c r="C3140" t="str" cm="1">
        <f t="array" ref="C3140" xml:space="preserve"> CleanText(B3140)</f>
        <v>first we got live action for one piece and now this another live action for avatar</v>
      </c>
      <c r="D3140">
        <v>0</v>
      </c>
      <c r="E3140">
        <v>0</v>
      </c>
      <c r="F3140" t="s">
        <v>0</v>
      </c>
      <c r="G3140" t="str" cm="1">
        <f t="array" ref="G3140" xml:space="preserve"> FindCountryName(F3140)</f>
        <v>None</v>
      </c>
      <c r="H3140" s="1">
        <v>45258.433321759258</v>
      </c>
      <c r="I3140" s="1">
        <v>45258.433321759258</v>
      </c>
      <c r="J3140" s="1">
        <v>44910.831284722219</v>
      </c>
      <c r="K3140" cm="1">
        <f t="array" ref="K3140" xml:space="preserve"> sentimentCalc(C3140)</f>
        <v>0</v>
      </c>
      <c r="L3140" t="str" cm="1">
        <f t="array" ref="L3140" xml:space="preserve"> sentimentCategory(K3140)</f>
        <v>Neutral</v>
      </c>
    </row>
    <row r="3141" spans="1:12">
      <c r="A3141" t="s">
        <v>317</v>
      </c>
      <c r="B3141" t="s">
        <v>650</v>
      </c>
      <c r="C3141" t="str" cm="1">
        <f t="array" ref="C3141" xml:space="preserve"> CleanText(B3141)</f>
        <v>i usually create reallity with my mind  and i want this to be the greatest thing ever so i know this will be</v>
      </c>
      <c r="D3141">
        <v>0</v>
      </c>
      <c r="E3141">
        <v>0</v>
      </c>
      <c r="F3141" t="s">
        <v>0</v>
      </c>
      <c r="G3141" t="str" cm="1">
        <f t="array" ref="G3141" xml:space="preserve"> FindCountryName(F3141)</f>
        <v>None</v>
      </c>
      <c r="H3141" s="1">
        <v>45258.424525462964</v>
      </c>
      <c r="I3141" s="1">
        <v>45258.424525462964</v>
      </c>
      <c r="J3141" s="1">
        <v>43452.293414351851</v>
      </c>
      <c r="K3141" cm="1">
        <f t="array" ref="K3141" xml:space="preserve"> sentimentCalc(C3141)</f>
        <v>4</v>
      </c>
      <c r="L3141" t="str" cm="1">
        <f t="array" ref="L3141" xml:space="preserve"> sentimentCategory(K3141)</f>
        <v>Positive</v>
      </c>
    </row>
    <row r="3142" spans="1:12">
      <c r="A3142" t="s">
        <v>458</v>
      </c>
      <c r="B3142" t="s">
        <v>649</v>
      </c>
      <c r="C3142" t="str" cm="1">
        <f t="array" ref="C3142" xml:space="preserve"> CleanText(B3142)</f>
        <v>how come the tittle is same with that of 3years ago avatar the last airbender</v>
      </c>
      <c r="D3142">
        <v>0</v>
      </c>
      <c r="E3142">
        <v>1</v>
      </c>
      <c r="F3142" t="s">
        <v>0</v>
      </c>
      <c r="G3142" t="str" cm="1">
        <f t="array" ref="G3142" xml:space="preserve"> FindCountryName(F3142)</f>
        <v>None</v>
      </c>
      <c r="H3142" s="1">
        <v>45258.418113425927</v>
      </c>
      <c r="I3142" s="1">
        <v>45258.418113425927</v>
      </c>
      <c r="J3142" s="1">
        <v>43793.424270833333</v>
      </c>
      <c r="K3142" cm="1">
        <f t="array" ref="K3142" xml:space="preserve"> sentimentCalc(C3142)</f>
        <v>0</v>
      </c>
      <c r="L3142" t="str" cm="1">
        <f t="array" ref="L3142" xml:space="preserve"> sentimentCategory(K3142)</f>
        <v>Neutral</v>
      </c>
    </row>
    <row r="3143" spans="1:12">
      <c r="A3143" t="s">
        <v>648</v>
      </c>
      <c r="B3143" t="s">
        <v>647</v>
      </c>
      <c r="C3143" t="str" cm="1">
        <f t="array" ref="C3143" xml:space="preserve"> CleanText(B3143)</f>
        <v>this looks so good this is how you do a live action adaptation i can not wait</v>
      </c>
      <c r="D3143">
        <v>1</v>
      </c>
      <c r="E3143">
        <v>0</v>
      </c>
      <c r="F3143" t="s">
        <v>19</v>
      </c>
      <c r="G3143" t="str" cm="1">
        <f t="array" ref="G3143" xml:space="preserve"> FindCountryName(F3143)</f>
        <v>United States of America (the)</v>
      </c>
      <c r="H3143" s="1">
        <v>45258.398182870369</v>
      </c>
      <c r="I3143" s="1">
        <v>45258.398182870369</v>
      </c>
      <c r="J3143" s="1">
        <v>41708.713900462964</v>
      </c>
      <c r="K3143" cm="1">
        <f t="array" ref="K3143" xml:space="preserve"> sentimentCalc(C3143)</f>
        <v>3</v>
      </c>
      <c r="L3143" t="str" cm="1">
        <f t="array" ref="L3143" xml:space="preserve"> sentimentCategory(K3143)</f>
        <v>Positive</v>
      </c>
    </row>
    <row r="3144" spans="1:12">
      <c r="A3144" t="s">
        <v>646</v>
      </c>
      <c r="B3144" t="s">
        <v>645</v>
      </c>
      <c r="C3144" t="str" cm="1">
        <f t="array" ref="C3144" xml:space="preserve"> CleanText(B3144)</f>
        <v>ok im gonna cry</v>
      </c>
      <c r="D3144">
        <v>1</v>
      </c>
      <c r="E3144">
        <v>0</v>
      </c>
      <c r="F3144" t="s">
        <v>0</v>
      </c>
      <c r="G3144" t="str" cm="1">
        <f t="array" ref="G3144" xml:space="preserve"> FindCountryName(F3144)</f>
        <v>None</v>
      </c>
      <c r="H3144" s="1">
        <v>45258.395266203705</v>
      </c>
      <c r="I3144" s="1">
        <v>45258.395266203705</v>
      </c>
      <c r="J3144" s="1">
        <v>42350.344317129631</v>
      </c>
      <c r="K3144" cm="1">
        <f t="array" ref="K3144" xml:space="preserve"> sentimentCalc(C3144)</f>
        <v>-1</v>
      </c>
      <c r="L3144" t="str" cm="1">
        <f t="array" ref="L3144" xml:space="preserve"> sentimentCategory(K3144)</f>
        <v>Negative</v>
      </c>
    </row>
    <row r="3145" spans="1:12">
      <c r="A3145" t="s">
        <v>644</v>
      </c>
      <c r="B3145" t="s">
        <v>643</v>
      </c>
      <c r="C3145" t="str" cm="1">
        <f t="array" ref="C3145" xml:space="preserve"> CleanText(B3145)</f>
        <v>fool me seven times shame on you fool me eight or more times shame on me</v>
      </c>
      <c r="D3145">
        <v>0</v>
      </c>
      <c r="E3145">
        <v>0</v>
      </c>
      <c r="F3145" t="s">
        <v>0</v>
      </c>
      <c r="G3145" t="str" cm="1">
        <f t="array" ref="G3145" xml:space="preserve"> FindCountryName(F3145)</f>
        <v>None</v>
      </c>
      <c r="H3145" s="1">
        <v>45258.393020833333</v>
      </c>
      <c r="I3145" s="1">
        <v>45258.393020833333</v>
      </c>
      <c r="J3145" s="1">
        <v>40819.299027777779</v>
      </c>
      <c r="K3145" cm="1">
        <f t="array" ref="K3145" xml:space="preserve"> sentimentCalc(C3145)</f>
        <v>-8</v>
      </c>
      <c r="L3145" t="str" cm="1">
        <f t="array" ref="L3145" xml:space="preserve"> sentimentCategory(K3145)</f>
        <v>Negative</v>
      </c>
    </row>
    <row r="3146" spans="1:12">
      <c r="A3146" t="s">
        <v>642</v>
      </c>
      <c r="B3146" t="s">
        <v>641</v>
      </c>
      <c r="C3146" t="str" cm="1">
        <f t="array" ref="C3146" xml:space="preserve"> CleanText(B3146)</f>
        <v>if this isnt % faithfult to the show then i wont be interested to me it wouldnt be cannon if that were the case</v>
      </c>
      <c r="D3146">
        <v>0</v>
      </c>
      <c r="E3146">
        <v>0</v>
      </c>
      <c r="F3146" t="s">
        <v>0</v>
      </c>
      <c r="G3146" t="str" cm="1">
        <f t="array" ref="G3146" xml:space="preserve"> FindCountryName(F3146)</f>
        <v>None</v>
      </c>
      <c r="H3146" s="1">
        <v>45258.392939814818</v>
      </c>
      <c r="I3146" s="1">
        <v>45258.392939814818</v>
      </c>
      <c r="J3146" s="1">
        <v>41951.738310185188</v>
      </c>
      <c r="K3146" cm="1">
        <f t="array" ref="K3146" xml:space="preserve"> sentimentCalc(C3146)</f>
        <v>2</v>
      </c>
      <c r="L3146" t="str" cm="1">
        <f t="array" ref="L3146" xml:space="preserve"> sentimentCategory(K3146)</f>
        <v>Positive</v>
      </c>
    </row>
    <row r="3147" spans="1:12">
      <c r="A3147" t="s">
        <v>640</v>
      </c>
      <c r="B3147" t="s">
        <v>639</v>
      </c>
      <c r="C3147" t="str" cm="1">
        <f t="array" ref="C3147" xml:space="preserve"> CleanText(B3147)</f>
        <v>gnsehaut</v>
      </c>
      <c r="D3147">
        <v>0</v>
      </c>
      <c r="E3147">
        <v>0</v>
      </c>
      <c r="F3147" t="s">
        <v>638</v>
      </c>
      <c r="G3147" t="str" cm="1">
        <f t="array" ref="G3147" xml:space="preserve"> FindCountryName(F3147)</f>
        <v>Germany</v>
      </c>
      <c r="H3147" s="1">
        <v>45258.391759259262</v>
      </c>
      <c r="I3147" s="1">
        <v>45258.391759259262</v>
      </c>
      <c r="J3147" s="1">
        <v>42369.705949074072</v>
      </c>
      <c r="K3147" cm="1">
        <f t="array" ref="K3147" xml:space="preserve"> sentimentCalc(C3147)</f>
        <v>0</v>
      </c>
      <c r="L3147" t="str" cm="1">
        <f t="array" ref="L3147" xml:space="preserve"> sentimentCategory(K3147)</f>
        <v>Neutral</v>
      </c>
    </row>
    <row r="3148" spans="1:12">
      <c r="A3148" t="s">
        <v>637</v>
      </c>
      <c r="B3148" t="s">
        <v>636</v>
      </c>
      <c r="C3148" t="str" cm="1">
        <f t="array" ref="C3148" xml:space="preserve"> CleanText(B3148)</f>
        <v>why did yall have to do this to prince zuka he looks nothing like the original character</v>
      </c>
      <c r="D3148">
        <v>0</v>
      </c>
      <c r="E3148">
        <v>0</v>
      </c>
      <c r="F3148" t="s">
        <v>0</v>
      </c>
      <c r="G3148" t="str" cm="1">
        <f t="array" ref="G3148" xml:space="preserve"> FindCountryName(F3148)</f>
        <v>None</v>
      </c>
      <c r="H3148" s="1">
        <v>45258.387858796297</v>
      </c>
      <c r="I3148" s="1">
        <v>45258.387858796297</v>
      </c>
      <c r="J3148" s="1">
        <v>44417.38553240741</v>
      </c>
      <c r="K3148" cm="1">
        <f t="array" ref="K3148" xml:space="preserve"> sentimentCalc(C3148)</f>
        <v>2</v>
      </c>
      <c r="L3148" t="str" cm="1">
        <f t="array" ref="L3148" xml:space="preserve"> sentimentCategory(K3148)</f>
        <v>Positive</v>
      </c>
    </row>
    <row r="3149" spans="1:12">
      <c r="A3149" t="s">
        <v>635</v>
      </c>
      <c r="B3149" t="s">
        <v>634</v>
      </c>
      <c r="C3149" t="str" cm="1">
        <f t="array" ref="C3149" xml:space="preserve"> CleanText(B3149)</f>
        <v>it looks real</v>
      </c>
      <c r="D3149">
        <v>0</v>
      </c>
      <c r="E3149">
        <v>0</v>
      </c>
      <c r="F3149" t="s">
        <v>633</v>
      </c>
      <c r="G3149" t="str" cm="1">
        <f t="array" ref="G3149" xml:space="preserve"> FindCountryName(F3149)</f>
        <v>Indonesia</v>
      </c>
      <c r="H3149" s="1">
        <v>45258.381678240738</v>
      </c>
      <c r="I3149" s="1">
        <v>45258.381678240738</v>
      </c>
      <c r="J3149" s="1">
        <v>40874.754120370373</v>
      </c>
      <c r="K3149" cm="1">
        <f t="array" ref="K3149" xml:space="preserve"> sentimentCalc(C3149)</f>
        <v>0</v>
      </c>
      <c r="L3149" t="str" cm="1">
        <f t="array" ref="L3149" xml:space="preserve"> sentimentCategory(K3149)</f>
        <v>Neutral</v>
      </c>
    </row>
    <row r="3150" spans="1:12">
      <c r="A3150" t="s">
        <v>418</v>
      </c>
      <c r="B3150" t="s">
        <v>632</v>
      </c>
      <c r="C3150" t="str" cm="1">
        <f t="array" ref="C3150" xml:space="preserve"> CleanText(B3150)</f>
        <v>just the arrow on his head being correct has me excited</v>
      </c>
      <c r="D3150">
        <v>0</v>
      </c>
      <c r="E3150">
        <v>0</v>
      </c>
      <c r="F3150" t="s">
        <v>0</v>
      </c>
      <c r="G3150" t="str" cm="1">
        <f t="array" ref="G3150" xml:space="preserve"> FindCountryName(F3150)</f>
        <v>None</v>
      </c>
      <c r="H3150" s="1">
        <v>45258.355324074073</v>
      </c>
      <c r="I3150" s="1">
        <v>45258.355324074073</v>
      </c>
      <c r="J3150" s="1">
        <v>43904.297673611109</v>
      </c>
      <c r="K3150" cm="1">
        <f t="array" ref="K3150" xml:space="preserve"> sentimentCalc(C3150)</f>
        <v>3</v>
      </c>
      <c r="L3150" t="str" cm="1">
        <f t="array" ref="L3150" xml:space="preserve"> sentimentCategory(K3150)</f>
        <v>Positive</v>
      </c>
    </row>
    <row r="3151" spans="1:12">
      <c r="A3151" t="s">
        <v>631</v>
      </c>
      <c r="B3151" t="s">
        <v>630</v>
      </c>
      <c r="C3151" t="str" cm="1">
        <f t="array" ref="C3151" xml:space="preserve"> CleanText(B3151)</f>
        <v>yaaaay a show created and largely voice acted by white people will now be mysteriously missing that entire race you can tell this show totally wasnt made to sell and pander to a certain audience type cough asians</v>
      </c>
      <c r="D3151">
        <v>0</v>
      </c>
      <c r="E3151">
        <v>0</v>
      </c>
      <c r="F3151" t="s">
        <v>0</v>
      </c>
      <c r="G3151" t="str" cm="1">
        <f t="array" ref="G3151" xml:space="preserve"> FindCountryName(F3151)</f>
        <v>None</v>
      </c>
      <c r="H3151" s="1">
        <v>45258.351805555554</v>
      </c>
      <c r="I3151" s="1">
        <v>45258.351805555554</v>
      </c>
      <c r="J3151" s="1">
        <v>41830.618321759262</v>
      </c>
      <c r="K3151" cm="1">
        <f t="array" ref="K3151" xml:space="preserve"> sentimentCalc(C3151)</f>
        <v>-1</v>
      </c>
      <c r="L3151" t="str" cm="1">
        <f t="array" ref="L3151" xml:space="preserve"> sentimentCategory(K3151)</f>
        <v>Negative</v>
      </c>
    </row>
    <row r="3152" spans="1:12">
      <c r="A3152" t="s">
        <v>359</v>
      </c>
      <c r="B3152" t="s">
        <v>629</v>
      </c>
      <c r="C3152" t="str" cm="1">
        <f t="array" ref="C3152" xml:space="preserve"> CleanText(B3152)</f>
        <v>j assisti esse filme na sesso da tarde</v>
      </c>
      <c r="D3152">
        <v>0</v>
      </c>
      <c r="E3152">
        <v>0</v>
      </c>
      <c r="F3152" t="s">
        <v>0</v>
      </c>
      <c r="G3152" t="str" cm="1">
        <f t="array" ref="G3152" xml:space="preserve"> FindCountryName(F3152)</f>
        <v>None</v>
      </c>
      <c r="H3152" s="1">
        <v>45258.32309027778</v>
      </c>
      <c r="I3152" s="1">
        <v>45258.32309027778</v>
      </c>
      <c r="J3152" s="1">
        <v>43897.778124999997</v>
      </c>
      <c r="K3152" cm="1">
        <f t="array" ref="K3152" xml:space="preserve"> sentimentCalc(C3152)</f>
        <v>0</v>
      </c>
      <c r="L3152" t="str" cm="1">
        <f t="array" ref="L3152" xml:space="preserve"> sentimentCategory(K3152)</f>
        <v>Neutral</v>
      </c>
    </row>
    <row r="3153" spans="1:12">
      <c r="A3153" t="s">
        <v>273</v>
      </c>
      <c r="B3153" t="s">
        <v>628</v>
      </c>
      <c r="C3153" t="str" cm="1">
        <f t="array" ref="C3153" xml:space="preserve"> CleanText(B3153)</f>
        <v>_xDC4F__xDC4F__xDC4F__xDC4F_ n</v>
      </c>
      <c r="D3153">
        <v>0</v>
      </c>
      <c r="E3153">
        <v>0</v>
      </c>
      <c r="F3153" t="s">
        <v>0</v>
      </c>
      <c r="G3153" t="str" cm="1">
        <f t="array" ref="G3153" xml:space="preserve"> FindCountryName(F3153)</f>
        <v>None</v>
      </c>
      <c r="H3153" s="1">
        <v>45258.304722222223</v>
      </c>
      <c r="I3153" s="1">
        <v>45258.304722222223</v>
      </c>
      <c r="J3153" s="1">
        <v>44585.899699074071</v>
      </c>
      <c r="K3153" cm="1">
        <f t="array" ref="K3153" xml:space="preserve"> sentimentCalc(C3153)</f>
        <v>0</v>
      </c>
      <c r="L3153" t="str" cm="1">
        <f t="array" ref="L3153" xml:space="preserve"> sentimentCategory(K3153)</f>
        <v>Neutral</v>
      </c>
    </row>
    <row r="3154" spans="1:12">
      <c r="A3154" t="s">
        <v>504</v>
      </c>
      <c r="B3154" t="s">
        <v>627</v>
      </c>
      <c r="C3154" t="str" cm="1">
        <f t="array" ref="C3154" xml:space="preserve"> CleanText(B3154)</f>
        <v>please netflix shouldnt add gay and trans scene</v>
      </c>
      <c r="D3154">
        <v>1</v>
      </c>
      <c r="E3154">
        <v>0</v>
      </c>
      <c r="F3154" t="s">
        <v>0</v>
      </c>
      <c r="G3154" t="str" cm="1">
        <f t="array" ref="G3154" xml:space="preserve"> FindCountryName(F3154)</f>
        <v>None</v>
      </c>
      <c r="H3154" s="1">
        <v>45258.300173611111</v>
      </c>
      <c r="I3154" s="1">
        <v>45258.300173611111</v>
      </c>
      <c r="J3154" s="1">
        <v>43884.784930555557</v>
      </c>
      <c r="K3154" cm="1">
        <f t="array" ref="K3154" xml:space="preserve"> sentimentCalc(C3154)</f>
        <v>1</v>
      </c>
      <c r="L3154" t="str" cm="1">
        <f t="array" ref="L3154" xml:space="preserve"> sentimentCategory(K3154)</f>
        <v>Positive</v>
      </c>
    </row>
    <row r="3155" spans="1:12">
      <c r="A3155" t="s">
        <v>626</v>
      </c>
      <c r="B3155" t="s">
        <v>625</v>
      </c>
      <c r="C3155" t="str" cm="1">
        <f t="array" ref="C3155" xml:space="preserve"> CleanText(B3155)</f>
        <v>hopefully fire benders dont need source this time and finally zuko look like himself i hope they make ang just like in the animated brave instead of being coward</v>
      </c>
      <c r="D3155">
        <v>1</v>
      </c>
      <c r="E3155">
        <v>0</v>
      </c>
      <c r="F3155" t="s">
        <v>0</v>
      </c>
      <c r="G3155" t="str" cm="1">
        <f t="array" ref="G3155" xml:space="preserve"> FindCountryName(F3155)</f>
        <v>None</v>
      </c>
      <c r="H3155" s="1">
        <v>45258.264062499999</v>
      </c>
      <c r="I3155" s="1">
        <v>45258.264062499999</v>
      </c>
      <c r="J3155" s="1">
        <v>44356.549814814818</v>
      </c>
      <c r="K3155" cm="1">
        <f t="array" ref="K3155" xml:space="preserve"> sentimentCalc(C3155)</f>
        <v>6</v>
      </c>
      <c r="L3155" t="str" cm="1">
        <f t="array" ref="L3155" xml:space="preserve"> sentimentCategory(K3155)</f>
        <v>Positive</v>
      </c>
    </row>
    <row r="3156" spans="1:12">
      <c r="A3156" t="s">
        <v>624</v>
      </c>
      <c r="B3156" t="s">
        <v>623</v>
      </c>
      <c r="C3156" t="str" cm="1">
        <f t="array" ref="C3156" xml:space="preserve"> CleanText(B3156)</f>
        <v>look so much better</v>
      </c>
      <c r="D3156">
        <v>0</v>
      </c>
      <c r="E3156">
        <v>0</v>
      </c>
      <c r="F3156" t="s">
        <v>0</v>
      </c>
      <c r="G3156" t="str" cm="1">
        <f t="array" ref="G3156" xml:space="preserve"> FindCountryName(F3156)</f>
        <v>None</v>
      </c>
      <c r="H3156" s="1">
        <v>45258.263553240744</v>
      </c>
      <c r="I3156" s="1">
        <v>45258.263553240744</v>
      </c>
      <c r="J3156" s="1">
        <v>40826.329745370371</v>
      </c>
      <c r="K3156" cm="1">
        <f t="array" ref="K3156" xml:space="preserve"> sentimentCalc(C3156)</f>
        <v>2</v>
      </c>
      <c r="L3156" t="str" cm="1">
        <f t="array" ref="L3156" xml:space="preserve"> sentimentCategory(K3156)</f>
        <v>Positive</v>
      </c>
    </row>
    <row r="3157" spans="1:12">
      <c r="A3157" t="s">
        <v>622</v>
      </c>
      <c r="B3157" t="s">
        <v>621</v>
      </c>
      <c r="C3157" t="str" cm="1">
        <f t="array" ref="C3157" xml:space="preserve"> CleanText(B3157)</f>
        <v>dont ruin it like the movie</v>
      </c>
      <c r="D3157">
        <v>0</v>
      </c>
      <c r="E3157">
        <v>0</v>
      </c>
      <c r="F3157" t="s">
        <v>0</v>
      </c>
      <c r="G3157" t="str" cm="1">
        <f t="array" ref="G3157" xml:space="preserve"> FindCountryName(F3157)</f>
        <v>None</v>
      </c>
      <c r="H3157" s="1">
        <v>45258.250520833331</v>
      </c>
      <c r="I3157" s="1">
        <v>45258.250520833331</v>
      </c>
      <c r="J3157" s="1">
        <v>44066.148865740739</v>
      </c>
      <c r="K3157" cm="1">
        <f t="array" ref="K3157" xml:space="preserve"> sentimentCalc(C3157)</f>
        <v>0</v>
      </c>
      <c r="L3157" t="str" cm="1">
        <f t="array" ref="L3157" xml:space="preserve"> sentimentCategory(K3157)</f>
        <v>Neutral</v>
      </c>
    </row>
    <row r="3158" spans="1:12">
      <c r="A3158" t="s">
        <v>247</v>
      </c>
      <c r="B3158" t="s">
        <v>620</v>
      </c>
      <c r="C3158" t="str" cm="1">
        <f t="array" ref="C3158" xml:space="preserve"> CleanText(B3158)</f>
        <v>this is exactly like the old avatar movie better modify it with better twist  and story telling  we want avatar   ie after ong saved the water tribe from fire tribe</v>
      </c>
      <c r="D3158">
        <v>0</v>
      </c>
      <c r="E3158">
        <v>0</v>
      </c>
      <c r="F3158" t="s">
        <v>0</v>
      </c>
      <c r="G3158" t="str" cm="1">
        <f t="array" ref="G3158" xml:space="preserve"> FindCountryName(F3158)</f>
        <v>None</v>
      </c>
      <c r="H3158" s="1">
        <v>45258.24832175926</v>
      </c>
      <c r="I3158" s="1">
        <v>45258.24832175926</v>
      </c>
      <c r="J3158" s="1">
        <v>44168.689942129633</v>
      </c>
      <c r="K3158" cm="1">
        <f t="array" ref="K3158" xml:space="preserve"> sentimentCalc(C3158)</f>
        <v>7</v>
      </c>
      <c r="L3158" t="str" cm="1">
        <f t="array" ref="L3158" xml:space="preserve"> sentimentCategory(K3158)</f>
        <v>Positive</v>
      </c>
    </row>
    <row r="3159" spans="1:12">
      <c r="A3159" t="s">
        <v>619</v>
      </c>
      <c r="B3159" t="s">
        <v>618</v>
      </c>
      <c r="C3159" t="str" cm="1">
        <f t="array" ref="C3159" xml:space="preserve"> CleanText(B3159)</f>
        <v>0 azula looks beautiful i like that her hair in down since we always saw it up and the only time we saw it down in animation was when she went crazy cant wait to see her go from leader to boss to bossed to bosssiest to a breakdown unless im bugging and thats not azula</v>
      </c>
      <c r="D3159">
        <v>0</v>
      </c>
      <c r="E3159">
        <v>1</v>
      </c>
      <c r="F3159" t="s">
        <v>0</v>
      </c>
      <c r="G3159" t="str" cm="1">
        <f t="array" ref="G3159" xml:space="preserve"> FindCountryName(F3159)</f>
        <v>None</v>
      </c>
      <c r="H3159" s="1">
        <v>45258.246747685182</v>
      </c>
      <c r="I3159" s="1">
        <v>45258.246747685182</v>
      </c>
      <c r="J3159" s="1">
        <v>45000.439097222225</v>
      </c>
      <c r="K3159" cm="1">
        <f t="array" ref="K3159" xml:space="preserve"> sentimentCalc(C3159)</f>
        <v>3</v>
      </c>
      <c r="L3159" t="str" cm="1">
        <f t="array" ref="L3159" xml:space="preserve"> sentimentCategory(K3159)</f>
        <v>Positive</v>
      </c>
    </row>
    <row r="3160" spans="1:12">
      <c r="A3160" t="s">
        <v>617</v>
      </c>
      <c r="B3160" t="s">
        <v>616</v>
      </c>
      <c r="C3160" t="str" cm="1">
        <f t="array" ref="C3160" xml:space="preserve"> CleanText(B3160)</f>
        <v>i acruallt have tears in my eyes it looks so good here it is directly deom cartoon to irl its so good the casting i im speechless this gives me so much hope</v>
      </c>
      <c r="D3160">
        <v>0</v>
      </c>
      <c r="E3160">
        <v>0</v>
      </c>
      <c r="F3160" t="s">
        <v>0</v>
      </c>
      <c r="G3160" t="str" cm="1">
        <f t="array" ref="G3160" xml:space="preserve"> FindCountryName(F3160)</f>
        <v>None</v>
      </c>
      <c r="H3160" s="1">
        <v>45258.240879629629</v>
      </c>
      <c r="I3160" s="1">
        <v>45258.240879629629</v>
      </c>
      <c r="J3160" s="1">
        <v>41526.401134259257</v>
      </c>
      <c r="K3160" cm="1">
        <f t="array" ref="K3160" xml:space="preserve"> sentimentCalc(C3160)</f>
        <v>6</v>
      </c>
      <c r="L3160" t="str" cm="1">
        <f t="array" ref="L3160" xml:space="preserve"> sentimentCategory(K3160)</f>
        <v>Positive</v>
      </c>
    </row>
    <row r="3161" spans="1:12">
      <c r="A3161" t="s">
        <v>175</v>
      </c>
      <c r="B3161" t="s">
        <v>615</v>
      </c>
      <c r="C3161" t="str" cm="1">
        <f t="array" ref="C3161" xml:space="preserve"> CleanText(B3161)</f>
        <v>the only good thing about that movie that must not be named was the tattoo it has intricate patterns in the arrow shape but this one looks like the original which is totally fine btw i watched the series from start to end just a couple of months ago and has been waiting for the live action reveal and i am hyped</v>
      </c>
      <c r="D3161">
        <v>0</v>
      </c>
      <c r="E3161">
        <v>0</v>
      </c>
      <c r="F3161" t="s">
        <v>0</v>
      </c>
      <c r="G3161" t="str" cm="1">
        <f t="array" ref="G3161" xml:space="preserve"> FindCountryName(F3161)</f>
        <v>None</v>
      </c>
      <c r="H3161" s="1">
        <v>45258.24009259259</v>
      </c>
      <c r="I3161" s="1">
        <v>45258.24009259259</v>
      </c>
      <c r="J3161" s="1">
        <v>42009.140798611108</v>
      </c>
      <c r="K3161" cm="1">
        <f t="array" ref="K3161" xml:space="preserve"> sentimentCalc(C3161)</f>
        <v>9</v>
      </c>
      <c r="L3161" t="str" cm="1">
        <f t="array" ref="L3161" xml:space="preserve"> sentimentCategory(K3161)</f>
        <v>Positive</v>
      </c>
    </row>
    <row r="3162" spans="1:12">
      <c r="A3162" t="s">
        <v>26</v>
      </c>
      <c r="B3162" t="s">
        <v>614</v>
      </c>
      <c r="C3162" t="str" cm="1">
        <f t="array" ref="C3162" xml:space="preserve"> CleanText(B3162)</f>
        <v>i am also hopeful that this does a wayyyyyyyy better job than whatever that abonination that was mnightshamalongadingdongs movie was  the animated show was so good even though i was kinda late watching it  please be better than whatever that live action one piece was xd</v>
      </c>
      <c r="D3162">
        <v>0</v>
      </c>
      <c r="E3162">
        <v>0</v>
      </c>
      <c r="F3162" t="s">
        <v>0</v>
      </c>
      <c r="G3162" t="str" cm="1">
        <f t="array" ref="G3162" xml:space="preserve"> FindCountryName(F3162)</f>
        <v>None</v>
      </c>
      <c r="H3162" s="1">
        <v>45258.231030092589</v>
      </c>
      <c r="I3162" s="1">
        <v>45258.231030092589</v>
      </c>
      <c r="J3162" s="1">
        <v>41670.65152777778</v>
      </c>
      <c r="K3162" cm="1">
        <f t="array" ref="K3162" xml:space="preserve"> sentimentCalc(C3162)</f>
        <v>10</v>
      </c>
      <c r="L3162" t="str" cm="1">
        <f t="array" ref="L3162" xml:space="preserve"> sentimentCategory(K3162)</f>
        <v>Positive</v>
      </c>
    </row>
    <row r="3163" spans="1:12">
      <c r="A3163" t="s">
        <v>47</v>
      </c>
      <c r="B3163" t="s">
        <v>613</v>
      </c>
      <c r="C3163" t="str" cm="1">
        <f t="array" ref="C3163" xml:space="preserve"> CleanText(B3163)</f>
        <v>always remember who you are everyone hero of our own story believe theirself dedicated to every ordinary people</v>
      </c>
      <c r="D3163">
        <v>0</v>
      </c>
      <c r="E3163">
        <v>0</v>
      </c>
      <c r="F3163" t="s">
        <v>0</v>
      </c>
      <c r="G3163" t="str" cm="1">
        <f t="array" ref="G3163" xml:space="preserve"> FindCountryName(F3163)</f>
        <v>None</v>
      </c>
      <c r="H3163" s="1">
        <v>45258.193067129629</v>
      </c>
      <c r="I3163" s="1">
        <v>45258.193067129629</v>
      </c>
      <c r="J3163" s="1">
        <v>44446.456585648149</v>
      </c>
      <c r="K3163" cm="1">
        <f t="array" ref="K3163" xml:space="preserve"> sentimentCalc(C3163)</f>
        <v>4</v>
      </c>
      <c r="L3163" t="str" cm="1">
        <f t="array" ref="L3163" xml:space="preserve"> sentimentCategory(K3163)</f>
        <v>Positive</v>
      </c>
    </row>
    <row r="3164" spans="1:12">
      <c r="A3164" t="s">
        <v>612</v>
      </c>
      <c r="B3164" t="s">
        <v>611</v>
      </c>
      <c r="C3164" t="str" cm="1">
        <f t="array" ref="C3164" xml:space="preserve"> CleanText(B3164)</f>
        <v>the recreation of locations are amaziing</v>
      </c>
      <c r="D3164">
        <v>0</v>
      </c>
      <c r="E3164">
        <v>0</v>
      </c>
      <c r="F3164" t="s">
        <v>610</v>
      </c>
      <c r="G3164" t="str" cm="1">
        <f t="array" ref="G3164" xml:space="preserve"> FindCountryName(F3164)</f>
        <v>Sri Lanka</v>
      </c>
      <c r="H3164" s="1">
        <v>45258.1719212963</v>
      </c>
      <c r="I3164" s="1">
        <v>45258.1719212963</v>
      </c>
      <c r="J3164" s="1">
        <v>44207.886342592596</v>
      </c>
      <c r="K3164" cm="1">
        <f t="array" ref="K3164" xml:space="preserve"> sentimentCalc(C3164)</f>
        <v>0</v>
      </c>
      <c r="L3164" t="str" cm="1">
        <f t="array" ref="L3164" xml:space="preserve"> sentimentCategory(K3164)</f>
        <v>Neutral</v>
      </c>
    </row>
    <row r="3165" spans="1:12">
      <c r="A3165" t="s">
        <v>405</v>
      </c>
      <c r="B3165" t="s">
        <v>609</v>
      </c>
      <c r="C3165" t="str" cm="1">
        <f t="array" ref="C3165" xml:space="preserve"> CleanText(B3165)</f>
        <v>all rats get exposed</v>
      </c>
      <c r="D3165">
        <v>0</v>
      </c>
      <c r="E3165">
        <v>0</v>
      </c>
      <c r="F3165" t="s">
        <v>0</v>
      </c>
      <c r="G3165" t="str" cm="1">
        <f t="array" ref="G3165" xml:space="preserve"> FindCountryName(F3165)</f>
        <v>None</v>
      </c>
      <c r="H3165" s="1">
        <v>45258.169432870367</v>
      </c>
      <c r="I3165" s="1">
        <v>45258.169432870367</v>
      </c>
      <c r="J3165" s="1">
        <v>43096.704756944448</v>
      </c>
      <c r="K3165" cm="1">
        <f t="array" ref="K3165" xml:space="preserve"> sentimentCalc(C3165)</f>
        <v>-1</v>
      </c>
      <c r="L3165" t="str" cm="1">
        <f t="array" ref="L3165" xml:space="preserve"> sentimentCategory(K3165)</f>
        <v>Negative</v>
      </c>
    </row>
    <row r="3166" spans="1:12">
      <c r="A3166" t="s">
        <v>141</v>
      </c>
      <c r="B3166" t="s">
        <v>608</v>
      </c>
      <c r="C3166" t="str" cm="1">
        <f t="array" ref="C3166" xml:space="preserve"> CleanText(B3166)</f>
        <v>what a trailerpls when is it going to available cant wait</v>
      </c>
      <c r="D3166">
        <v>0</v>
      </c>
      <c r="E3166">
        <v>0</v>
      </c>
      <c r="F3166" t="s">
        <v>0</v>
      </c>
      <c r="G3166" t="str" cm="1">
        <f t="array" ref="G3166" xml:space="preserve"> FindCountryName(F3166)</f>
        <v>None</v>
      </c>
      <c r="H3166" s="1">
        <v>45258.142418981479</v>
      </c>
      <c r="I3166" s="1">
        <v>45258.142418981479</v>
      </c>
      <c r="J3166" s="1">
        <v>44974.498993055553</v>
      </c>
      <c r="K3166" cm="1">
        <f t="array" ref="K3166" xml:space="preserve"> sentimentCalc(C3166)</f>
        <v>0</v>
      </c>
      <c r="L3166" t="str" cm="1">
        <f t="array" ref="L3166" xml:space="preserve"> sentimentCategory(K3166)</f>
        <v>Neutral</v>
      </c>
    </row>
    <row r="3167" spans="1:12">
      <c r="A3167" t="s">
        <v>464</v>
      </c>
      <c r="B3167" t="s">
        <v>607</v>
      </c>
      <c r="C3167" t="str" cm="1">
        <f t="array" ref="C3167" xml:space="preserve"> CleanText(B3167)</f>
        <v>i swear to god if this movie ends up being a repeat of that which we do not acknowledge i will burn the planet to the ground</v>
      </c>
      <c r="D3167">
        <v>0</v>
      </c>
      <c r="E3167">
        <v>0</v>
      </c>
      <c r="F3167" t="s">
        <v>0</v>
      </c>
      <c r="G3167" t="str" cm="1">
        <f t="array" ref="G3167" xml:space="preserve"> FindCountryName(F3167)</f>
        <v>None</v>
      </c>
      <c r="H3167" s="1">
        <v>45258.138715277775</v>
      </c>
      <c r="I3167" s="1">
        <v>45258.138715277775</v>
      </c>
      <c r="J3167" s="1">
        <v>40290.20039351852</v>
      </c>
      <c r="K3167" cm="1">
        <f t="array" ref="K3167" xml:space="preserve"> sentimentCalc(C3167)</f>
        <v>-1</v>
      </c>
      <c r="L3167" t="str" cm="1">
        <f t="array" ref="L3167" xml:space="preserve"> sentimentCategory(K3167)</f>
        <v>Negative</v>
      </c>
    </row>
    <row r="3168" spans="1:12">
      <c r="A3168" t="s">
        <v>606</v>
      </c>
      <c r="B3168" t="s">
        <v>605</v>
      </c>
      <c r="C3168" t="str" cm="1">
        <f t="array" ref="C3168" xml:space="preserve"> CleanText(B3168)</f>
        <v>this time is ang right right</v>
      </c>
      <c r="D3168">
        <v>0</v>
      </c>
      <c r="E3168">
        <v>0</v>
      </c>
      <c r="F3168" t="s">
        <v>19</v>
      </c>
      <c r="G3168" t="str" cm="1">
        <f t="array" ref="G3168" xml:space="preserve"> FindCountryName(F3168)</f>
        <v>United States of America (the)</v>
      </c>
      <c r="H3168" s="1">
        <v>45258.093460648146</v>
      </c>
      <c r="I3168" s="1">
        <v>45258.093460648146</v>
      </c>
      <c r="J3168" s="1">
        <v>44299.031435185185</v>
      </c>
      <c r="K3168" cm="1">
        <f t="array" ref="K3168" xml:space="preserve"> sentimentCalc(C3168)</f>
        <v>0</v>
      </c>
      <c r="L3168" t="str" cm="1">
        <f t="array" ref="L3168" xml:space="preserve"> sentimentCategory(K3168)</f>
        <v>Neutral</v>
      </c>
    </row>
    <row r="3169" spans="1:12">
      <c r="A3169" t="s">
        <v>56</v>
      </c>
      <c r="B3169" t="s">
        <v>604</v>
      </c>
      <c r="C3169" t="str" cm="1">
        <f t="array" ref="C3169" xml:space="preserve"> CleanText(B3169)</f>
        <v>when i watched this official trailer suddenly my childhood soul appeared beside me patted my shoulder and smiled cheerfully i almost forgot what it felt like to be free from the fatigue of life like i was when i was little dont think about any burdensyou bring back my chilhoodnetflix _xDE00_</v>
      </c>
      <c r="D3169">
        <v>3</v>
      </c>
      <c r="E3169">
        <v>0</v>
      </c>
      <c r="F3169" t="s">
        <v>0</v>
      </c>
      <c r="G3169" t="str" cm="1">
        <f t="array" ref="G3169" xml:space="preserve"> FindCountryName(F3169)</f>
        <v>None</v>
      </c>
      <c r="H3169" s="1">
        <v>45258.092546296299</v>
      </c>
      <c r="I3169" s="1">
        <v>45258.093182870369</v>
      </c>
      <c r="J3169" s="1">
        <v>44559.233611111114</v>
      </c>
      <c r="K3169" cm="1">
        <f t="array" ref="K3169" xml:space="preserve"> sentimentCalc(C3169)</f>
        <v>5</v>
      </c>
      <c r="L3169" t="str" cm="1">
        <f t="array" ref="L3169" xml:space="preserve"> sentimentCategory(K3169)</f>
        <v>Positive</v>
      </c>
    </row>
    <row r="3170" spans="1:12">
      <c r="A3170" t="s">
        <v>603</v>
      </c>
      <c r="B3170" t="s">
        <v>602</v>
      </c>
      <c r="C3170" t="str" cm="1">
        <f t="array" ref="C3170" xml:space="preserve"> CleanText(B3170)</f>
        <v>the trailer already give me a goosebump</v>
      </c>
      <c r="D3170">
        <v>0</v>
      </c>
      <c r="E3170">
        <v>0</v>
      </c>
      <c r="F3170" t="s">
        <v>0</v>
      </c>
      <c r="G3170" t="str" cm="1">
        <f t="array" ref="G3170" xml:space="preserve"> FindCountryName(F3170)</f>
        <v>None</v>
      </c>
      <c r="H3170" s="1">
        <v>45258.087534722225</v>
      </c>
      <c r="I3170" s="1">
        <v>45258.087534722225</v>
      </c>
      <c r="J3170" s="1">
        <v>44255.243379629632</v>
      </c>
      <c r="K3170" cm="1">
        <f t="array" ref="K3170" xml:space="preserve"> sentimentCalc(C3170)</f>
        <v>0</v>
      </c>
      <c r="L3170" t="str" cm="1">
        <f t="array" ref="L3170" xml:space="preserve"> sentimentCategory(K3170)</f>
        <v>Neutral</v>
      </c>
    </row>
    <row r="3171" spans="1:12">
      <c r="A3171" t="s">
        <v>601</v>
      </c>
      <c r="B3171" t="s">
        <v>600</v>
      </c>
      <c r="C3171" t="str" cm="1">
        <f t="array" ref="C3171" xml:space="preserve"> CleanText(B3171)</f>
        <v>goosebumps man  biggest fan of the series</v>
      </c>
      <c r="D3171">
        <v>0</v>
      </c>
      <c r="E3171">
        <v>0</v>
      </c>
      <c r="F3171" t="s">
        <v>0</v>
      </c>
      <c r="G3171" t="str" cm="1">
        <f t="array" ref="G3171" xml:space="preserve"> FindCountryName(F3171)</f>
        <v>None</v>
      </c>
      <c r="H3171" s="1">
        <v>45258.083298611113</v>
      </c>
      <c r="I3171" s="1">
        <v>45258.083298611113</v>
      </c>
      <c r="J3171" s="1">
        <v>41417.340844907405</v>
      </c>
      <c r="K3171" cm="1">
        <f t="array" ref="K3171" xml:space="preserve"> sentimentCalc(C3171)</f>
        <v>3</v>
      </c>
      <c r="L3171" t="str" cm="1">
        <f t="array" ref="L3171" xml:space="preserve"> sentimentCategory(K3171)</f>
        <v>Positive</v>
      </c>
    </row>
    <row r="3172" spans="1:12">
      <c r="A3172" t="s">
        <v>231</v>
      </c>
      <c r="B3172" t="s">
        <v>599</v>
      </c>
      <c r="C3172" t="str" cm="1">
        <f t="array" ref="C3172" xml:space="preserve"> CleanText(B3172)</f>
        <v>kenapa gak di tanggal ini klo buat hari raya natal bagus buat hiburan natal</v>
      </c>
      <c r="D3172">
        <v>1</v>
      </c>
      <c r="E3172">
        <v>0</v>
      </c>
      <c r="F3172" t="s">
        <v>0</v>
      </c>
      <c r="G3172" t="str" cm="1">
        <f t="array" ref="G3172" xml:space="preserve"> FindCountryName(F3172)</f>
        <v>None</v>
      </c>
      <c r="H3172" s="1">
        <v>45258.077719907407</v>
      </c>
      <c r="I3172" s="1">
        <v>45258.077719907407</v>
      </c>
      <c r="J3172" s="1">
        <v>44128.925925925927</v>
      </c>
      <c r="K3172" cm="1">
        <f t="array" ref="K3172" xml:space="preserve"> sentimentCalc(C3172)</f>
        <v>0</v>
      </c>
      <c r="L3172" t="str" cm="1">
        <f t="array" ref="L3172" xml:space="preserve"> sentimentCategory(K3172)</f>
        <v>Neutral</v>
      </c>
    </row>
    <row r="3173" spans="1:12">
      <c r="A3173" t="s">
        <v>598</v>
      </c>
      <c r="B3173" t="s">
        <v>597</v>
      </c>
      <c r="C3173" t="str" cm="1">
        <f t="array" ref="C3173" xml:space="preserve"> CleanText(B3173)</f>
        <v>netflix i want this sonner</v>
      </c>
      <c r="D3173">
        <v>0</v>
      </c>
      <c r="E3173">
        <v>0</v>
      </c>
      <c r="F3173" t="s">
        <v>0</v>
      </c>
      <c r="G3173" t="str" cm="1">
        <f t="array" ref="G3173" xml:space="preserve"> FindCountryName(F3173)</f>
        <v>None</v>
      </c>
      <c r="H3173" s="1">
        <v>45258.065451388888</v>
      </c>
      <c r="I3173" s="1">
        <v>45258.065451388888</v>
      </c>
      <c r="J3173" s="1">
        <v>42613.100694444445</v>
      </c>
      <c r="K3173" cm="1">
        <f t="array" ref="K3173" xml:space="preserve"> sentimentCalc(C3173)</f>
        <v>1</v>
      </c>
      <c r="L3173" t="str" cm="1">
        <f t="array" ref="L3173" xml:space="preserve"> sentimentCategory(K3173)</f>
        <v>Positive</v>
      </c>
    </row>
    <row r="3174" spans="1:12">
      <c r="A3174" t="s">
        <v>596</v>
      </c>
      <c r="B3174" t="s">
        <v>595</v>
      </c>
      <c r="C3174" t="str" cm="1">
        <f t="array" ref="C3174" xml:space="preserve"> CleanText(B3174)</f>
        <v>yall remember the original movie _xDC40_</v>
      </c>
      <c r="D3174">
        <v>0</v>
      </c>
      <c r="E3174">
        <v>0</v>
      </c>
      <c r="F3174" t="s">
        <v>0</v>
      </c>
      <c r="G3174" t="str" cm="1">
        <f t="array" ref="G3174" xml:space="preserve"> FindCountryName(F3174)</f>
        <v>None</v>
      </c>
      <c r="H3174" s="1">
        <v>45258.061238425929</v>
      </c>
      <c r="I3174" s="1">
        <v>45258.061238425929</v>
      </c>
      <c r="J3174" s="1">
        <v>42771.006666666668</v>
      </c>
      <c r="K3174" cm="1">
        <f t="array" ref="K3174" xml:space="preserve"> sentimentCalc(C3174)</f>
        <v>0</v>
      </c>
      <c r="L3174" t="str" cm="1">
        <f t="array" ref="L3174" xml:space="preserve"> sentimentCategory(K3174)</f>
        <v>Neutral</v>
      </c>
    </row>
    <row r="3175" spans="1:12">
      <c r="A3175" t="s">
        <v>190</v>
      </c>
      <c r="B3175" t="s">
        <v>594</v>
      </c>
      <c r="C3175" t="str" cm="1">
        <f t="array" ref="C3175" xml:space="preserve"> CleanText(B3175)</f>
        <v>great trailer</v>
      </c>
      <c r="D3175">
        <v>0</v>
      </c>
      <c r="E3175">
        <v>0</v>
      </c>
      <c r="F3175" t="s">
        <v>0</v>
      </c>
      <c r="G3175" t="str" cm="1">
        <f t="array" ref="G3175" xml:space="preserve"> FindCountryName(F3175)</f>
        <v>None</v>
      </c>
      <c r="H3175" s="1">
        <v>45258.030844907407</v>
      </c>
      <c r="I3175" s="1">
        <v>45258.030844907407</v>
      </c>
      <c r="J3175" s="1">
        <v>42156.951342592591</v>
      </c>
      <c r="K3175" cm="1">
        <f t="array" ref="K3175" xml:space="preserve"> sentimentCalc(C3175)</f>
        <v>3</v>
      </c>
      <c r="L3175" t="str" cm="1">
        <f t="array" ref="L3175" xml:space="preserve"> sentimentCategory(K3175)</f>
        <v>Positive</v>
      </c>
    </row>
    <row r="3176" spans="1:12">
      <c r="A3176" t="s">
        <v>593</v>
      </c>
      <c r="B3176" t="s">
        <v>592</v>
      </c>
      <c r="C3176" t="str" cm="1">
        <f t="array" ref="C3176" xml:space="preserve"> CleanText(B3176)</f>
        <v>how many earth benders needed to move a small rock _xDEA8_ in this one</v>
      </c>
      <c r="D3176">
        <v>0</v>
      </c>
      <c r="E3176">
        <v>0</v>
      </c>
      <c r="F3176" t="s">
        <v>0</v>
      </c>
      <c r="G3176" t="str" cm="1">
        <f t="array" ref="G3176" xml:space="preserve"> FindCountryName(F3176)</f>
        <v>None</v>
      </c>
      <c r="H3176" s="1">
        <v>45258.029745370368</v>
      </c>
      <c r="I3176" s="1">
        <v>45258.029745370368</v>
      </c>
      <c r="J3176" s="1">
        <v>39948.499085648145</v>
      </c>
      <c r="K3176" cm="1">
        <f t="array" ref="K3176" xml:space="preserve"> sentimentCalc(C3176)</f>
        <v>0</v>
      </c>
      <c r="L3176" t="str" cm="1">
        <f t="array" ref="L3176" xml:space="preserve"> sentimentCategory(K3176)</f>
        <v>Neutral</v>
      </c>
    </row>
    <row r="3177" spans="1:12">
      <c r="A3177" t="s">
        <v>591</v>
      </c>
      <c r="B3177" t="s">
        <v>590</v>
      </c>
      <c r="C3177" t="str" cm="1">
        <f t="array" ref="C3177" xml:space="preserve"> CleanText(B3177)</f>
        <v>actually looks good i didnt think it would</v>
      </c>
      <c r="D3177">
        <v>0</v>
      </c>
      <c r="E3177">
        <v>0</v>
      </c>
      <c r="F3177" t="s">
        <v>0</v>
      </c>
      <c r="G3177" t="str" cm="1">
        <f t="array" ref="G3177" xml:space="preserve"> FindCountryName(F3177)</f>
        <v>None</v>
      </c>
      <c r="H3177" s="1">
        <v>45258.010868055557</v>
      </c>
      <c r="I3177" s="1">
        <v>45258.010868055557</v>
      </c>
      <c r="J3177" s="1">
        <v>40194.434918981482</v>
      </c>
      <c r="K3177" cm="1">
        <f t="array" ref="K3177" xml:space="preserve"> sentimentCalc(C3177)</f>
        <v>3</v>
      </c>
      <c r="L3177" t="str" cm="1">
        <f t="array" ref="L3177" xml:space="preserve"> sentimentCategory(K3177)</f>
        <v>Positive</v>
      </c>
    </row>
    <row r="3178" spans="1:12">
      <c r="A3178" t="s">
        <v>589</v>
      </c>
      <c r="B3178" t="s">
        <v>588</v>
      </c>
      <c r="C3178" t="str" cm="1">
        <f t="array" ref="C3178" xml:space="preserve"> CleanText(B3178)</f>
        <v>in the previous live action firebenders were unable to create fire except for zukos uncle iroh this new liveaction seems better firebenders can create their own fire</v>
      </c>
      <c r="D3178">
        <v>0</v>
      </c>
      <c r="E3178">
        <v>0</v>
      </c>
      <c r="F3178" t="s">
        <v>0</v>
      </c>
      <c r="G3178" t="str" cm="1">
        <f t="array" ref="G3178" xml:space="preserve"> FindCountryName(F3178)</f>
        <v>None</v>
      </c>
      <c r="H3178" s="1">
        <v>45258.006180555552</v>
      </c>
      <c r="I3178" s="1">
        <v>45258.006180555552</v>
      </c>
      <c r="J3178" s="1">
        <v>45244.922500000001</v>
      </c>
      <c r="K3178" cm="1">
        <f t="array" ref="K3178" xml:space="preserve"> sentimentCalc(C3178)</f>
        <v>-2</v>
      </c>
      <c r="L3178" t="str" cm="1">
        <f t="array" ref="L3178" xml:space="preserve"> sentimentCategory(K3178)</f>
        <v>Negative</v>
      </c>
    </row>
    <row r="3179" spans="1:12">
      <c r="A3179" t="s">
        <v>227</v>
      </c>
      <c r="B3179" t="s">
        <v>587</v>
      </c>
      <c r="C3179" t="str" cm="1">
        <f t="array" ref="C3179" xml:space="preserve"> CleanText(B3179)</f>
        <v>look at my boy appa</v>
      </c>
      <c r="D3179">
        <v>0</v>
      </c>
      <c r="E3179">
        <v>0</v>
      </c>
      <c r="F3179" t="s">
        <v>0</v>
      </c>
      <c r="G3179" t="str" cm="1">
        <f t="array" ref="G3179" xml:space="preserve"> FindCountryName(F3179)</f>
        <v>None</v>
      </c>
      <c r="H3179" s="1">
        <v>45257.981608796297</v>
      </c>
      <c r="I3179" s="1">
        <v>45257.981608796297</v>
      </c>
      <c r="J3179" s="1">
        <v>42816.787905092591</v>
      </c>
      <c r="K3179" cm="1">
        <f t="array" ref="K3179" xml:space="preserve"> sentimentCalc(C3179)</f>
        <v>0</v>
      </c>
      <c r="L3179" t="str" cm="1">
        <f t="array" ref="L3179" xml:space="preserve"> sentimentCategory(K3179)</f>
        <v>Neutral</v>
      </c>
    </row>
    <row r="3180" spans="1:12">
      <c r="A3180" t="s">
        <v>586</v>
      </c>
      <c r="B3180" t="s">
        <v>585</v>
      </c>
      <c r="C3180" t="str" cm="1">
        <f t="array" ref="C3180" xml:space="preserve"> CleanText(B3180)</f>
        <v>way to cast the white variants of two of the most important brown native characters sokka  katara netflix damn is this how white people felt when they cast a black girl as a mermaid _xDE12_</v>
      </c>
      <c r="D3180">
        <v>0</v>
      </c>
      <c r="E3180">
        <v>1</v>
      </c>
      <c r="F3180" t="s">
        <v>0</v>
      </c>
      <c r="G3180" t="str" cm="1">
        <f t="array" ref="G3180" xml:space="preserve"> FindCountryName(F3180)</f>
        <v>None</v>
      </c>
      <c r="H3180" s="1">
        <v>45257.976550925923</v>
      </c>
      <c r="I3180" s="1">
        <v>45257.976550925923</v>
      </c>
      <c r="J3180" s="1">
        <v>38831.172337962962</v>
      </c>
      <c r="K3180" cm="1">
        <f t="array" ref="K3180" xml:space="preserve"> sentimentCalc(C3180)</f>
        <v>-2</v>
      </c>
      <c r="L3180" t="str" cm="1">
        <f t="array" ref="L3180" xml:space="preserve"> sentimentCategory(K3180)</f>
        <v>Negative</v>
      </c>
    </row>
    <row r="3181" spans="1:12">
      <c r="A3181" t="s">
        <v>43</v>
      </c>
      <c r="B3181" t="s">
        <v>584</v>
      </c>
      <c r="C3181" t="str" cm="1">
        <f t="array" ref="C3181" xml:space="preserve"> CleanText(B3181)</f>
        <v>the firebender with chinese actors are much better than indian that i watched in the movie</v>
      </c>
      <c r="D3181">
        <v>0</v>
      </c>
      <c r="E3181">
        <v>0</v>
      </c>
      <c r="F3181" t="s">
        <v>0</v>
      </c>
      <c r="G3181" t="str" cm="1">
        <f t="array" ref="G3181" xml:space="preserve"> FindCountryName(F3181)</f>
        <v>None</v>
      </c>
      <c r="H3181" s="1">
        <v>45257.965243055558</v>
      </c>
      <c r="I3181" s="1">
        <v>45257.965243055558</v>
      </c>
      <c r="J3181" s="1">
        <v>41747.086377314816</v>
      </c>
      <c r="K3181" cm="1">
        <f t="array" ref="K3181" xml:space="preserve"> sentimentCalc(C3181)</f>
        <v>2</v>
      </c>
      <c r="L3181" t="str" cm="1">
        <f t="array" ref="L3181" xml:space="preserve"> sentimentCategory(K3181)</f>
        <v>Positive</v>
      </c>
    </row>
    <row r="3182" spans="1:12">
      <c r="A3182" t="s">
        <v>474</v>
      </c>
      <c r="B3182" t="s">
        <v>583</v>
      </c>
      <c r="C3182" t="str" cm="1">
        <f t="array" ref="C3182" xml:space="preserve"> CleanText(B3182)</f>
        <v>redemption _xDE24_</v>
      </c>
      <c r="D3182">
        <v>0</v>
      </c>
      <c r="E3182">
        <v>0</v>
      </c>
      <c r="F3182" t="s">
        <v>19</v>
      </c>
      <c r="G3182" t="str" cm="1">
        <f t="array" ref="G3182" xml:space="preserve"> FindCountryName(F3182)</f>
        <v>United States of America (the)</v>
      </c>
      <c r="H3182" s="1">
        <v>45257.953553240739</v>
      </c>
      <c r="I3182" s="1">
        <v>45257.953553240739</v>
      </c>
      <c r="J3182" s="1">
        <v>42330.948321759257</v>
      </c>
      <c r="K3182" cm="1">
        <f t="array" ref="K3182" xml:space="preserve"> sentimentCalc(C3182)</f>
        <v>0</v>
      </c>
      <c r="L3182" t="str" cm="1">
        <f t="array" ref="L3182" xml:space="preserve"> sentimentCategory(K3182)</f>
        <v>Neutral</v>
      </c>
    </row>
    <row r="3183" spans="1:12">
      <c r="A3183" t="s">
        <v>582</v>
      </c>
      <c r="B3183" t="s">
        <v>581</v>
      </c>
      <c r="C3183" t="str" cm="1">
        <f t="array" ref="C3183" xml:space="preserve"> CleanText(B3183)</f>
        <v>well done netflix</v>
      </c>
      <c r="D3183">
        <v>0</v>
      </c>
      <c r="E3183">
        <v>0</v>
      </c>
      <c r="F3183" t="s">
        <v>0</v>
      </c>
      <c r="G3183" t="str" cm="1">
        <f t="array" ref="G3183" xml:space="preserve"> FindCountryName(F3183)</f>
        <v>None</v>
      </c>
      <c r="H3183" s="1">
        <v>45257.950694444444</v>
      </c>
      <c r="I3183" s="1">
        <v>45257.950694444444</v>
      </c>
      <c r="J3183" s="1">
        <v>41285.455057870371</v>
      </c>
      <c r="K3183" cm="1">
        <f t="array" ref="K3183" xml:space="preserve"> sentimentCalc(C3183)</f>
        <v>0</v>
      </c>
      <c r="L3183" t="str" cm="1">
        <f t="array" ref="L3183" xml:space="preserve"> sentimentCategory(K3183)</f>
        <v>Neutral</v>
      </c>
    </row>
    <row r="3184" spans="1:12">
      <c r="A3184" t="s">
        <v>580</v>
      </c>
      <c r="B3184" t="s">
        <v>579</v>
      </c>
      <c r="C3184" t="str" cm="1">
        <f t="array" ref="C3184" xml:space="preserve"> CleanText(B3184)</f>
        <v>disappointing they didnt make katara nd soka black as in the show</v>
      </c>
      <c r="D3184">
        <v>0</v>
      </c>
      <c r="E3184">
        <v>0</v>
      </c>
      <c r="F3184" t="s">
        <v>0</v>
      </c>
      <c r="G3184" t="str" cm="1">
        <f t="array" ref="G3184" xml:space="preserve"> FindCountryName(F3184)</f>
        <v>None</v>
      </c>
      <c r="H3184" s="1">
        <v>45257.941655092596</v>
      </c>
      <c r="I3184" s="1">
        <v>45257.941655092596</v>
      </c>
      <c r="J3184" s="1">
        <v>45165.693148148152</v>
      </c>
      <c r="K3184" cm="1">
        <f t="array" ref="K3184" xml:space="preserve"> sentimentCalc(C3184)</f>
        <v>-2</v>
      </c>
      <c r="L3184" t="str" cm="1">
        <f t="array" ref="L3184" xml:space="preserve"> sentimentCategory(K3184)</f>
        <v>Negative</v>
      </c>
    </row>
    <row r="3185" spans="1:12">
      <c r="A3185" t="s">
        <v>578</v>
      </c>
      <c r="B3185" t="s">
        <v>577</v>
      </c>
      <c r="C3185" t="str" cm="1">
        <f t="array" ref="C3185" xml:space="preserve"> CleanText(B3185)</f>
        <v>ok google</v>
      </c>
      <c r="D3185">
        <v>0</v>
      </c>
      <c r="E3185">
        <v>0</v>
      </c>
      <c r="F3185" t="s">
        <v>0</v>
      </c>
      <c r="G3185" t="str" cm="1">
        <f t="array" ref="G3185" xml:space="preserve"> FindCountryName(F3185)</f>
        <v>None</v>
      </c>
      <c r="H3185" s="1">
        <v>45257.939189814817</v>
      </c>
      <c r="I3185" s="1">
        <v>45257.939189814817</v>
      </c>
      <c r="J3185" s="1">
        <v>45257.924930555557</v>
      </c>
      <c r="K3185" cm="1">
        <f t="array" ref="K3185" xml:space="preserve"> sentimentCalc(C3185)</f>
        <v>0</v>
      </c>
      <c r="L3185" t="str" cm="1">
        <f t="array" ref="L3185" xml:space="preserve"> sentimentCategory(K3185)</f>
        <v>Neutral</v>
      </c>
    </row>
    <row r="3186" spans="1:12">
      <c r="A3186" t="s">
        <v>267</v>
      </c>
      <c r="B3186" t="s">
        <v>576</v>
      </c>
      <c r="C3186" t="str" cm="1">
        <f t="array" ref="C3186" xml:space="preserve"> CleanText(B3186)</f>
        <v>tbh i hate most netflix adaptations theyve ruined everything so far but this gives me goosebumps especially that music at the end it feels so authentic</v>
      </c>
      <c r="D3186">
        <v>0</v>
      </c>
      <c r="E3186">
        <v>0</v>
      </c>
      <c r="F3186" t="s">
        <v>0</v>
      </c>
      <c r="G3186" t="str" cm="1">
        <f t="array" ref="G3186" xml:space="preserve"> FindCountryName(F3186)</f>
        <v>None</v>
      </c>
      <c r="H3186" s="1">
        <v>45257.923483796294</v>
      </c>
      <c r="I3186" s="1">
        <v>45257.923483796294</v>
      </c>
      <c r="J3186" s="1">
        <v>40985.280810185184</v>
      </c>
      <c r="K3186" cm="1">
        <f t="array" ref="K3186" xml:space="preserve"> sentimentCalc(C3186)</f>
        <v>-5</v>
      </c>
      <c r="L3186" t="str" cm="1">
        <f t="array" ref="L3186" xml:space="preserve"> sentimentCategory(K3186)</f>
        <v>Negative</v>
      </c>
    </row>
    <row r="3187" spans="1:12">
      <c r="A3187" t="s">
        <v>575</v>
      </c>
      <c r="B3187" t="s">
        <v>574</v>
      </c>
      <c r="C3187" t="str" cm="1">
        <f t="array" ref="C3187" xml:space="preserve"> CleanText(B3187)</f>
        <v>netflix live adaptation is work _xDD25_one piece and now avatar last airbender hopefully upcoming project work  weldon netflix ❤_xDE10_</v>
      </c>
      <c r="D3187">
        <v>0</v>
      </c>
      <c r="E3187">
        <v>0</v>
      </c>
      <c r="F3187" t="s">
        <v>0</v>
      </c>
      <c r="G3187" t="str" cm="1">
        <f t="array" ref="G3187" xml:space="preserve"> FindCountryName(F3187)</f>
        <v>None</v>
      </c>
      <c r="H3187" s="1">
        <v>45257.915844907409</v>
      </c>
      <c r="I3187" s="1">
        <v>45257.915844907409</v>
      </c>
      <c r="J3187" s="1">
        <v>43965.135555555556</v>
      </c>
      <c r="K3187" cm="1">
        <f t="array" ref="K3187" xml:space="preserve"> sentimentCalc(C3187)</f>
        <v>2</v>
      </c>
      <c r="L3187" t="str" cm="1">
        <f t="array" ref="L3187" xml:space="preserve"> sentimentCategory(K3187)</f>
        <v>Positive</v>
      </c>
    </row>
    <row r="3188" spans="1:12">
      <c r="A3188" t="s">
        <v>573</v>
      </c>
      <c r="B3188" t="s">
        <v>572</v>
      </c>
      <c r="C3188" t="str" cm="1">
        <f t="array" ref="C3188" xml:space="preserve"> CleanText(B3188)</f>
        <v>0 tatto kepala aang bermotif saat menyala</v>
      </c>
      <c r="D3188">
        <v>1</v>
      </c>
      <c r="E3188">
        <v>0</v>
      </c>
      <c r="F3188" t="s">
        <v>0</v>
      </c>
      <c r="G3188" t="str" cm="1">
        <f t="array" ref="G3188" xml:space="preserve"> FindCountryName(F3188)</f>
        <v>None</v>
      </c>
      <c r="H3188" s="1">
        <v>45257.894594907404</v>
      </c>
      <c r="I3188" s="1">
        <v>45257.894594907404</v>
      </c>
      <c r="J3188" s="1">
        <v>41583.279791666668</v>
      </c>
      <c r="K3188" cm="1">
        <f t="array" ref="K3188" xml:space="preserve"> sentimentCalc(C3188)</f>
        <v>0</v>
      </c>
      <c r="L3188" t="str" cm="1">
        <f t="array" ref="L3188" xml:space="preserve"> sentimentCategory(K3188)</f>
        <v>Neutral</v>
      </c>
    </row>
    <row r="3189" spans="1:12">
      <c r="A3189" t="s">
        <v>571</v>
      </c>
      <c r="B3189" t="s">
        <v>570</v>
      </c>
      <c r="C3189" t="str" cm="1">
        <f t="array" ref="C3189" xml:space="preserve"> CleanText(B3189)</f>
        <v>hey katara and sokka are not white in the anime</v>
      </c>
      <c r="D3189">
        <v>0</v>
      </c>
      <c r="E3189">
        <v>0</v>
      </c>
      <c r="F3189" t="s">
        <v>0</v>
      </c>
      <c r="G3189" t="str" cm="1">
        <f t="array" ref="G3189" xml:space="preserve"> FindCountryName(F3189)</f>
        <v>None</v>
      </c>
      <c r="H3189" s="1">
        <v>45257.890763888892</v>
      </c>
      <c r="I3189" s="1">
        <v>45257.890763888892</v>
      </c>
      <c r="J3189" s="1">
        <v>39959.421967592592</v>
      </c>
      <c r="K3189" cm="1">
        <f t="array" ref="K3189" xml:space="preserve"> sentimentCalc(C3189)</f>
        <v>0</v>
      </c>
      <c r="L3189" t="str" cm="1">
        <f t="array" ref="L3189" xml:space="preserve"> sentimentCategory(K3189)</f>
        <v>Neutral</v>
      </c>
    </row>
    <row r="3190" spans="1:12">
      <c r="A3190" t="s">
        <v>569</v>
      </c>
      <c r="B3190" t="s">
        <v>568</v>
      </c>
      <c r="C3190" t="str" cm="1">
        <f t="array" ref="C3190" xml:space="preserve"> CleanText(B3190)</f>
        <v>aang has to be funny and not too serious or matured</v>
      </c>
      <c r="D3190">
        <v>0</v>
      </c>
      <c r="E3190">
        <v>0</v>
      </c>
      <c r="F3190" t="s">
        <v>567</v>
      </c>
      <c r="G3190" t="str" cm="1">
        <f t="array" ref="G3190" xml:space="preserve"> FindCountryName(F3190)</f>
        <v>Ghana</v>
      </c>
      <c r="H3190" s="1">
        <v>45257.88449074074</v>
      </c>
      <c r="I3190" s="1">
        <v>45257.88449074074</v>
      </c>
      <c r="J3190" s="1">
        <v>44951.819976851853</v>
      </c>
      <c r="K3190" cm="1">
        <f t="array" ref="K3190" xml:space="preserve"> sentimentCalc(C3190)</f>
        <v>4</v>
      </c>
      <c r="L3190" t="str" cm="1">
        <f t="array" ref="L3190" xml:space="preserve"> sentimentCategory(K3190)</f>
        <v>Positive</v>
      </c>
    </row>
    <row r="3191" spans="1:12">
      <c r="A3191" t="s">
        <v>566</v>
      </c>
      <c r="B3191" t="s">
        <v>565</v>
      </c>
      <c r="C3191" t="str" cm="1">
        <f t="array" ref="C3191" xml:space="preserve"> CleanText(B3191)</f>
        <v>i am very excited to it _xD83D_</v>
      </c>
      <c r="D3191">
        <v>0</v>
      </c>
      <c r="E3191">
        <v>0</v>
      </c>
      <c r="F3191" t="s">
        <v>0</v>
      </c>
      <c r="G3191" t="str" cm="1">
        <f t="array" ref="G3191" xml:space="preserve"> FindCountryName(F3191)</f>
        <v>None</v>
      </c>
      <c r="H3191" s="1">
        <v>45257.88385416667</v>
      </c>
      <c r="I3191" s="1">
        <v>45257.88385416667</v>
      </c>
      <c r="J3191" s="1">
        <v>43118.96402777778</v>
      </c>
      <c r="K3191" cm="1">
        <f t="array" ref="K3191" xml:space="preserve"> sentimentCalc(C3191)</f>
        <v>3</v>
      </c>
      <c r="L3191" t="str" cm="1">
        <f t="array" ref="L3191" xml:space="preserve"> sentimentCategory(K3191)</f>
        <v>Positive</v>
      </c>
    </row>
    <row r="3192" spans="1:12">
      <c r="A3192" t="s">
        <v>564</v>
      </c>
      <c r="B3192" t="s">
        <v>563</v>
      </c>
      <c r="C3192" t="str" cm="1">
        <f t="array" ref="C3192" xml:space="preserve"> CleanText(B3192)</f>
        <v>lets try this again</v>
      </c>
      <c r="D3192">
        <v>0</v>
      </c>
      <c r="E3192">
        <v>0</v>
      </c>
      <c r="F3192" t="s">
        <v>19</v>
      </c>
      <c r="G3192" t="str" cm="1">
        <f t="array" ref="G3192" xml:space="preserve"> FindCountryName(F3192)</f>
        <v>United States of America (the)</v>
      </c>
      <c r="H3192" s="1">
        <v>45257.86991898148</v>
      </c>
      <c r="I3192" s="1">
        <v>45257.86991898148</v>
      </c>
      <c r="J3192" s="1">
        <v>40902.137939814813</v>
      </c>
      <c r="K3192" cm="1">
        <f t="array" ref="K3192" xml:space="preserve"> sentimentCalc(C3192)</f>
        <v>0</v>
      </c>
      <c r="L3192" t="str" cm="1">
        <f t="array" ref="L3192" xml:space="preserve"> sentimentCategory(K3192)</f>
        <v>Neutral</v>
      </c>
    </row>
    <row r="3193" spans="1:12">
      <c r="A3193" t="s">
        <v>562</v>
      </c>
      <c r="B3193" t="s">
        <v>561</v>
      </c>
      <c r="C3193" t="str" cm="1">
        <f t="array" ref="C3193" xml:space="preserve"> CleanText(B3193)</f>
        <v>sokka is white no</v>
      </c>
      <c r="D3193">
        <v>0</v>
      </c>
      <c r="E3193">
        <v>0</v>
      </c>
      <c r="F3193" t="s">
        <v>0</v>
      </c>
      <c r="G3193" t="str" cm="1">
        <f t="array" ref="G3193" xml:space="preserve"> FindCountryName(F3193)</f>
        <v>None</v>
      </c>
      <c r="H3193" s="1">
        <v>45257.865173611113</v>
      </c>
      <c r="I3193" s="1">
        <v>45257.865173611113</v>
      </c>
      <c r="J3193" s="1">
        <v>44787.503206018519</v>
      </c>
      <c r="K3193" cm="1">
        <f t="array" ref="K3193" xml:space="preserve"> sentimentCalc(C3193)</f>
        <v>-1</v>
      </c>
      <c r="L3193" t="str" cm="1">
        <f t="array" ref="L3193" xml:space="preserve"> sentimentCategory(K3193)</f>
        <v>Negative</v>
      </c>
    </row>
    <row r="3194" spans="1:12">
      <c r="A3194" t="s">
        <v>560</v>
      </c>
      <c r="B3194" t="s">
        <v>559</v>
      </c>
      <c r="C3194" t="str" cm="1">
        <f t="array" ref="C3194" xml:space="preserve"> CleanText(B3194)</f>
        <v>its a movie or a series</v>
      </c>
      <c r="D3194">
        <v>0</v>
      </c>
      <c r="E3194">
        <v>1</v>
      </c>
      <c r="F3194" t="s">
        <v>0</v>
      </c>
      <c r="G3194" t="str" cm="1">
        <f t="array" ref="G3194" xml:space="preserve"> FindCountryName(F3194)</f>
        <v>None</v>
      </c>
      <c r="H3194" s="1">
        <v>45257.829050925924</v>
      </c>
      <c r="I3194" s="1">
        <v>45257.829050925924</v>
      </c>
      <c r="J3194" s="1">
        <v>41565.474178240744</v>
      </c>
      <c r="K3194" cm="1">
        <f t="array" ref="K3194" xml:space="preserve"> sentimentCalc(C3194)</f>
        <v>0</v>
      </c>
      <c r="L3194" t="str" cm="1">
        <f t="array" ref="L3194" xml:space="preserve"> sentimentCategory(K3194)</f>
        <v>Neutral</v>
      </c>
    </row>
    <row r="3195" spans="1:12">
      <c r="A3195" t="s">
        <v>558</v>
      </c>
      <c r="B3195" t="s">
        <v>557</v>
      </c>
      <c r="C3195" t="str" cm="1">
        <f t="array" ref="C3195" xml:space="preserve"> CleanText(B3195)</f>
        <v>wheres toph</v>
      </c>
      <c r="D3195">
        <v>0</v>
      </c>
      <c r="E3195">
        <v>1</v>
      </c>
      <c r="F3195" t="s">
        <v>0</v>
      </c>
      <c r="G3195" t="str" cm="1">
        <f t="array" ref="G3195" xml:space="preserve"> FindCountryName(F3195)</f>
        <v>None</v>
      </c>
      <c r="H3195" s="1">
        <v>45257.827349537038</v>
      </c>
      <c r="I3195" s="1">
        <v>45257.827349537038</v>
      </c>
      <c r="J3195" s="1">
        <v>43056.284131944441</v>
      </c>
      <c r="K3195" cm="1">
        <f t="array" ref="K3195" xml:space="preserve"> sentimentCalc(C3195)</f>
        <v>0</v>
      </c>
      <c r="L3195" t="str" cm="1">
        <f t="array" ref="L3195" xml:space="preserve"> sentimentCategory(K3195)</f>
        <v>Neutral</v>
      </c>
    </row>
    <row r="3196" spans="1:12">
      <c r="A3196" t="s">
        <v>556</v>
      </c>
      <c r="B3196" t="s">
        <v>555</v>
      </c>
      <c r="C3196" t="str" cm="1">
        <f t="array" ref="C3196" xml:space="preserve"> CleanText(B3196)</f>
        <v>this looks promising but what are you doing to my azula _xDE2D_</v>
      </c>
      <c r="D3196">
        <v>0</v>
      </c>
      <c r="E3196">
        <v>0</v>
      </c>
      <c r="F3196" t="s">
        <v>0</v>
      </c>
      <c r="G3196" t="str" cm="1">
        <f t="array" ref="G3196" xml:space="preserve"> FindCountryName(F3196)</f>
        <v>None</v>
      </c>
      <c r="H3196" s="1">
        <v>45257.810613425929</v>
      </c>
      <c r="I3196" s="1">
        <v>45257.810613425929</v>
      </c>
      <c r="J3196" s="1">
        <v>41884.074328703704</v>
      </c>
      <c r="K3196" cm="1">
        <f t="array" ref="K3196" xml:space="preserve"> sentimentCalc(C3196)</f>
        <v>0</v>
      </c>
      <c r="L3196" t="str" cm="1">
        <f t="array" ref="L3196" xml:space="preserve"> sentimentCategory(K3196)</f>
        <v>Neutral</v>
      </c>
    </row>
    <row r="3197" spans="1:12">
      <c r="A3197" t="s">
        <v>554</v>
      </c>
      <c r="B3197" t="s">
        <v>553</v>
      </c>
      <c r="C3197" t="str" cm="1">
        <f t="array" ref="C3197" xml:space="preserve"> CleanText(B3197)</f>
        <v>is it a series or a movie it looks well produced but still looks much more serious than the original series</v>
      </c>
      <c r="D3197">
        <v>0</v>
      </c>
      <c r="E3197">
        <v>0</v>
      </c>
      <c r="F3197" t="s">
        <v>0</v>
      </c>
      <c r="G3197" t="str" cm="1">
        <f t="array" ref="G3197" xml:space="preserve"> FindCountryName(F3197)</f>
        <v>None</v>
      </c>
      <c r="H3197" s="1">
        <v>45257.808182870373</v>
      </c>
      <c r="I3197" s="1">
        <v>45257.808182870373</v>
      </c>
      <c r="J3197" s="1">
        <v>41375.785775462966</v>
      </c>
      <c r="K3197" cm="1">
        <f t="array" ref="K3197" xml:space="preserve"> sentimentCalc(C3197)</f>
        <v>0</v>
      </c>
      <c r="L3197" t="str" cm="1">
        <f t="array" ref="L3197" xml:space="preserve"> sentimentCategory(K3197)</f>
        <v>Neutral</v>
      </c>
    </row>
    <row r="3198" spans="1:12">
      <c r="A3198" t="s">
        <v>415</v>
      </c>
      <c r="B3198" t="s">
        <v>552</v>
      </c>
      <c r="C3198" t="str" cm="1">
        <f t="array" ref="C3198" xml:space="preserve"> CleanText(B3198)</f>
        <v>toph better be in this show</v>
      </c>
      <c r="D3198">
        <v>0</v>
      </c>
      <c r="E3198">
        <v>1</v>
      </c>
      <c r="F3198" t="s">
        <v>0</v>
      </c>
      <c r="G3198" t="str" cm="1">
        <f t="array" ref="G3198" xml:space="preserve"> FindCountryName(F3198)</f>
        <v>None</v>
      </c>
      <c r="H3198" s="1">
        <v>45257.801747685182</v>
      </c>
      <c r="I3198" s="1">
        <v>45257.801747685182</v>
      </c>
      <c r="J3198" s="1">
        <v>41705.498043981483</v>
      </c>
      <c r="K3198" cm="1">
        <f t="array" ref="K3198" xml:space="preserve"> sentimentCalc(C3198)</f>
        <v>2</v>
      </c>
      <c r="L3198" t="str" cm="1">
        <f t="array" ref="L3198" xml:space="preserve"> sentimentCategory(K3198)</f>
        <v>Positive</v>
      </c>
    </row>
    <row r="3199" spans="1:12">
      <c r="A3199" t="s">
        <v>175</v>
      </c>
      <c r="B3199" t="s">
        <v>551</v>
      </c>
      <c r="C3199" t="str" cm="1">
        <f t="array" ref="C3199" xml:space="preserve"> CleanText(B3199)</f>
        <v>it looks so good</v>
      </c>
      <c r="D3199">
        <v>1</v>
      </c>
      <c r="E3199">
        <v>0</v>
      </c>
      <c r="F3199" t="s">
        <v>19</v>
      </c>
      <c r="G3199" t="str" cm="1">
        <f t="array" ref="G3199" xml:space="preserve"> FindCountryName(F3199)</f>
        <v>United States of America (the)</v>
      </c>
      <c r="H3199" s="1">
        <v>45257.801203703704</v>
      </c>
      <c r="I3199" s="1">
        <v>45257.801203703704</v>
      </c>
      <c r="J3199" s="1">
        <v>42488.601018518515</v>
      </c>
      <c r="K3199" cm="1">
        <f t="array" ref="K3199" xml:space="preserve"> sentimentCalc(C3199)</f>
        <v>3</v>
      </c>
      <c r="L3199" t="str" cm="1">
        <f t="array" ref="L3199" xml:space="preserve"> sentimentCategory(K3199)</f>
        <v>Positive</v>
      </c>
    </row>
    <row r="3200" spans="1:12">
      <c r="A3200" t="s">
        <v>550</v>
      </c>
      <c r="B3200" t="s">
        <v>549</v>
      </c>
      <c r="C3200" t="str" cm="1">
        <f t="array" ref="C3200" xml:space="preserve"> CleanText(B3200)</f>
        <v>ung has tik eyebrows</v>
      </c>
      <c r="D3200">
        <v>0</v>
      </c>
      <c r="E3200">
        <v>0</v>
      </c>
      <c r="F3200" t="s">
        <v>0</v>
      </c>
      <c r="G3200" t="str" cm="1">
        <f t="array" ref="G3200" xml:space="preserve"> FindCountryName(F3200)</f>
        <v>None</v>
      </c>
      <c r="H3200" s="1">
        <v>45257.793182870373</v>
      </c>
      <c r="I3200" s="1">
        <v>45257.793182870373</v>
      </c>
      <c r="J3200" s="1">
        <v>39684.299386574072</v>
      </c>
      <c r="K3200" cm="1">
        <f t="array" ref="K3200" xml:space="preserve"> sentimentCalc(C3200)</f>
        <v>0</v>
      </c>
      <c r="L3200" t="str" cm="1">
        <f t="array" ref="L3200" xml:space="preserve"> sentimentCategory(K3200)</f>
        <v>Neutral</v>
      </c>
    </row>
    <row r="3201" spans="1:12">
      <c r="A3201" t="s">
        <v>439</v>
      </c>
      <c r="B3201" t="s">
        <v>548</v>
      </c>
      <c r="C3201" t="str" cm="1">
        <f t="array" ref="C3201" xml:space="preserve"> CleanText(B3201)</f>
        <v>please its fine to take this slow your touching something extremely sensitive to a lot of us growing up character development is what keeps people watching</v>
      </c>
      <c r="D3201">
        <v>0</v>
      </c>
      <c r="E3201">
        <v>0</v>
      </c>
      <c r="F3201" t="s">
        <v>0</v>
      </c>
      <c r="G3201" t="str" cm="1">
        <f t="array" ref="G3201" xml:space="preserve"> FindCountryName(F3201)</f>
        <v>None</v>
      </c>
      <c r="H3201" s="1">
        <v>45257.784849537034</v>
      </c>
      <c r="I3201" s="1">
        <v>45257.784849537034</v>
      </c>
      <c r="J3201" s="1">
        <v>40716.839641203704</v>
      </c>
      <c r="K3201" cm="1">
        <f t="array" ref="K3201" xml:space="preserve"> sentimentCalc(C3201)</f>
        <v>4</v>
      </c>
      <c r="L3201" t="str" cm="1">
        <f t="array" ref="L3201" xml:space="preserve"> sentimentCategory(K3201)</f>
        <v>Positive</v>
      </c>
    </row>
    <row r="3202" spans="1:12">
      <c r="A3202" t="s">
        <v>547</v>
      </c>
      <c r="B3202" t="s">
        <v>546</v>
      </c>
      <c r="C3202" t="str" cm="1">
        <f t="array" ref="C3202" xml:space="preserve"> CleanText(B3202)</f>
        <v>no</v>
      </c>
      <c r="D3202">
        <v>0</v>
      </c>
      <c r="E3202">
        <v>0</v>
      </c>
      <c r="F3202" t="s">
        <v>0</v>
      </c>
      <c r="G3202" t="str" cm="1">
        <f t="array" ref="G3202" xml:space="preserve"> FindCountryName(F3202)</f>
        <v>None</v>
      </c>
      <c r="H3202" s="1">
        <v>45257.780023148145</v>
      </c>
      <c r="I3202" s="1">
        <v>45257.780023148145</v>
      </c>
      <c r="J3202" s="1">
        <v>45257.779953703706</v>
      </c>
      <c r="K3202" cm="1">
        <f t="array" ref="K3202" xml:space="preserve"> sentimentCalc(C3202)</f>
        <v>-1</v>
      </c>
      <c r="L3202" t="str" cm="1">
        <f t="array" ref="L3202" xml:space="preserve"> sentimentCategory(K3202)</f>
        <v>Negative</v>
      </c>
    </row>
    <row r="3203" spans="1:12">
      <c r="A3203" t="s">
        <v>88</v>
      </c>
      <c r="B3203" t="s">
        <v>545</v>
      </c>
      <c r="C3203" t="str" cm="1">
        <f t="array" ref="C3203" xml:space="preserve"> CleanText(B3203)</f>
        <v>ok but for howww muucchhh longer is he going to remain a kidddfdrfffffdddddddddd</v>
      </c>
      <c r="D3203">
        <v>0</v>
      </c>
      <c r="E3203">
        <v>0</v>
      </c>
      <c r="F3203" t="s">
        <v>0</v>
      </c>
      <c r="G3203" t="str" cm="1">
        <f t="array" ref="G3203" xml:space="preserve"> FindCountryName(F3203)</f>
        <v>None</v>
      </c>
      <c r="H3203" s="1">
        <v>45257.766967592594</v>
      </c>
      <c r="I3203" s="1">
        <v>45257.766967592594</v>
      </c>
      <c r="J3203" s="1">
        <v>41825.773784722223</v>
      </c>
      <c r="K3203" cm="1">
        <f t="array" ref="K3203" xml:space="preserve"> sentimentCalc(C3203)</f>
        <v>0</v>
      </c>
      <c r="L3203" t="str" cm="1">
        <f t="array" ref="L3203" xml:space="preserve"> sentimentCategory(K3203)</f>
        <v>Neutral</v>
      </c>
    </row>
    <row r="3204" spans="1:12">
      <c r="A3204" t="s">
        <v>43</v>
      </c>
      <c r="B3204" t="s">
        <v>544</v>
      </c>
      <c r="C3204" t="str" cm="1">
        <f t="array" ref="C3204" xml:space="preserve"> CleanText(B3204)</f>
        <v>i hope they use the same composer for the music</v>
      </c>
      <c r="D3204">
        <v>0</v>
      </c>
      <c r="E3204">
        <v>0</v>
      </c>
      <c r="F3204" t="s">
        <v>0</v>
      </c>
      <c r="G3204" t="str" cm="1">
        <f t="array" ref="G3204" xml:space="preserve"> FindCountryName(F3204)</f>
        <v>None</v>
      </c>
      <c r="H3204" s="1">
        <v>45257.762523148151</v>
      </c>
      <c r="I3204" s="1">
        <v>45257.762523148151</v>
      </c>
      <c r="J3204" s="1">
        <v>41548.883842592593</v>
      </c>
      <c r="K3204" cm="1">
        <f t="array" ref="K3204" xml:space="preserve"> sentimentCalc(C3204)</f>
        <v>2</v>
      </c>
      <c r="L3204" t="str" cm="1">
        <f t="array" ref="L3204" xml:space="preserve"> sentimentCategory(K3204)</f>
        <v>Positive</v>
      </c>
    </row>
    <row r="3205" spans="1:12">
      <c r="A3205" t="s">
        <v>543</v>
      </c>
      <c r="B3205" t="s">
        <v>542</v>
      </c>
      <c r="C3205" t="str" cm="1">
        <f t="array" ref="C3205" xml:space="preserve"> CleanText(B3205)</f>
        <v>this looks incrediblehope its as good as it looks</v>
      </c>
      <c r="D3205">
        <v>0</v>
      </c>
      <c r="E3205">
        <v>0</v>
      </c>
      <c r="F3205" t="s">
        <v>19</v>
      </c>
      <c r="G3205" t="str" cm="1">
        <f t="array" ref="G3205" xml:space="preserve"> FindCountryName(F3205)</f>
        <v>United States of America (the)</v>
      </c>
      <c r="H3205" s="1">
        <v>45257.758020833331</v>
      </c>
      <c r="I3205" s="1">
        <v>45257.758020833331</v>
      </c>
      <c r="J3205" s="1">
        <v>43958.571979166663</v>
      </c>
      <c r="K3205" cm="1">
        <f t="array" ref="K3205" xml:space="preserve"> sentimentCalc(C3205)</f>
        <v>3</v>
      </c>
      <c r="L3205" t="str" cm="1">
        <f t="array" ref="L3205" xml:space="preserve"> sentimentCategory(K3205)</f>
        <v>Positive</v>
      </c>
    </row>
    <row r="3206" spans="1:12">
      <c r="A3206" t="s">
        <v>541</v>
      </c>
      <c r="B3206" t="s">
        <v>540</v>
      </c>
      <c r="C3206" t="str" cm="1">
        <f t="array" ref="C3206" xml:space="preserve"> CleanText(B3206)</f>
        <v>same shit man make better movies already something new</v>
      </c>
      <c r="D3206">
        <v>0</v>
      </c>
      <c r="E3206">
        <v>0</v>
      </c>
      <c r="F3206" t="s">
        <v>19</v>
      </c>
      <c r="G3206" t="str" cm="1">
        <f t="array" ref="G3206" xml:space="preserve"> FindCountryName(F3206)</f>
        <v>United States of America (the)</v>
      </c>
      <c r="H3206" s="1">
        <v>45257.732951388891</v>
      </c>
      <c r="I3206" s="1">
        <v>45257.732951388891</v>
      </c>
      <c r="J3206" s="1">
        <v>41234.668217592596</v>
      </c>
      <c r="K3206" cm="1">
        <f t="array" ref="K3206" xml:space="preserve"> sentimentCalc(C3206)</f>
        <v>2</v>
      </c>
      <c r="L3206" t="str" cm="1">
        <f t="array" ref="L3206" xml:space="preserve"> sentimentCategory(K3206)</f>
        <v>Positive</v>
      </c>
    </row>
    <row r="3207" spans="1:12">
      <c r="A3207" t="s">
        <v>539</v>
      </c>
      <c r="B3207" t="s">
        <v>538</v>
      </c>
      <c r="C3207" t="str" cm="1">
        <f t="array" ref="C3207" xml:space="preserve"> CleanText(B3207)</f>
        <v>why do you like this this looks awful</v>
      </c>
      <c r="D3207">
        <v>0</v>
      </c>
      <c r="E3207">
        <v>0</v>
      </c>
      <c r="F3207" t="s">
        <v>0</v>
      </c>
      <c r="G3207" t="str" cm="1">
        <f t="array" ref="G3207" xml:space="preserve"> FindCountryName(F3207)</f>
        <v>None</v>
      </c>
      <c r="H3207" s="1">
        <v>45257.727407407408</v>
      </c>
      <c r="I3207" s="1">
        <v>45257.727407407408</v>
      </c>
      <c r="J3207" s="1">
        <v>43761.54892361111</v>
      </c>
      <c r="K3207" cm="1">
        <f t="array" ref="K3207" xml:space="preserve"> sentimentCalc(C3207)</f>
        <v>-1</v>
      </c>
      <c r="L3207" t="str" cm="1">
        <f t="array" ref="L3207" xml:space="preserve"> sentimentCategory(K3207)</f>
        <v>Negative</v>
      </c>
    </row>
    <row r="3208" spans="1:12">
      <c r="A3208" t="s">
        <v>537</v>
      </c>
      <c r="B3208" t="s">
        <v>536</v>
      </c>
      <c r="C3208" t="str" cm="1">
        <f t="array" ref="C3208" xml:space="preserve"> CleanText(B3208)</f>
        <v>lets gooooooooooooooooooooooooooooooooo</v>
      </c>
      <c r="D3208">
        <v>0</v>
      </c>
      <c r="E3208">
        <v>0</v>
      </c>
      <c r="F3208" t="s">
        <v>0</v>
      </c>
      <c r="G3208" t="str" cm="1">
        <f t="array" ref="G3208" xml:space="preserve"> FindCountryName(F3208)</f>
        <v>None</v>
      </c>
      <c r="H3208" s="1">
        <v>45257.717939814815</v>
      </c>
      <c r="I3208" s="1">
        <v>45257.717939814815</v>
      </c>
      <c r="J3208" s="1">
        <v>41071.640127314815</v>
      </c>
      <c r="K3208" cm="1">
        <f t="array" ref="K3208" xml:space="preserve"> sentimentCalc(C3208)</f>
        <v>0</v>
      </c>
      <c r="L3208" t="str" cm="1">
        <f t="array" ref="L3208" xml:space="preserve"> sentimentCategory(K3208)</f>
        <v>Neutral</v>
      </c>
    </row>
    <row r="3209" spans="1:12">
      <c r="A3209" t="s">
        <v>535</v>
      </c>
      <c r="B3209" t="s">
        <v>534</v>
      </c>
      <c r="C3209" t="str" cm="1">
        <f t="array" ref="C3209" xml:space="preserve"> CleanText(B3209)</f>
        <v>this looks so good</v>
      </c>
      <c r="D3209">
        <v>0</v>
      </c>
      <c r="E3209">
        <v>0</v>
      </c>
      <c r="F3209" t="s">
        <v>0</v>
      </c>
      <c r="G3209" t="str" cm="1">
        <f t="array" ref="G3209" xml:space="preserve"> FindCountryName(F3209)</f>
        <v>None</v>
      </c>
      <c r="H3209" s="1">
        <v>45257.714456018519</v>
      </c>
      <c r="I3209" s="1">
        <v>45257.714456018519</v>
      </c>
      <c r="J3209" s="1">
        <v>42428.956747685188</v>
      </c>
      <c r="K3209" cm="1">
        <f t="array" ref="K3209" xml:space="preserve"> sentimentCalc(C3209)</f>
        <v>3</v>
      </c>
      <c r="L3209" t="str" cm="1">
        <f t="array" ref="L3209" xml:space="preserve"> sentimentCategory(K3209)</f>
        <v>Positive</v>
      </c>
    </row>
    <row r="3210" spans="1:12">
      <c r="A3210" t="s">
        <v>361</v>
      </c>
      <c r="B3210" t="s">
        <v>533</v>
      </c>
      <c r="C3210" t="str" cm="1">
        <f t="array" ref="C3210" xml:space="preserve"> CleanText(B3210)</f>
        <v>i feel the hardest part to bring to life woild be the way their bodies move when performing their bending ability that was so satisfying to watch especially when an earth bender does it</v>
      </c>
      <c r="D3210">
        <v>44</v>
      </c>
      <c r="E3210">
        <v>1</v>
      </c>
      <c r="F3210" t="s">
        <v>0</v>
      </c>
      <c r="G3210" t="str" cm="1">
        <f t="array" ref="G3210" xml:space="preserve"> FindCountryName(F3210)</f>
        <v>None</v>
      </c>
      <c r="H3210" s="1">
        <v>45257.712175925924</v>
      </c>
      <c r="I3210" s="1">
        <v>45257.712175925924</v>
      </c>
      <c r="J3210" s="1">
        <v>42894.706180555557</v>
      </c>
      <c r="K3210" cm="1">
        <f t="array" ref="K3210" xml:space="preserve"> sentimentCalc(C3210)</f>
        <v>2</v>
      </c>
      <c r="L3210" t="str" cm="1">
        <f t="array" ref="L3210" xml:space="preserve"> sentimentCategory(K3210)</f>
        <v>Positive</v>
      </c>
    </row>
    <row r="3211" spans="1:12">
      <c r="A3211" t="s">
        <v>420</v>
      </c>
      <c r="B3211" t="s">
        <v>532</v>
      </c>
      <c r="C3211" t="str" cm="1">
        <f t="array" ref="C3211" xml:space="preserve"> CleanText(B3211)</f>
        <v>have to see to judge _xDD14_but lately 0 they are doing it right</v>
      </c>
      <c r="D3211">
        <v>0</v>
      </c>
      <c r="E3211">
        <v>0</v>
      </c>
      <c r="F3211" t="s">
        <v>0</v>
      </c>
      <c r="G3211" t="str" cm="1">
        <f t="array" ref="G3211" xml:space="preserve"> FindCountryName(F3211)</f>
        <v>None</v>
      </c>
      <c r="H3211" s="1">
        <v>45257.70521990741</v>
      </c>
      <c r="I3211" s="1">
        <v>45257.70521990741</v>
      </c>
      <c r="J3211" s="1">
        <v>45243.533541666664</v>
      </c>
      <c r="K3211" cm="1">
        <f t="array" ref="K3211" xml:space="preserve"> sentimentCalc(C3211)</f>
        <v>0</v>
      </c>
      <c r="L3211" t="str" cm="1">
        <f t="array" ref="L3211" xml:space="preserve"> sentimentCategory(K3211)</f>
        <v>Neutral</v>
      </c>
    </row>
    <row r="3212" spans="1:12">
      <c r="A3212" t="s">
        <v>531</v>
      </c>
      <c r="B3212" t="s">
        <v>530</v>
      </c>
      <c r="C3212" t="str" cm="1">
        <f t="array" ref="C3212" xml:space="preserve"> CleanText(B3212)</f>
        <v>whre azula n her group</v>
      </c>
      <c r="D3212">
        <v>0</v>
      </c>
      <c r="E3212">
        <v>0</v>
      </c>
      <c r="F3212" t="s">
        <v>0</v>
      </c>
      <c r="G3212" t="str" cm="1">
        <f t="array" ref="G3212" xml:space="preserve"> FindCountryName(F3212)</f>
        <v>None</v>
      </c>
      <c r="H3212" s="1">
        <v>45257.703576388885</v>
      </c>
      <c r="I3212" s="1">
        <v>45257.703576388885</v>
      </c>
      <c r="J3212" s="1">
        <v>42984.58148148148</v>
      </c>
      <c r="K3212" cm="1">
        <f t="array" ref="K3212" xml:space="preserve"> sentimentCalc(C3212)</f>
        <v>0</v>
      </c>
      <c r="L3212" t="str" cm="1">
        <f t="array" ref="L3212" xml:space="preserve"> sentimentCategory(K3212)</f>
        <v>Neutral</v>
      </c>
    </row>
    <row r="3213" spans="1:12">
      <c r="A3213" t="s">
        <v>529</v>
      </c>
      <c r="B3213" t="s">
        <v>528</v>
      </c>
      <c r="C3213" t="str" cm="1">
        <f t="array" ref="C3213" xml:space="preserve"> CleanText(B3213)</f>
        <v>is that just lighting or katara and sokka more white again  after netflix trying so hard to make known characters black  surprising</v>
      </c>
      <c r="D3213">
        <v>0</v>
      </c>
      <c r="E3213">
        <v>1</v>
      </c>
      <c r="F3213" t="s">
        <v>0</v>
      </c>
      <c r="G3213" t="str" cm="1">
        <f t="array" ref="G3213" xml:space="preserve"> FindCountryName(F3213)</f>
        <v>None</v>
      </c>
      <c r="H3213" s="1">
        <v>45257.701574074075</v>
      </c>
      <c r="I3213" s="1">
        <v>45257.702824074076</v>
      </c>
      <c r="J3213" s="1">
        <v>41512.742175925923</v>
      </c>
      <c r="K3213" cm="1">
        <f t="array" ref="K3213" xml:space="preserve"> sentimentCalc(C3213)</f>
        <v>-1</v>
      </c>
      <c r="L3213" t="str" cm="1">
        <f t="array" ref="L3213" xml:space="preserve"> sentimentCategory(K3213)</f>
        <v>Negative</v>
      </c>
    </row>
    <row r="3214" spans="1:12">
      <c r="A3214" t="s">
        <v>527</v>
      </c>
      <c r="B3214" t="s">
        <v>526</v>
      </c>
      <c r="C3214" t="str" cm="1">
        <f t="array" ref="C3214" xml:space="preserve"> CleanText(B3214)</f>
        <v>i dunno why everyone is shitting on the film it wasnt that bad i aint getting good vibes with this main character though tbh</v>
      </c>
      <c r="D3214">
        <v>0</v>
      </c>
      <c r="E3214">
        <v>0</v>
      </c>
      <c r="F3214" t="s">
        <v>0</v>
      </c>
      <c r="G3214" t="str" cm="1">
        <f t="array" ref="G3214" xml:space="preserve"> FindCountryName(F3214)</f>
        <v>None</v>
      </c>
      <c r="H3214" s="1">
        <v>45257.699097222219</v>
      </c>
      <c r="I3214" s="1">
        <v>45257.699097222219</v>
      </c>
      <c r="J3214" s="1">
        <v>42947.599780092591</v>
      </c>
      <c r="K3214" cm="1">
        <f t="array" ref="K3214" xml:space="preserve"> sentimentCalc(C3214)</f>
        <v>0</v>
      </c>
      <c r="L3214" t="str" cm="1">
        <f t="array" ref="L3214" xml:space="preserve"> sentimentCategory(K3214)</f>
        <v>Neutral</v>
      </c>
    </row>
    <row r="3215" spans="1:12">
      <c r="A3215" t="s">
        <v>340</v>
      </c>
      <c r="B3215" t="s">
        <v>525</v>
      </c>
      <c r="C3215" t="str" cm="1">
        <f t="array" ref="C3215" xml:space="preserve"> CleanText(B3215)</f>
        <v>aang his hope kataras drive sokkas leadership the thougness of toph de people to look up to while unle iroh is learning lifelessons_xDE4C_ seeing zuko his redemption you know there is always a way to do better the animated series learned me about life so netflix give the last air bender his redemption_xDD1D_</v>
      </c>
      <c r="D3215">
        <v>2</v>
      </c>
      <c r="E3215">
        <v>0</v>
      </c>
      <c r="F3215" t="s">
        <v>0</v>
      </c>
      <c r="G3215" t="str" cm="1">
        <f t="array" ref="G3215" xml:space="preserve"> FindCountryName(F3215)</f>
        <v>None</v>
      </c>
      <c r="H3215" s="1">
        <v>45257.693796296298</v>
      </c>
      <c r="I3215" s="1">
        <v>45257.693796296298</v>
      </c>
      <c r="J3215" s="1">
        <v>43176.639872685184</v>
      </c>
      <c r="K3215" cm="1">
        <f t="array" ref="K3215" xml:space="preserve"> sentimentCalc(C3215)</f>
        <v>4</v>
      </c>
      <c r="L3215" t="str" cm="1">
        <f t="array" ref="L3215" xml:space="preserve"> sentimentCategory(K3215)</f>
        <v>Positive</v>
      </c>
    </row>
    <row r="3216" spans="1:12">
      <c r="A3216" t="s">
        <v>76</v>
      </c>
      <c r="B3216" t="s">
        <v>524</v>
      </c>
      <c r="C3216" t="str" cm="1">
        <f t="array" ref="C3216" xml:space="preserve"> CleanText(B3216)</f>
        <v>you people rooting for this should be ashamed of yourselvesi hope that like the people of nineveh you come to the knowledge of your grievous sins and ask forgiveness for this heinous act</v>
      </c>
      <c r="D3216">
        <v>0</v>
      </c>
      <c r="E3216">
        <v>2</v>
      </c>
      <c r="F3216" t="s">
        <v>0</v>
      </c>
      <c r="G3216" t="str" cm="1">
        <f t="array" ref="G3216" xml:space="preserve"> FindCountryName(F3216)</f>
        <v>None</v>
      </c>
      <c r="H3216" s="1">
        <v>45257.683807870373</v>
      </c>
      <c r="I3216" s="1">
        <v>45257.683807870373</v>
      </c>
      <c r="J3216" s="1">
        <v>42281.668182870373</v>
      </c>
      <c r="K3216" cm="1">
        <f t="array" ref="K3216" xml:space="preserve"> sentimentCalc(C3216)</f>
        <v>2</v>
      </c>
      <c r="L3216" t="str" cm="1">
        <f t="array" ref="L3216" xml:space="preserve"> sentimentCategory(K3216)</f>
        <v>Positive</v>
      </c>
    </row>
    <row r="3217" spans="1:12">
      <c r="A3217" t="s">
        <v>523</v>
      </c>
      <c r="B3217" t="s">
        <v>522</v>
      </c>
      <c r="C3217" t="str" cm="1">
        <f t="array" ref="C3217" xml:space="preserve"> CleanText(B3217)</f>
        <v>absolutely incredible i did notice though that sokka does not have a ponytail</v>
      </c>
      <c r="D3217">
        <v>0</v>
      </c>
      <c r="E3217">
        <v>0</v>
      </c>
      <c r="F3217" t="s">
        <v>0</v>
      </c>
      <c r="G3217" t="str" cm="1">
        <f t="array" ref="G3217" xml:space="preserve"> FindCountryName(F3217)</f>
        <v>None</v>
      </c>
      <c r="H3217" s="1">
        <v>45257.675162037034</v>
      </c>
      <c r="I3217" s="1">
        <v>45257.675162037034</v>
      </c>
      <c r="J3217" s="1">
        <v>40431.709687499999</v>
      </c>
      <c r="K3217" cm="1">
        <f t="array" ref="K3217" xml:space="preserve"> sentimentCalc(C3217)</f>
        <v>0</v>
      </c>
      <c r="L3217" t="str" cm="1">
        <f t="array" ref="L3217" xml:space="preserve"> sentimentCategory(K3217)</f>
        <v>Neutral</v>
      </c>
    </row>
    <row r="3218" spans="1:12">
      <c r="A3218" t="s">
        <v>521</v>
      </c>
      <c r="B3218" t="s">
        <v>520</v>
      </c>
      <c r="C3218" t="str" cm="1">
        <f t="array" ref="C3218" xml:space="preserve"> CleanText(B3218)</f>
        <v>is the human version out already or just wanna be published because the one ive been seeing are animations</v>
      </c>
      <c r="D3218">
        <v>0</v>
      </c>
      <c r="E3218">
        <v>0</v>
      </c>
      <c r="F3218" t="s">
        <v>0</v>
      </c>
      <c r="G3218" t="str" cm="1">
        <f t="array" ref="G3218" xml:space="preserve"> FindCountryName(F3218)</f>
        <v>None</v>
      </c>
      <c r="H3218" s="1">
        <v>45257.673182870371</v>
      </c>
      <c r="I3218" s="1">
        <v>45257.673182870371</v>
      </c>
      <c r="J3218" s="1">
        <v>44788.349016203705</v>
      </c>
      <c r="K3218" cm="1">
        <f t="array" ref="K3218" xml:space="preserve"> sentimentCalc(C3218)</f>
        <v>0</v>
      </c>
      <c r="L3218" t="str" cm="1">
        <f t="array" ref="L3218" xml:space="preserve"> sentimentCategory(K3218)</f>
        <v>Neutral</v>
      </c>
    </row>
    <row r="3219" spans="1:12">
      <c r="A3219" t="s">
        <v>221</v>
      </c>
      <c r="B3219" t="s">
        <v>519</v>
      </c>
      <c r="C3219" t="str" cm="1">
        <f t="array" ref="C3219" xml:space="preserve"> CleanText(B3219)</f>
        <v>hopefully they wont squeeze  series out of the first two books that was the issue with the movie not having a sequel</v>
      </c>
      <c r="D3219">
        <v>0</v>
      </c>
      <c r="E3219">
        <v>0</v>
      </c>
      <c r="F3219" t="s">
        <v>0</v>
      </c>
      <c r="G3219" t="str" cm="1">
        <f t="array" ref="G3219" xml:space="preserve"> FindCountryName(F3219)</f>
        <v>None</v>
      </c>
      <c r="H3219" s="1">
        <v>45257.659502314818</v>
      </c>
      <c r="I3219" s="1">
        <v>45257.659502314818</v>
      </c>
      <c r="J3219" s="1">
        <v>44930.278171296297</v>
      </c>
      <c r="K3219" cm="1">
        <f t="array" ref="K3219" xml:space="preserve"> sentimentCalc(C3219)</f>
        <v>2</v>
      </c>
      <c r="L3219" t="str" cm="1">
        <f t="array" ref="L3219" xml:space="preserve"> sentimentCategory(K3219)</f>
        <v>Positive</v>
      </c>
    </row>
    <row r="3220" spans="1:12">
      <c r="A3220" t="s">
        <v>518</v>
      </c>
      <c r="B3220" t="s">
        <v>517</v>
      </c>
      <c r="C3220" t="str" cm="1">
        <f t="array" ref="C3220" xml:space="preserve"> CleanText(B3220)</f>
        <v>i need the cactus juice scene</v>
      </c>
      <c r="D3220">
        <v>0</v>
      </c>
      <c r="E3220">
        <v>0</v>
      </c>
      <c r="F3220" t="s">
        <v>0</v>
      </c>
      <c r="G3220" t="str" cm="1">
        <f t="array" ref="G3220" xml:space="preserve"> FindCountryName(F3220)</f>
        <v>None</v>
      </c>
      <c r="H3220" s="1">
        <v>45257.645740740743</v>
      </c>
      <c r="I3220" s="1">
        <v>45257.645740740743</v>
      </c>
      <c r="J3220" s="1">
        <v>39107.563032407408</v>
      </c>
      <c r="K3220" cm="1">
        <f t="array" ref="K3220" xml:space="preserve"> sentimentCalc(C3220)</f>
        <v>0</v>
      </c>
      <c r="L3220" t="str" cm="1">
        <f t="array" ref="L3220" xml:space="preserve"> sentimentCategory(K3220)</f>
        <v>Neutral</v>
      </c>
    </row>
    <row r="3221" spans="1:12">
      <c r="A3221" t="s">
        <v>516</v>
      </c>
      <c r="B3221" t="s">
        <v>515</v>
      </c>
      <c r="C3221" t="str" cm="1">
        <f t="array" ref="C3221" xml:space="preserve"> CleanText(B3221)</f>
        <v>cant wait _xD83E__xD83D__xD83D_</v>
      </c>
      <c r="D3221">
        <v>0</v>
      </c>
      <c r="E3221">
        <v>0</v>
      </c>
      <c r="F3221" t="s">
        <v>0</v>
      </c>
      <c r="G3221" t="str" cm="1">
        <f t="array" ref="G3221" xml:space="preserve"> FindCountryName(F3221)</f>
        <v>None</v>
      </c>
      <c r="H3221" s="1">
        <v>45257.626863425925</v>
      </c>
      <c r="I3221" s="1">
        <v>45257.626967592594</v>
      </c>
      <c r="J3221" s="1">
        <v>41419.730104166665</v>
      </c>
      <c r="K3221" cm="1">
        <f t="array" ref="K3221" xml:space="preserve"> sentimentCalc(C3221)</f>
        <v>0</v>
      </c>
      <c r="L3221" t="str" cm="1">
        <f t="array" ref="L3221" xml:space="preserve"> sentimentCategory(K3221)</f>
        <v>Neutral</v>
      </c>
    </row>
    <row r="3222" spans="1:12">
      <c r="A3222" t="s">
        <v>514</v>
      </c>
      <c r="B3222" t="s">
        <v>513</v>
      </c>
      <c r="C3222" t="str" cm="1">
        <f t="array" ref="C3222" xml:space="preserve"> CleanText(B3222)</f>
        <v>this is already looking so much better then that other adaptation</v>
      </c>
      <c r="D3222">
        <v>0</v>
      </c>
      <c r="E3222">
        <v>0</v>
      </c>
      <c r="F3222" t="s">
        <v>0</v>
      </c>
      <c r="G3222" t="str" cm="1">
        <f t="array" ref="G3222" xml:space="preserve"> FindCountryName(F3222)</f>
        <v>None</v>
      </c>
      <c r="H3222" s="1">
        <v>45257.62604166667</v>
      </c>
      <c r="I3222" s="1">
        <v>45257.62604166667</v>
      </c>
      <c r="J3222" s="1">
        <v>42423.771192129629</v>
      </c>
      <c r="K3222" cm="1">
        <f t="array" ref="K3222" xml:space="preserve"> sentimentCalc(C3222)</f>
        <v>2</v>
      </c>
      <c r="L3222" t="str" cm="1">
        <f t="array" ref="L3222" xml:space="preserve"> sentimentCategory(K3222)</f>
        <v>Positive</v>
      </c>
    </row>
    <row r="3223" spans="1:12">
      <c r="A3223" t="s">
        <v>126</v>
      </c>
      <c r="B3223" t="s">
        <v>512</v>
      </c>
      <c r="C3223" t="str" cm="1">
        <f t="array" ref="C3223" xml:space="preserve"> CleanText(B3223)</f>
        <v>releasing two days after my birthdaynice</v>
      </c>
      <c r="D3223">
        <v>0</v>
      </c>
      <c r="E3223">
        <v>0</v>
      </c>
      <c r="F3223" t="s">
        <v>0</v>
      </c>
      <c r="G3223" t="str" cm="1">
        <f t="array" ref="G3223" xml:space="preserve"> FindCountryName(F3223)</f>
        <v>None</v>
      </c>
      <c r="H3223" s="1">
        <v>45257.618275462963</v>
      </c>
      <c r="I3223" s="1">
        <v>45257.618275462963</v>
      </c>
      <c r="J3223" s="1">
        <v>43449.214548611111</v>
      </c>
      <c r="K3223" cm="1">
        <f t="array" ref="K3223" xml:space="preserve"> sentimentCalc(C3223)</f>
        <v>0</v>
      </c>
      <c r="L3223" t="str" cm="1">
        <f t="array" ref="L3223" xml:space="preserve"> sentimentCategory(K3223)</f>
        <v>Neutral</v>
      </c>
    </row>
    <row r="3224" spans="1:12">
      <c r="A3224" t="s">
        <v>349</v>
      </c>
      <c r="B3224" t="s">
        <v>511</v>
      </c>
      <c r="C3224" t="str" cm="1">
        <f t="array" ref="C3224" xml:space="preserve"> CleanText(B3224)</f>
        <v>vfx looks amazing_xDD25_</v>
      </c>
      <c r="D3224">
        <v>0</v>
      </c>
      <c r="E3224">
        <v>0</v>
      </c>
      <c r="F3224" t="s">
        <v>0</v>
      </c>
      <c r="G3224" t="str" cm="1">
        <f t="array" ref="G3224" xml:space="preserve"> FindCountryName(F3224)</f>
        <v>None</v>
      </c>
      <c r="H3224" s="1">
        <v>45257.58971064815</v>
      </c>
      <c r="I3224" s="1">
        <v>45257.58971064815</v>
      </c>
      <c r="J3224" s="1">
        <v>43150.405532407407</v>
      </c>
      <c r="K3224" cm="1">
        <f t="array" ref="K3224" xml:space="preserve"> sentimentCalc(C3224)</f>
        <v>0</v>
      </c>
      <c r="L3224" t="str" cm="1">
        <f t="array" ref="L3224" xml:space="preserve"> sentimentCategory(K3224)</f>
        <v>Neutral</v>
      </c>
    </row>
    <row r="3225" spans="1:12">
      <c r="A3225" t="s">
        <v>510</v>
      </c>
      <c r="B3225" t="s">
        <v>509</v>
      </c>
      <c r="C3225" t="str" cm="1">
        <f t="array" ref="C3225" xml:space="preserve"> CleanText(B3225)</f>
        <v>just a trailer and i have higher hopes for this than that last crock of shit done by whoever that was _xDE02_</v>
      </c>
      <c r="D3225">
        <v>0</v>
      </c>
      <c r="E3225">
        <v>0</v>
      </c>
      <c r="F3225" t="s">
        <v>0</v>
      </c>
      <c r="G3225" t="str" cm="1">
        <f t="array" ref="G3225" xml:space="preserve"> FindCountryName(F3225)</f>
        <v>None</v>
      </c>
      <c r="H3225" s="1">
        <v>45257.584467592591</v>
      </c>
      <c r="I3225" s="1">
        <v>45257.584467592591</v>
      </c>
      <c r="J3225" s="1">
        <v>41155.637025462966</v>
      </c>
      <c r="K3225" cm="1">
        <f t="array" ref="K3225" xml:space="preserve"> sentimentCalc(C3225)</f>
        <v>2</v>
      </c>
      <c r="L3225" t="str" cm="1">
        <f t="array" ref="L3225" xml:space="preserve"> sentimentCategory(K3225)</f>
        <v>Positive</v>
      </c>
    </row>
    <row r="3226" spans="1:12">
      <c r="A3226" t="s">
        <v>508</v>
      </c>
      <c r="B3226" t="s">
        <v>507</v>
      </c>
      <c r="C3226" t="str" cm="1">
        <f t="array" ref="C3226" xml:space="preserve"> CleanText(B3226)</f>
        <v>is the live action based on book  or multiple books</v>
      </c>
      <c r="D3226">
        <v>0</v>
      </c>
      <c r="E3226">
        <v>0</v>
      </c>
      <c r="F3226" t="s">
        <v>0</v>
      </c>
      <c r="G3226" t="str" cm="1">
        <f t="array" ref="G3226" xml:space="preserve"> FindCountryName(F3226)</f>
        <v>None</v>
      </c>
      <c r="H3226" s="1">
        <v>45257.579675925925</v>
      </c>
      <c r="I3226" s="1">
        <v>45257.579675925925</v>
      </c>
      <c r="J3226" s="1">
        <v>44676.475717592592</v>
      </c>
      <c r="K3226" cm="1">
        <f t="array" ref="K3226" xml:space="preserve"> sentimentCalc(C3226)</f>
        <v>0</v>
      </c>
      <c r="L3226" t="str" cm="1">
        <f t="array" ref="L3226" xml:space="preserve"> sentimentCategory(K3226)</f>
        <v>Neutral</v>
      </c>
    </row>
    <row r="3227" spans="1:12">
      <c r="A3227" t="s">
        <v>506</v>
      </c>
      <c r="B3227" t="s">
        <v>505</v>
      </c>
      <c r="C3227" t="str" cm="1">
        <f t="array" ref="C3227" xml:space="preserve"> CleanText(B3227)</f>
        <v>it looks so good im so excited to see how it is</v>
      </c>
      <c r="D3227">
        <v>1</v>
      </c>
      <c r="E3227">
        <v>0</v>
      </c>
      <c r="F3227" t="s">
        <v>0</v>
      </c>
      <c r="G3227" t="str" cm="1">
        <f t="array" ref="G3227" xml:space="preserve"> FindCountryName(F3227)</f>
        <v>None</v>
      </c>
      <c r="H3227" s="1">
        <v>45257.569699074076</v>
      </c>
      <c r="I3227" s="1">
        <v>45257.569699074076</v>
      </c>
      <c r="J3227" s="1">
        <v>44054.433865740742</v>
      </c>
      <c r="K3227" cm="1">
        <f t="array" ref="K3227" xml:space="preserve"> sentimentCalc(C3227)</f>
        <v>6</v>
      </c>
      <c r="L3227" t="str" cm="1">
        <f t="array" ref="L3227" xml:space="preserve"> sentimentCategory(K3227)</f>
        <v>Positive</v>
      </c>
    </row>
    <row r="3228" spans="1:12">
      <c r="A3228" t="s">
        <v>504</v>
      </c>
      <c r="B3228" t="s">
        <v>503</v>
      </c>
      <c r="C3228" t="str" cm="1">
        <f t="array" ref="C3228" xml:space="preserve"> CleanText(B3228)</f>
        <v>finally</v>
      </c>
      <c r="D3228">
        <v>0</v>
      </c>
      <c r="E3228">
        <v>0</v>
      </c>
      <c r="F3228" t="s">
        <v>0</v>
      </c>
      <c r="G3228" t="str" cm="1">
        <f t="array" ref="G3228" xml:space="preserve"> FindCountryName(F3228)</f>
        <v>None</v>
      </c>
      <c r="H3228" s="1">
        <v>45257.549849537034</v>
      </c>
      <c r="I3228" s="1">
        <v>45257.549849537034</v>
      </c>
      <c r="J3228" s="1">
        <v>42591.921666666669</v>
      </c>
      <c r="K3228" cm="1">
        <f t="array" ref="K3228" xml:space="preserve"> sentimentCalc(C3228)</f>
        <v>0</v>
      </c>
      <c r="L3228" t="str" cm="1">
        <f t="array" ref="L3228" xml:space="preserve"> sentimentCategory(K3228)</f>
        <v>Neutral</v>
      </c>
    </row>
    <row r="3229" spans="1:12">
      <c r="A3229" t="s">
        <v>74</v>
      </c>
      <c r="B3229" t="s">
        <v>502</v>
      </c>
      <c r="C3229" t="str" cm="1">
        <f t="array" ref="C3229" xml:space="preserve"> CleanText(B3229)</f>
        <v>hopefully we dont meet ung again lol</v>
      </c>
      <c r="D3229">
        <v>0</v>
      </c>
      <c r="E3229">
        <v>0</v>
      </c>
      <c r="F3229" t="s">
        <v>0</v>
      </c>
      <c r="G3229" t="str" cm="1">
        <f t="array" ref="G3229" xml:space="preserve"> FindCountryName(F3229)</f>
        <v>None</v>
      </c>
      <c r="H3229" s="1">
        <v>45257.543356481481</v>
      </c>
      <c r="I3229" s="1">
        <v>45257.543356481481</v>
      </c>
      <c r="J3229" s="1">
        <v>38930.12296296296</v>
      </c>
      <c r="K3229" cm="1">
        <f t="array" ref="K3229" xml:space="preserve"> sentimentCalc(C3229)</f>
        <v>2</v>
      </c>
      <c r="L3229" t="str" cm="1">
        <f t="array" ref="L3229" xml:space="preserve"> sentimentCategory(K3229)</f>
        <v>Positive</v>
      </c>
    </row>
    <row r="3230" spans="1:12">
      <c r="A3230" t="s">
        <v>501</v>
      </c>
      <c r="B3230" t="s">
        <v>500</v>
      </c>
      <c r="C3230" t="str" cm="1">
        <f t="array" ref="C3230" xml:space="preserve"> CleanText(B3230)</f>
        <v>let the show age for fucks sake just leave it be i think i speak for everyone with a functioning brain when i say just let avatar stay as it is stop with reboots and just make original ideas</v>
      </c>
      <c r="D3230">
        <v>1</v>
      </c>
      <c r="E3230">
        <v>0</v>
      </c>
      <c r="F3230" t="s">
        <v>0</v>
      </c>
      <c r="G3230" t="str" cm="1">
        <f t="array" ref="G3230" xml:space="preserve"> FindCountryName(F3230)</f>
        <v>None</v>
      </c>
      <c r="H3230" s="1">
        <v>45257.536631944444</v>
      </c>
      <c r="I3230" s="1">
        <v>45257.536631944444</v>
      </c>
      <c r="J3230" s="1">
        <v>43453.971377314818</v>
      </c>
      <c r="K3230" cm="1">
        <f t="array" ref="K3230" xml:space="preserve"> sentimentCalc(C3230)</f>
        <v>-2</v>
      </c>
      <c r="L3230" t="str" cm="1">
        <f t="array" ref="L3230" xml:space="preserve"> sentimentCategory(K3230)</f>
        <v>Negative</v>
      </c>
    </row>
    <row r="3231" spans="1:12">
      <c r="A3231" t="s">
        <v>499</v>
      </c>
      <c r="B3231" t="s">
        <v>498</v>
      </c>
      <c r="C3231" t="str" cm="1">
        <f t="array" ref="C3231" xml:space="preserve"> CleanText(B3231)</f>
        <v>not the 00 disaster please</v>
      </c>
      <c r="D3231">
        <v>0</v>
      </c>
      <c r="E3231">
        <v>0</v>
      </c>
      <c r="F3231" t="s">
        <v>497</v>
      </c>
      <c r="G3231" t="str" cm="1">
        <f t="array" ref="G3231" xml:space="preserve"> FindCountryName(F3231)</f>
        <v>South Africa</v>
      </c>
      <c r="H3231" s="1">
        <v>45257.5312962963</v>
      </c>
      <c r="I3231" s="1">
        <v>45257.5312962963</v>
      </c>
      <c r="J3231" s="1">
        <v>43064.124884259261</v>
      </c>
      <c r="K3231" cm="1">
        <f t="array" ref="K3231" xml:space="preserve"> sentimentCalc(C3231)</f>
        <v>-1</v>
      </c>
      <c r="L3231" t="str" cm="1">
        <f t="array" ref="L3231" xml:space="preserve"> sentimentCategory(K3231)</f>
        <v>Negative</v>
      </c>
    </row>
    <row r="3232" spans="1:12">
      <c r="A3232" t="s">
        <v>496</v>
      </c>
      <c r="B3232" t="s">
        <v>495</v>
      </c>
      <c r="C3232" t="str" cm="1">
        <f t="array" ref="C3232" xml:space="preserve"> CleanText(B3232)</f>
        <v>cant wait for them to cancel this after the first season</v>
      </c>
      <c r="D3232">
        <v>0</v>
      </c>
      <c r="E3232">
        <v>0</v>
      </c>
      <c r="F3232" t="s">
        <v>0</v>
      </c>
      <c r="G3232" t="str" cm="1">
        <f t="array" ref="G3232" xml:space="preserve"> FindCountryName(F3232)</f>
        <v>None</v>
      </c>
      <c r="H3232" s="1">
        <v>45257.529189814813</v>
      </c>
      <c r="I3232" s="1">
        <v>45257.529189814813</v>
      </c>
      <c r="J3232" s="1">
        <v>40230.098414351851</v>
      </c>
      <c r="K3232" cm="1">
        <f t="array" ref="K3232" xml:space="preserve"> sentimentCalc(C3232)</f>
        <v>-1</v>
      </c>
      <c r="L3232" t="str" cm="1">
        <f t="array" ref="L3232" xml:space="preserve"> sentimentCategory(K3232)</f>
        <v>Negative</v>
      </c>
    </row>
    <row r="3233" spans="1:12">
      <c r="A3233" t="s">
        <v>494</v>
      </c>
      <c r="B3233" t="s">
        <v>493</v>
      </c>
      <c r="C3233" t="str" cm="1">
        <f t="array" ref="C3233" xml:space="preserve"> CleanText(B3233)</f>
        <v>this is just so gooooodd it should have been a series i mean one is not enough_xDE22_</v>
      </c>
      <c r="D3233">
        <v>0</v>
      </c>
      <c r="E3233">
        <v>0</v>
      </c>
      <c r="F3233" t="s">
        <v>0</v>
      </c>
      <c r="G3233" t="str" cm="1">
        <f t="array" ref="G3233" xml:space="preserve"> FindCountryName(F3233)</f>
        <v>None</v>
      </c>
      <c r="H3233" s="1">
        <v>45257.522696759261</v>
      </c>
      <c r="I3233" s="1">
        <v>45257.522696759261</v>
      </c>
      <c r="J3233" s="1">
        <v>43159.697731481479</v>
      </c>
      <c r="K3233" cm="1">
        <f t="array" ref="K3233" xml:space="preserve"> sentimentCalc(C3233)</f>
        <v>0</v>
      </c>
      <c r="L3233" t="str" cm="1">
        <f t="array" ref="L3233" xml:space="preserve"> sentimentCategory(K3233)</f>
        <v>Neutral</v>
      </c>
    </row>
    <row r="3234" spans="1:12">
      <c r="A3234" t="s">
        <v>492</v>
      </c>
      <c r="B3234" t="s">
        <v>491</v>
      </c>
      <c r="C3234" t="str" cm="1">
        <f t="array" ref="C3234" xml:space="preserve"> CleanText(B3234)</f>
        <v>loved the movie years ago was waiting for part</v>
      </c>
      <c r="D3234">
        <v>0</v>
      </c>
      <c r="E3234">
        <v>0</v>
      </c>
      <c r="F3234" t="s">
        <v>0</v>
      </c>
      <c r="G3234" t="str" cm="1">
        <f t="array" ref="G3234" xml:space="preserve"> FindCountryName(F3234)</f>
        <v>None</v>
      </c>
      <c r="H3234" s="1">
        <v>45257.522673611114</v>
      </c>
      <c r="I3234" s="1">
        <v>45257.522673611114</v>
      </c>
      <c r="J3234" s="1">
        <v>39912.608310185184</v>
      </c>
      <c r="K3234" cm="1">
        <f t="array" ref="K3234" xml:space="preserve"> sentimentCalc(C3234)</f>
        <v>3</v>
      </c>
      <c r="L3234" t="str" cm="1">
        <f t="array" ref="L3234" xml:space="preserve"> sentimentCategory(K3234)</f>
        <v>Positive</v>
      </c>
    </row>
    <row r="3235" spans="1:12">
      <c r="A3235" t="s">
        <v>490</v>
      </c>
      <c r="B3235" t="s">
        <v>489</v>
      </c>
      <c r="C3235" t="str" cm="1">
        <f t="array" ref="C3235" xml:space="preserve"> CleanText(B3235)</f>
        <v>yeeeeesssssss i am soooo excited</v>
      </c>
      <c r="D3235">
        <v>0</v>
      </c>
      <c r="E3235">
        <v>0</v>
      </c>
      <c r="F3235" t="s">
        <v>0</v>
      </c>
      <c r="G3235" t="str" cm="1">
        <f t="array" ref="G3235" xml:space="preserve"> FindCountryName(F3235)</f>
        <v>None</v>
      </c>
      <c r="H3235" s="1">
        <v>45257.517685185187</v>
      </c>
      <c r="I3235" s="1">
        <v>45257.517685185187</v>
      </c>
      <c r="J3235" s="1">
        <v>45064.875648148147</v>
      </c>
      <c r="K3235" cm="1">
        <f t="array" ref="K3235" xml:space="preserve"> sentimentCalc(C3235)</f>
        <v>3</v>
      </c>
      <c r="L3235" t="str" cm="1">
        <f t="array" ref="L3235" xml:space="preserve"> sentimentCategory(K3235)</f>
        <v>Positive</v>
      </c>
    </row>
    <row r="3236" spans="1:12">
      <c r="A3236" t="s">
        <v>153</v>
      </c>
      <c r="B3236" t="s">
        <v>488</v>
      </c>
      <c r="C3236" t="str" cm="1">
        <f t="array" ref="C3236" xml:space="preserve"> CleanText(B3236)</f>
        <v>cant wait _xDE2D_</v>
      </c>
      <c r="D3236">
        <v>0</v>
      </c>
      <c r="E3236">
        <v>0</v>
      </c>
      <c r="F3236" t="s">
        <v>0</v>
      </c>
      <c r="G3236" t="str" cm="1">
        <f t="array" ref="G3236" xml:space="preserve"> FindCountryName(F3236)</f>
        <v>None</v>
      </c>
      <c r="H3236" s="1">
        <v>45257.515277777777</v>
      </c>
      <c r="I3236" s="1">
        <v>45257.515277777777</v>
      </c>
      <c r="J3236" s="1">
        <v>44644.108252314814</v>
      </c>
      <c r="K3236" cm="1">
        <f t="array" ref="K3236" xml:space="preserve"> sentimentCalc(C3236)</f>
        <v>0</v>
      </c>
      <c r="L3236" t="str" cm="1">
        <f t="array" ref="L3236" xml:space="preserve"> sentimentCategory(K3236)</f>
        <v>Neutral</v>
      </c>
    </row>
    <row r="3237" spans="1:12">
      <c r="A3237" t="s">
        <v>487</v>
      </c>
      <c r="B3237" t="s">
        <v>486</v>
      </c>
      <c r="C3237" t="str" cm="1">
        <f t="array" ref="C3237" xml:space="preserve"> CleanText(B3237)</f>
        <v>amazing thanks for continuing the saga</v>
      </c>
      <c r="D3237">
        <v>0</v>
      </c>
      <c r="E3237">
        <v>0</v>
      </c>
      <c r="F3237" t="s">
        <v>98</v>
      </c>
      <c r="G3237" t="str" cm="1">
        <f t="array" ref="G3237" xml:space="preserve"> FindCountryName(F3237)</f>
        <v>India</v>
      </c>
      <c r="H3237" s="1">
        <v>45257.493680555555</v>
      </c>
      <c r="I3237" s="1">
        <v>45257.493680555555</v>
      </c>
      <c r="J3237" s="1">
        <v>40112.347754629627</v>
      </c>
      <c r="K3237" cm="1">
        <f t="array" ref="K3237" xml:space="preserve"> sentimentCalc(C3237)</f>
        <v>6</v>
      </c>
      <c r="L3237" t="str" cm="1">
        <f t="array" ref="L3237" xml:space="preserve"> sentimentCategory(K3237)</f>
        <v>Positive</v>
      </c>
    </row>
    <row r="3238" spans="1:12">
      <c r="A3238" t="s">
        <v>363</v>
      </c>
      <c r="B3238" t="s">
        <v>485</v>
      </c>
      <c r="C3238" t="str" cm="1">
        <f t="array" ref="C3238" xml:space="preserve"> CleanText(B3238)</f>
        <v>eu chorei</v>
      </c>
      <c r="D3238">
        <v>3</v>
      </c>
      <c r="E3238">
        <v>0</v>
      </c>
      <c r="F3238" t="s">
        <v>0</v>
      </c>
      <c r="G3238" t="str" cm="1">
        <f t="array" ref="G3238" xml:space="preserve"> FindCountryName(F3238)</f>
        <v>None</v>
      </c>
      <c r="H3238" s="1">
        <v>45257.493321759262</v>
      </c>
      <c r="I3238" s="1">
        <v>45257.493321759262</v>
      </c>
      <c r="J3238" s="1">
        <v>42384.363564814812</v>
      </c>
      <c r="K3238" cm="1">
        <f t="array" ref="K3238" xml:space="preserve"> sentimentCalc(C3238)</f>
        <v>0</v>
      </c>
      <c r="L3238" t="str" cm="1">
        <f t="array" ref="L3238" xml:space="preserve"> sentimentCategory(K3238)</f>
        <v>Neutral</v>
      </c>
    </row>
    <row r="3239" spans="1:12">
      <c r="A3239" t="s">
        <v>6</v>
      </c>
      <c r="B3239" t="s">
        <v>484</v>
      </c>
      <c r="C3239" t="str" cm="1">
        <f t="array" ref="C3239" xml:space="preserve"> CleanText(B3239)</f>
        <v>roflmao</v>
      </c>
      <c r="D3239">
        <v>0</v>
      </c>
      <c r="E3239">
        <v>0</v>
      </c>
      <c r="F3239" t="s">
        <v>0</v>
      </c>
      <c r="G3239" t="str" cm="1">
        <f t="array" ref="G3239" xml:space="preserve"> FindCountryName(F3239)</f>
        <v>None</v>
      </c>
      <c r="H3239" s="1">
        <v>45257.488599537035</v>
      </c>
      <c r="I3239" s="1">
        <v>45257.488599537035</v>
      </c>
      <c r="J3239" s="1">
        <v>39815.645671296297</v>
      </c>
      <c r="K3239" cm="1">
        <f t="array" ref="K3239" xml:space="preserve"> sentimentCalc(C3239)</f>
        <v>0</v>
      </c>
      <c r="L3239" t="str" cm="1">
        <f t="array" ref="L3239" xml:space="preserve"> sentimentCategory(K3239)</f>
        <v>Neutral</v>
      </c>
    </row>
    <row r="3240" spans="1:12">
      <c r="A3240" t="s">
        <v>483</v>
      </c>
      <c r="B3240" t="s">
        <v>482</v>
      </c>
      <c r="C3240" t="str" cm="1">
        <f t="array" ref="C3240" xml:space="preserve"> CleanText(B3240)</f>
        <v>this is it its here lets go</v>
      </c>
      <c r="D3240">
        <v>0</v>
      </c>
      <c r="E3240">
        <v>0</v>
      </c>
      <c r="F3240" t="s">
        <v>0</v>
      </c>
      <c r="G3240" t="str" cm="1">
        <f t="array" ref="G3240" xml:space="preserve"> FindCountryName(F3240)</f>
        <v>None</v>
      </c>
      <c r="H3240" s="1">
        <v>45257.479490740741</v>
      </c>
      <c r="I3240" s="1">
        <v>45257.479490740741</v>
      </c>
      <c r="J3240" s="1">
        <v>42196.748124999998</v>
      </c>
      <c r="K3240" cm="1">
        <f t="array" ref="K3240" xml:space="preserve"> sentimentCalc(C3240)</f>
        <v>0</v>
      </c>
      <c r="L3240" t="str" cm="1">
        <f t="array" ref="L3240" xml:space="preserve"> sentimentCategory(K3240)</f>
        <v>Neutral</v>
      </c>
    </row>
    <row r="3241" spans="1:12">
      <c r="A3241" t="s">
        <v>481</v>
      </c>
      <c r="B3241" t="s">
        <v>480</v>
      </c>
      <c r="C3241" t="str" cm="1">
        <f t="array" ref="C3241" xml:space="preserve"> CleanText(B3241)</f>
        <v>i was only  years old when first watched it and loved it</v>
      </c>
      <c r="D3241">
        <v>0</v>
      </c>
      <c r="E3241">
        <v>0</v>
      </c>
      <c r="F3241" t="s">
        <v>479</v>
      </c>
      <c r="G3241" t="str" cm="1">
        <f t="array" ref="G3241" xml:space="preserve"> FindCountryName(F3241)</f>
        <v>Albania</v>
      </c>
      <c r="H3241" s="1">
        <v>45257.468391203707</v>
      </c>
      <c r="I3241" s="1">
        <v>45257.468391203707</v>
      </c>
      <c r="J3241" s="1">
        <v>42394.558877314812</v>
      </c>
      <c r="K3241" cm="1">
        <f t="array" ref="K3241" xml:space="preserve"> sentimentCalc(C3241)</f>
        <v>3</v>
      </c>
      <c r="L3241" t="str" cm="1">
        <f t="array" ref="L3241" xml:space="preserve"> sentimentCategory(K3241)</f>
        <v>Positive</v>
      </c>
    </row>
    <row r="3242" spans="1:12">
      <c r="A3242" t="s">
        <v>478</v>
      </c>
      <c r="B3242" t="s">
        <v>477</v>
      </c>
      <c r="C3242" t="str" cm="1">
        <f t="array" ref="C3242" xml:space="preserve"> CleanText(B3242)</f>
        <v>cant wait</v>
      </c>
      <c r="D3242">
        <v>0</v>
      </c>
      <c r="E3242">
        <v>0</v>
      </c>
      <c r="F3242" t="s">
        <v>0</v>
      </c>
      <c r="G3242" t="str" cm="1">
        <f t="array" ref="G3242" xml:space="preserve"> FindCountryName(F3242)</f>
        <v>None</v>
      </c>
      <c r="H3242" s="1">
        <v>45257.451782407406</v>
      </c>
      <c r="I3242" s="1">
        <v>45257.451782407406</v>
      </c>
      <c r="J3242" s="1">
        <v>41991.311388888891</v>
      </c>
      <c r="K3242" cm="1">
        <f t="array" ref="K3242" xml:space="preserve"> sentimentCalc(C3242)</f>
        <v>0</v>
      </c>
      <c r="L3242" t="str" cm="1">
        <f t="array" ref="L3242" xml:space="preserve"> sentimentCategory(K3242)</f>
        <v>Neutral</v>
      </c>
    </row>
    <row r="3243" spans="1:12">
      <c r="A3243" t="s">
        <v>476</v>
      </c>
      <c r="B3243" t="s">
        <v>475</v>
      </c>
      <c r="C3243" t="str" cm="1">
        <f t="array" ref="C3243" xml:space="preserve"> CleanText(B3243)</f>
        <v>i am ong</v>
      </c>
      <c r="D3243">
        <v>0</v>
      </c>
      <c r="E3243">
        <v>0</v>
      </c>
      <c r="F3243" t="s">
        <v>0</v>
      </c>
      <c r="G3243" t="str" cm="1">
        <f t="array" ref="G3243" xml:space="preserve"> FindCountryName(F3243)</f>
        <v>None</v>
      </c>
      <c r="H3243" s="1">
        <v>45257.44771990741</v>
      </c>
      <c r="I3243" s="1">
        <v>45257.44771990741</v>
      </c>
      <c r="J3243" s="1">
        <v>44546.533726851849</v>
      </c>
      <c r="K3243" cm="1">
        <f t="array" ref="K3243" xml:space="preserve"> sentimentCalc(C3243)</f>
        <v>0</v>
      </c>
      <c r="L3243" t="str" cm="1">
        <f t="array" ref="L3243" xml:space="preserve"> sentimentCategory(K3243)</f>
        <v>Neutral</v>
      </c>
    </row>
    <row r="3244" spans="1:12">
      <c r="A3244" t="s">
        <v>474</v>
      </c>
      <c r="B3244" t="s">
        <v>473</v>
      </c>
      <c r="C3244" t="str" cm="1">
        <f t="array" ref="C3244" xml:space="preserve"> CleanText(B3244)</f>
        <v>last air blunder</v>
      </c>
      <c r="D3244">
        <v>0</v>
      </c>
      <c r="E3244">
        <v>0</v>
      </c>
      <c r="F3244" t="s">
        <v>0</v>
      </c>
      <c r="G3244" t="str" cm="1">
        <f t="array" ref="G3244" xml:space="preserve"> FindCountryName(F3244)</f>
        <v>None</v>
      </c>
      <c r="H3244" s="1">
        <v>45257.437175925923</v>
      </c>
      <c r="I3244" s="1">
        <v>45257.437175925923</v>
      </c>
      <c r="J3244" s="1">
        <v>39091.380162037036</v>
      </c>
      <c r="K3244" cm="1">
        <f t="array" ref="K3244" xml:space="preserve"> sentimentCalc(C3244)</f>
        <v>0</v>
      </c>
      <c r="L3244" t="str" cm="1">
        <f t="array" ref="L3244" xml:space="preserve"> sentimentCategory(K3244)</f>
        <v>Neutral</v>
      </c>
    </row>
    <row r="3245" spans="1:12">
      <c r="A3245" t="s">
        <v>472</v>
      </c>
      <c r="B3245" t="s">
        <v>471</v>
      </c>
      <c r="C3245" t="str" cm="1">
        <f t="array" ref="C3245" xml:space="preserve"> CleanText(B3245)</f>
        <v>avatar the last airbender netflix</v>
      </c>
      <c r="D3245">
        <v>0</v>
      </c>
      <c r="E3245">
        <v>0</v>
      </c>
      <c r="F3245" t="s">
        <v>0</v>
      </c>
      <c r="G3245" t="str" cm="1">
        <f t="array" ref="G3245" xml:space="preserve"> FindCountryName(F3245)</f>
        <v>None</v>
      </c>
      <c r="H3245" s="1">
        <v>45257.42800925926</v>
      </c>
      <c r="I3245" s="1">
        <v>45257.42800925926</v>
      </c>
      <c r="J3245" s="1">
        <v>45035.350821759261</v>
      </c>
      <c r="K3245" cm="1">
        <f t="array" ref="K3245" xml:space="preserve"> sentimentCalc(C3245)</f>
        <v>0</v>
      </c>
      <c r="L3245" t="str" cm="1">
        <f t="array" ref="L3245" xml:space="preserve"> sentimentCategory(K3245)</f>
        <v>Neutral</v>
      </c>
    </row>
    <row r="3246" spans="1:12">
      <c r="A3246" t="s">
        <v>76</v>
      </c>
      <c r="B3246" t="s">
        <v>470</v>
      </c>
      <c r="C3246" t="str" cm="1">
        <f t="array" ref="C3246" xml:space="preserve"> CleanText(B3246)</f>
        <v>well lets thank god shyamalan didnt screw this one up the first one was the worst recreation of a cartoon ive ever seen ever</v>
      </c>
      <c r="D3246">
        <v>0</v>
      </c>
      <c r="E3246">
        <v>0</v>
      </c>
      <c r="F3246" t="s">
        <v>0</v>
      </c>
      <c r="G3246" t="str" cm="1">
        <f t="array" ref="G3246" xml:space="preserve"> FindCountryName(F3246)</f>
        <v>None</v>
      </c>
      <c r="H3246" s="1">
        <v>45257.427499999998</v>
      </c>
      <c r="I3246" s="1">
        <v>45257.427499999998</v>
      </c>
      <c r="J3246" s="1">
        <v>44489.364444444444</v>
      </c>
      <c r="K3246" cm="1">
        <f t="array" ref="K3246" xml:space="preserve"> sentimentCalc(C3246)</f>
        <v>0</v>
      </c>
      <c r="L3246" t="str" cm="1">
        <f t="array" ref="L3246" xml:space="preserve"> sentimentCategory(K3246)</f>
        <v>Neutral</v>
      </c>
    </row>
    <row r="3247" spans="1:12">
      <c r="A3247" t="s">
        <v>415</v>
      </c>
      <c r="B3247" t="s">
        <v>469</v>
      </c>
      <c r="C3247" t="str" cm="1">
        <f t="array" ref="C3247" xml:space="preserve"> CleanText(B3247)</f>
        <v>gawk gawk gawk</v>
      </c>
      <c r="D3247">
        <v>0</v>
      </c>
      <c r="E3247">
        <v>0</v>
      </c>
      <c r="F3247" t="s">
        <v>0</v>
      </c>
      <c r="G3247" t="str" cm="1">
        <f t="array" ref="G3247" xml:space="preserve"> FindCountryName(F3247)</f>
        <v>None</v>
      </c>
      <c r="H3247" s="1">
        <v>45257.407708333332</v>
      </c>
      <c r="I3247" s="1">
        <v>45257.407708333332</v>
      </c>
      <c r="J3247" s="1">
        <v>41327.269756944443</v>
      </c>
      <c r="K3247" cm="1">
        <f t="array" ref="K3247" xml:space="preserve"> sentimentCalc(C3247)</f>
        <v>0</v>
      </c>
      <c r="L3247" t="str" cm="1">
        <f t="array" ref="L3247" xml:space="preserve"> sentimentCategory(K3247)</f>
        <v>Neutral</v>
      </c>
    </row>
    <row r="3248" spans="1:12">
      <c r="A3248" t="s">
        <v>273</v>
      </c>
      <c r="B3248" t="s">
        <v>468</v>
      </c>
      <c r="C3248" t="str" cm="1">
        <f t="array" ref="C3248" xml:space="preserve"> CleanText(B3248)</f>
        <v>_xDE0D_🈍 n</v>
      </c>
      <c r="D3248">
        <v>0</v>
      </c>
      <c r="E3248">
        <v>0</v>
      </c>
      <c r="F3248" t="s">
        <v>0</v>
      </c>
      <c r="G3248" t="str" cm="1">
        <f t="array" ref="G3248" xml:space="preserve"> FindCountryName(F3248)</f>
        <v>None</v>
      </c>
      <c r="H3248" s="1">
        <v>45257.402962962966</v>
      </c>
      <c r="I3248" s="1">
        <v>45257.402962962966</v>
      </c>
      <c r="J3248" s="1">
        <v>44585.899699074071</v>
      </c>
      <c r="K3248" cm="1">
        <f t="array" ref="K3248" xml:space="preserve"> sentimentCalc(C3248)</f>
        <v>0</v>
      </c>
      <c r="L3248" t="str" cm="1">
        <f t="array" ref="L3248" xml:space="preserve"> sentimentCategory(K3248)</f>
        <v>Neutral</v>
      </c>
    </row>
    <row r="3249" spans="1:12">
      <c r="A3249" t="s">
        <v>467</v>
      </c>
      <c r="B3249" t="s">
        <v>466</v>
      </c>
      <c r="C3249" t="str" cm="1">
        <f t="array" ref="C3249" xml:space="preserve"> CleanText(B3249)</f>
        <v>its about damn time</v>
      </c>
      <c r="D3249">
        <v>1</v>
      </c>
      <c r="E3249">
        <v>0</v>
      </c>
      <c r="F3249" t="s">
        <v>0</v>
      </c>
      <c r="G3249" t="str" cm="1">
        <f t="array" ref="G3249" xml:space="preserve"> FindCountryName(F3249)</f>
        <v>None</v>
      </c>
      <c r="H3249" s="1">
        <v>45257.401886574073</v>
      </c>
      <c r="I3249" s="1">
        <v>45257.401886574073</v>
      </c>
      <c r="J3249" s="1">
        <v>45257.331412037034</v>
      </c>
      <c r="K3249" cm="1">
        <f t="array" ref="K3249" xml:space="preserve"> sentimentCalc(C3249)</f>
        <v>-4</v>
      </c>
      <c r="L3249" t="str" cm="1">
        <f t="array" ref="L3249" xml:space="preserve"> sentimentCategory(K3249)</f>
        <v>Negative</v>
      </c>
    </row>
    <row r="3250" spans="1:12">
      <c r="A3250" t="s">
        <v>347</v>
      </c>
      <c r="B3250" t="s">
        <v>465</v>
      </c>
      <c r="C3250" t="str" cm="1">
        <f t="array" ref="C3250" xml:space="preserve"> CleanText(B3250)</f>
        <v>instead of all these shitty shows and torpedoing good shows like the witcher they should have continued with marco polo would have been a wise investment</v>
      </c>
      <c r="D3250">
        <v>0</v>
      </c>
      <c r="E3250">
        <v>0</v>
      </c>
      <c r="F3250" t="s">
        <v>98</v>
      </c>
      <c r="G3250" t="str" cm="1">
        <f t="array" ref="G3250" xml:space="preserve"> FindCountryName(F3250)</f>
        <v>India</v>
      </c>
      <c r="H3250" s="1">
        <v>45257.396284722221</v>
      </c>
      <c r="I3250" s="1">
        <v>45257.396284722221</v>
      </c>
      <c r="J3250" s="1">
        <v>39303.058182870373</v>
      </c>
      <c r="K3250" cm="1">
        <f t="array" ref="K3250" xml:space="preserve"> sentimentCalc(C3250)</f>
        <v>5</v>
      </c>
      <c r="L3250" t="str" cm="1">
        <f t="array" ref="L3250" xml:space="preserve"> sentimentCategory(K3250)</f>
        <v>Positive</v>
      </c>
    </row>
    <row r="3251" spans="1:12">
      <c r="A3251" t="s">
        <v>464</v>
      </c>
      <c r="B3251" t="s">
        <v>463</v>
      </c>
      <c r="C3251" t="str" cm="1">
        <f t="array" ref="C3251" xml:space="preserve"> CleanText(B3251)</f>
        <v>i hope sokka is funny this time</v>
      </c>
      <c r="D3251">
        <v>0</v>
      </c>
      <c r="E3251">
        <v>0</v>
      </c>
      <c r="F3251" t="s">
        <v>0</v>
      </c>
      <c r="G3251" t="str" cm="1">
        <f t="array" ref="G3251" xml:space="preserve"> FindCountryName(F3251)</f>
        <v>None</v>
      </c>
      <c r="H3251" s="1">
        <v>45257.384328703702</v>
      </c>
      <c r="I3251" s="1">
        <v>45257.384328703702</v>
      </c>
      <c r="J3251" s="1">
        <v>44333.94908564815</v>
      </c>
      <c r="K3251" cm="1">
        <f t="array" ref="K3251" xml:space="preserve"> sentimentCalc(C3251)</f>
        <v>6</v>
      </c>
      <c r="L3251" t="str" cm="1">
        <f t="array" ref="L3251" xml:space="preserve"> sentimentCategory(K3251)</f>
        <v>Positive</v>
      </c>
    </row>
    <row r="3252" spans="1:12">
      <c r="A3252" t="s">
        <v>462</v>
      </c>
      <c r="B3252" t="s">
        <v>461</v>
      </c>
      <c r="C3252" t="str" cm="1">
        <f t="array" ref="C3252" xml:space="preserve"> CleanText(B3252)</f>
        <v>alright they have some of the looks right especially ang zuko sokka and the kyoshi warrior women the set visuals look terrific ba sing seh especially butso much can go wrong</v>
      </c>
      <c r="D3252">
        <v>0</v>
      </c>
      <c r="E3252">
        <v>0</v>
      </c>
      <c r="F3252" t="s">
        <v>0</v>
      </c>
      <c r="G3252" t="str" cm="1">
        <f t="array" ref="G3252" xml:space="preserve"> FindCountryName(F3252)</f>
        <v>None</v>
      </c>
      <c r="H3252" s="1">
        <v>45257.37127314815</v>
      </c>
      <c r="I3252" s="1">
        <v>45257.37127314815</v>
      </c>
      <c r="J3252" s="1">
        <v>43552.639467592591</v>
      </c>
      <c r="K3252" cm="1">
        <f t="array" ref="K3252" xml:space="preserve"> sentimentCalc(C3252)</f>
        <v>2</v>
      </c>
      <c r="L3252" t="str" cm="1">
        <f t="array" ref="L3252" xml:space="preserve"> sentimentCategory(K3252)</f>
        <v>Positive</v>
      </c>
    </row>
    <row r="3253" spans="1:12">
      <c r="A3253" t="s">
        <v>460</v>
      </c>
      <c r="B3253" t="s">
        <v>459</v>
      </c>
      <c r="C3253" t="str" cm="1">
        <f t="array" ref="C3253" xml:space="preserve"> CleanText(B3253)</f>
        <v>oooh actually bending</v>
      </c>
      <c r="D3253">
        <v>1</v>
      </c>
      <c r="E3253">
        <v>0</v>
      </c>
      <c r="F3253" t="s">
        <v>0</v>
      </c>
      <c r="G3253" t="str" cm="1">
        <f t="array" ref="G3253" xml:space="preserve"> FindCountryName(F3253)</f>
        <v>None</v>
      </c>
      <c r="H3253" s="1">
        <v>45257.366863425923</v>
      </c>
      <c r="I3253" s="1">
        <v>45257.366863425923</v>
      </c>
      <c r="J3253" s="1">
        <v>42068.263240740744</v>
      </c>
      <c r="K3253" cm="1">
        <f t="array" ref="K3253" xml:space="preserve"> sentimentCalc(C3253)</f>
        <v>0</v>
      </c>
      <c r="L3253" t="str" cm="1">
        <f t="array" ref="L3253" xml:space="preserve"> sentimentCategory(K3253)</f>
        <v>Neutral</v>
      </c>
    </row>
    <row r="3254" spans="1:12">
      <c r="A3254" t="s">
        <v>458</v>
      </c>
      <c r="B3254" t="s">
        <v>457</v>
      </c>
      <c r="C3254" t="str" cm="1">
        <f t="array" ref="C3254" xml:space="preserve"> CleanText(B3254)</f>
        <v>n</v>
      </c>
      <c r="D3254">
        <v>1</v>
      </c>
      <c r="E3254">
        <v>0</v>
      </c>
      <c r="F3254" t="s">
        <v>0</v>
      </c>
      <c r="G3254" t="str" cm="1">
        <f t="array" ref="G3254" xml:space="preserve"> FindCountryName(F3254)</f>
        <v>None</v>
      </c>
      <c r="H3254" s="1">
        <v>45257.360277777778</v>
      </c>
      <c r="I3254" s="1">
        <v>45257.360277777778</v>
      </c>
      <c r="J3254" s="1">
        <v>39871.32949074074</v>
      </c>
      <c r="K3254" cm="1">
        <f t="array" ref="K3254" xml:space="preserve"> sentimentCalc(C3254)</f>
        <v>0</v>
      </c>
      <c r="L3254" t="str" cm="1">
        <f t="array" ref="L3254" xml:space="preserve"> sentimentCategory(K3254)</f>
        <v>Neutral</v>
      </c>
    </row>
    <row r="3255" spans="1:12">
      <c r="A3255" t="s">
        <v>401</v>
      </c>
      <c r="B3255" t="s">
        <v>456</v>
      </c>
      <c r="C3255" t="str" cm="1">
        <f t="array" ref="C3255" xml:space="preserve"> CleanText(B3255)</f>
        <v>oh look universe without diversity policy i am wondering why netflix became rasist or what</v>
      </c>
      <c r="D3255">
        <v>0</v>
      </c>
      <c r="E3255">
        <v>0</v>
      </c>
      <c r="F3255" t="s">
        <v>0</v>
      </c>
      <c r="G3255" t="str" cm="1">
        <f t="array" ref="G3255" xml:space="preserve"> FindCountryName(F3255)</f>
        <v>None</v>
      </c>
      <c r="H3255" s="1">
        <v>45257.359409722223</v>
      </c>
      <c r="I3255" s="1">
        <v>45257.359409722223</v>
      </c>
      <c r="J3255" s="1">
        <v>42142.597233796296</v>
      </c>
      <c r="K3255" cm="1">
        <f t="array" ref="K3255" xml:space="preserve"> sentimentCalc(C3255)</f>
        <v>0</v>
      </c>
      <c r="L3255" t="str" cm="1">
        <f t="array" ref="L3255" xml:space="preserve"> sentimentCategory(K3255)</f>
        <v>Neutral</v>
      </c>
    </row>
    <row r="3256" spans="1:12">
      <c r="A3256" t="s">
        <v>243</v>
      </c>
      <c r="B3256" t="s">
        <v>455</v>
      </c>
      <c r="C3256" t="str" cm="1">
        <f t="array" ref="C3256" xml:space="preserve"> CleanText(B3256)</f>
        <v>letsgoooooooooooooooooooo</v>
      </c>
      <c r="D3256">
        <v>0</v>
      </c>
      <c r="E3256">
        <v>0</v>
      </c>
      <c r="F3256" t="s">
        <v>0</v>
      </c>
      <c r="G3256" t="str" cm="1">
        <f t="array" ref="G3256" xml:space="preserve"> FindCountryName(F3256)</f>
        <v>None</v>
      </c>
      <c r="H3256" s="1">
        <v>45257.356469907405</v>
      </c>
      <c r="I3256" s="1">
        <v>45257.356469907405</v>
      </c>
      <c r="J3256" s="1">
        <v>44345.039097222223</v>
      </c>
      <c r="K3256" cm="1">
        <f t="array" ref="K3256" xml:space="preserve"> sentimentCalc(C3256)</f>
        <v>0</v>
      </c>
      <c r="L3256" t="str" cm="1">
        <f t="array" ref="L3256" xml:space="preserve"> sentimentCategory(K3256)</f>
        <v>Neutral</v>
      </c>
    </row>
    <row r="3257" spans="1:12">
      <c r="A3257" t="s">
        <v>454</v>
      </c>
      <c r="B3257" t="s">
        <v>453</v>
      </c>
      <c r="C3257" t="str" cm="1">
        <f t="array" ref="C3257" xml:space="preserve"> CleanText(B3257)</f>
        <v>i just need to see if night shyamalan is in the production crew haha</v>
      </c>
      <c r="D3257">
        <v>0</v>
      </c>
      <c r="E3257">
        <v>0</v>
      </c>
      <c r="F3257" t="s">
        <v>452</v>
      </c>
      <c r="G3257" t="str" cm="1">
        <f t="array" ref="G3257" xml:space="preserve"> FindCountryName(F3257)</f>
        <v>Japan</v>
      </c>
      <c r="H3257" s="1">
        <v>45257.354050925926</v>
      </c>
      <c r="I3257" s="1">
        <v>45257.354050925926</v>
      </c>
      <c r="J3257" s="1">
        <v>45205.152800925927</v>
      </c>
      <c r="K3257" cm="1">
        <f t="array" ref="K3257" xml:space="preserve"> sentimentCalc(C3257)</f>
        <v>0</v>
      </c>
      <c r="L3257" t="str" cm="1">
        <f t="array" ref="L3257" xml:space="preserve"> sentimentCategory(K3257)</f>
        <v>Neutral</v>
      </c>
    </row>
    <row r="3258" spans="1:12">
      <c r="A3258" t="s">
        <v>320</v>
      </c>
      <c r="B3258" t="s">
        <v>451</v>
      </c>
      <c r="C3258" t="str" cm="1">
        <f t="array" ref="C3258" xml:space="preserve"> CleanText(B3258)</f>
        <v>i dont like that zuko is shown to be fighting back on his agni kai</v>
      </c>
      <c r="D3258">
        <v>0</v>
      </c>
      <c r="E3258">
        <v>0</v>
      </c>
      <c r="F3258" t="s">
        <v>0</v>
      </c>
      <c r="G3258" t="str" cm="1">
        <f t="array" ref="G3258" xml:space="preserve"> FindCountryName(F3258)</f>
        <v>None</v>
      </c>
      <c r="H3258" s="1">
        <v>45257.353078703702</v>
      </c>
      <c r="I3258" s="1">
        <v>45257.353078703702</v>
      </c>
      <c r="J3258" s="1">
        <v>42174.42082175926</v>
      </c>
      <c r="K3258" cm="1">
        <f t="array" ref="K3258" xml:space="preserve"> sentimentCalc(C3258)</f>
        <v>2</v>
      </c>
      <c r="L3258" t="str" cm="1">
        <f t="array" ref="L3258" xml:space="preserve"> sentimentCategory(K3258)</f>
        <v>Positive</v>
      </c>
    </row>
    <row r="3259" spans="1:12">
      <c r="A3259" t="s">
        <v>450</v>
      </c>
      <c r="B3259" t="s">
        <v>449</v>
      </c>
      <c r="C3259" t="str" cm="1">
        <f t="array" ref="C3259" xml:space="preserve"> CleanText(B3259)</f>
        <v>the vibe feels like jls snyder cut trailer great i love it</v>
      </c>
      <c r="D3259">
        <v>1</v>
      </c>
      <c r="E3259">
        <v>0</v>
      </c>
      <c r="F3259" t="s">
        <v>0</v>
      </c>
      <c r="G3259" t="str" cm="1">
        <f t="array" ref="G3259" xml:space="preserve"> FindCountryName(F3259)</f>
        <v>None</v>
      </c>
      <c r="H3259" s="1">
        <v>45257.329328703701</v>
      </c>
      <c r="I3259" s="1">
        <v>45257.329328703701</v>
      </c>
      <c r="J3259" s="1">
        <v>42227.982847222222</v>
      </c>
      <c r="K3259" cm="1">
        <f t="array" ref="K3259" xml:space="preserve"> sentimentCalc(C3259)</f>
        <v>7</v>
      </c>
      <c r="L3259" t="str" cm="1">
        <f t="array" ref="L3259" xml:space="preserve"> sentimentCategory(K3259)</f>
        <v>Positive</v>
      </c>
    </row>
    <row r="3260" spans="1:12">
      <c r="A3260" t="s">
        <v>267</v>
      </c>
      <c r="B3260" t="s">
        <v>448</v>
      </c>
      <c r="C3260" t="str" cm="1">
        <f t="array" ref="C3260" xml:space="preserve"> CleanText(B3260)</f>
        <v>finally the accurate looks one</v>
      </c>
      <c r="D3260">
        <v>1</v>
      </c>
      <c r="E3260">
        <v>0</v>
      </c>
      <c r="F3260" t="s">
        <v>0</v>
      </c>
      <c r="G3260" t="str" cm="1">
        <f t="array" ref="G3260" xml:space="preserve"> FindCountryName(F3260)</f>
        <v>None</v>
      </c>
      <c r="H3260" s="1">
        <v>45257.327233796299</v>
      </c>
      <c r="I3260" s="1">
        <v>45257.327233796299</v>
      </c>
      <c r="J3260" s="1">
        <v>42282.321562500001</v>
      </c>
      <c r="K3260" cm="1">
        <f t="array" ref="K3260" xml:space="preserve"> sentimentCalc(C3260)</f>
        <v>0</v>
      </c>
      <c r="L3260" t="str" cm="1">
        <f t="array" ref="L3260" xml:space="preserve"> sentimentCategory(K3260)</f>
        <v>Neutral</v>
      </c>
    </row>
    <row r="3261" spans="1:12">
      <c r="A3261" t="s">
        <v>447</v>
      </c>
      <c r="B3261" t="s">
        <v>446</v>
      </c>
      <c r="C3261" t="str" cm="1">
        <f t="array" ref="C3261" xml:space="preserve"> CleanText(B3261)</f>
        <v>if this goes well it will probably go to korra</v>
      </c>
      <c r="D3261">
        <v>1</v>
      </c>
      <c r="E3261">
        <v>0</v>
      </c>
      <c r="F3261" t="s">
        <v>0</v>
      </c>
      <c r="G3261" t="str" cm="1">
        <f t="array" ref="G3261" xml:space="preserve"> FindCountryName(F3261)</f>
        <v>None</v>
      </c>
      <c r="H3261" s="1">
        <v>45257.324560185189</v>
      </c>
      <c r="I3261" s="1">
        <v>45257.324560185189</v>
      </c>
      <c r="J3261" s="1">
        <v>45109.490648148145</v>
      </c>
      <c r="K3261" cm="1">
        <f t="array" ref="K3261" xml:space="preserve"> sentimentCalc(C3261)</f>
        <v>0</v>
      </c>
      <c r="L3261" t="str" cm="1">
        <f t="array" ref="L3261" xml:space="preserve"> sentimentCategory(K3261)</f>
        <v>Neutral</v>
      </c>
    </row>
    <row r="3262" spans="1:12">
      <c r="A3262" t="s">
        <v>445</v>
      </c>
      <c r="B3262" t="s">
        <v>444</v>
      </c>
      <c r="C3262" t="str" cm="1">
        <f t="array" ref="C3262" xml:space="preserve"> CleanText(B3262)</f>
        <v>i swear if they dont say aangs name right im gonna mg tv</v>
      </c>
      <c r="D3262">
        <v>1</v>
      </c>
      <c r="E3262">
        <v>0</v>
      </c>
      <c r="F3262" t="s">
        <v>0</v>
      </c>
      <c r="G3262" t="str" cm="1">
        <f t="array" ref="G3262" xml:space="preserve"> FindCountryName(F3262)</f>
        <v>None</v>
      </c>
      <c r="H3262" s="1">
        <v>45257.31863425926</v>
      </c>
      <c r="I3262" s="1">
        <v>45257.31863425926</v>
      </c>
      <c r="J3262" s="1">
        <v>44228.730428240742</v>
      </c>
      <c r="K3262" cm="1">
        <f t="array" ref="K3262" xml:space="preserve"> sentimentCalc(C3262)</f>
        <v>-2</v>
      </c>
      <c r="L3262" t="str" cm="1">
        <f t="array" ref="L3262" xml:space="preserve"> sentimentCategory(K3262)</f>
        <v>Negative</v>
      </c>
    </row>
    <row r="3263" spans="1:12">
      <c r="A3263" t="s">
        <v>26</v>
      </c>
      <c r="B3263" t="s">
        <v>443</v>
      </c>
      <c r="C3263" t="str" cm="1">
        <f t="array" ref="C3263" xml:space="preserve"> CleanText(B3263)</f>
        <v>tbh im hopping on netflix to watch this when it releases immediately asap</v>
      </c>
      <c r="D3263">
        <v>1</v>
      </c>
      <c r="E3263">
        <v>0</v>
      </c>
      <c r="F3263" t="s">
        <v>442</v>
      </c>
      <c r="G3263" t="str" cm="1">
        <f t="array" ref="G3263" xml:space="preserve"> FindCountryName(F3263)</f>
        <v>Viet Nam</v>
      </c>
      <c r="H3263" s="1">
        <v>45257.315960648149</v>
      </c>
      <c r="I3263" s="1">
        <v>45257.315960648149</v>
      </c>
      <c r="J3263" s="1">
        <v>42950.939502314817</v>
      </c>
      <c r="K3263" cm="1">
        <f t="array" ref="K3263" xml:space="preserve"> sentimentCalc(C3263)</f>
        <v>0</v>
      </c>
      <c r="L3263" t="str" cm="1">
        <f t="array" ref="L3263" xml:space="preserve"> sentimentCategory(K3263)</f>
        <v>Neutral</v>
      </c>
    </row>
    <row r="3264" spans="1:12">
      <c r="A3264" t="s">
        <v>441</v>
      </c>
      <c r="B3264" t="s">
        <v>440</v>
      </c>
      <c r="C3264" t="str" cm="1">
        <f t="array" ref="C3264" xml:space="preserve"> CleanText(B3264)</f>
        <v>the iroh cast is perfect</v>
      </c>
      <c r="D3264">
        <v>3</v>
      </c>
      <c r="E3264">
        <v>1</v>
      </c>
      <c r="F3264" t="s">
        <v>0</v>
      </c>
      <c r="G3264" t="str" cm="1">
        <f t="array" ref="G3264" xml:space="preserve"> FindCountryName(F3264)</f>
        <v>None</v>
      </c>
      <c r="H3264" s="1">
        <v>45257.311979166669</v>
      </c>
      <c r="I3264" s="1">
        <v>45257.311979166669</v>
      </c>
      <c r="J3264" s="1">
        <v>43511.995046296295</v>
      </c>
      <c r="K3264" cm="1">
        <f t="array" ref="K3264" xml:space="preserve"> sentimentCalc(C3264)</f>
        <v>3</v>
      </c>
      <c r="L3264" t="str" cm="1">
        <f t="array" ref="L3264" xml:space="preserve"> sentimentCategory(K3264)</f>
        <v>Positive</v>
      </c>
    </row>
    <row r="3265" spans="1:12">
      <c r="A3265" t="s">
        <v>439</v>
      </c>
      <c r="B3265" t="s">
        <v>438</v>
      </c>
      <c r="C3265" t="str" cm="1">
        <f t="array" ref="C3265" xml:space="preserve"> CleanText(B3265)</f>
        <v>it looks wonderful</v>
      </c>
      <c r="D3265">
        <v>0</v>
      </c>
      <c r="E3265">
        <v>0</v>
      </c>
      <c r="F3265" t="s">
        <v>0</v>
      </c>
      <c r="G3265" t="str" cm="1">
        <f t="array" ref="G3265" xml:space="preserve"> FindCountryName(F3265)</f>
        <v>None</v>
      </c>
      <c r="H3265" s="1">
        <v>45257.308865740742</v>
      </c>
      <c r="I3265" s="1">
        <v>45257.308865740742</v>
      </c>
      <c r="J3265" s="1">
        <v>40759.357233796298</v>
      </c>
      <c r="K3265" cm="1">
        <f t="array" ref="K3265" xml:space="preserve"> sentimentCalc(C3265)</f>
        <v>4</v>
      </c>
      <c r="L3265" t="str" cm="1">
        <f t="array" ref="L3265" xml:space="preserve"> sentimentCategory(K3265)</f>
        <v>Positive</v>
      </c>
    </row>
    <row r="3266" spans="1:12">
      <c r="A3266" t="s">
        <v>437</v>
      </c>
      <c r="B3266" t="s">
        <v>436</v>
      </c>
      <c r="C3266" t="str" cm="1">
        <f t="array" ref="C3266" xml:space="preserve"> CleanText(B3266)</f>
        <v>this looks good so far praying it ends up being that way atla is such a good story</v>
      </c>
      <c r="D3266">
        <v>0</v>
      </c>
      <c r="E3266">
        <v>0</v>
      </c>
      <c r="F3266" t="s">
        <v>112</v>
      </c>
      <c r="G3266" t="str" cm="1">
        <f t="array" ref="G3266" xml:space="preserve"> FindCountryName(F3266)</f>
        <v>Canada</v>
      </c>
      <c r="H3266" s="1">
        <v>45257.30296296296</v>
      </c>
      <c r="I3266" s="1">
        <v>45257.30296296296</v>
      </c>
      <c r="J3266" s="1">
        <v>41332.578379629631</v>
      </c>
      <c r="K3266" cm="1">
        <f t="array" ref="K3266" xml:space="preserve"> sentimentCalc(C3266)</f>
        <v>7</v>
      </c>
      <c r="L3266" t="str" cm="1">
        <f t="array" ref="L3266" xml:space="preserve"> sentimentCategory(K3266)</f>
        <v>Positive</v>
      </c>
    </row>
    <row r="3267" spans="1:12">
      <c r="A3267" t="s">
        <v>255</v>
      </c>
      <c r="B3267" t="s">
        <v>435</v>
      </c>
      <c r="C3267" t="str" cm="1">
        <f t="array" ref="C3267" xml:space="preserve"> CleanText(B3267)</f>
        <v>omg this a great movies of the year</v>
      </c>
      <c r="D3267">
        <v>1</v>
      </c>
      <c r="E3267">
        <v>0</v>
      </c>
      <c r="F3267" t="s">
        <v>0</v>
      </c>
      <c r="G3267" t="str" cm="1">
        <f t="array" ref="G3267" xml:space="preserve"> FindCountryName(F3267)</f>
        <v>None</v>
      </c>
      <c r="H3267" s="1">
        <v>45257.281921296293</v>
      </c>
      <c r="I3267" s="1">
        <v>45257.281921296293</v>
      </c>
      <c r="J3267" s="1">
        <v>44572.483124999999</v>
      </c>
      <c r="K3267" cm="1">
        <f t="array" ref="K3267" xml:space="preserve"> sentimentCalc(C3267)</f>
        <v>3</v>
      </c>
      <c r="L3267" t="str" cm="1">
        <f t="array" ref="L3267" xml:space="preserve"> sentimentCategory(K3267)</f>
        <v>Positive</v>
      </c>
    </row>
    <row r="3268" spans="1:12">
      <c r="A3268" t="s">
        <v>434</v>
      </c>
      <c r="B3268" t="s">
        <v>433</v>
      </c>
      <c r="C3268" t="str" cm="1">
        <f t="array" ref="C3268" xml:space="preserve"> CleanText(B3268)</f>
        <v>my childhood dreams awakening will forever be my favorite cartoon and now cinematic movie _xD83C_</v>
      </c>
      <c r="D3268">
        <v>2</v>
      </c>
      <c r="E3268">
        <v>1</v>
      </c>
      <c r="F3268" t="s">
        <v>0</v>
      </c>
      <c r="G3268" t="str" cm="1">
        <f t="array" ref="G3268" xml:space="preserve"> FindCountryName(F3268)</f>
        <v>None</v>
      </c>
      <c r="H3268" s="1">
        <v>45257.280752314815</v>
      </c>
      <c r="I3268" s="1">
        <v>45257.280752314815</v>
      </c>
      <c r="J3268" s="1">
        <v>42183.574502314812</v>
      </c>
      <c r="K3268" cm="1">
        <f t="array" ref="K3268" xml:space="preserve"> sentimentCalc(C3268)</f>
        <v>3</v>
      </c>
      <c r="L3268" t="str" cm="1">
        <f t="array" ref="L3268" xml:space="preserve"> sentimentCategory(K3268)</f>
        <v>Positive</v>
      </c>
    </row>
    <row r="3269" spans="1:12">
      <c r="A3269" t="s">
        <v>432</v>
      </c>
      <c r="B3269" t="s">
        <v>431</v>
      </c>
      <c r="C3269" t="str" cm="1">
        <f t="array" ref="C3269" xml:space="preserve"> CleanText(B3269)</f>
        <v>_xDE2E_ n</v>
      </c>
      <c r="D3269">
        <v>1</v>
      </c>
      <c r="E3269">
        <v>0</v>
      </c>
      <c r="F3269" t="s">
        <v>0</v>
      </c>
      <c r="G3269" t="str" cm="1">
        <f t="array" ref="G3269" xml:space="preserve"> FindCountryName(F3269)</f>
        <v>None</v>
      </c>
      <c r="H3269" s="1">
        <v>45257.274965277778</v>
      </c>
      <c r="I3269" s="1">
        <v>45257.274965277778</v>
      </c>
      <c r="J3269" s="1">
        <v>43615.423773148148</v>
      </c>
      <c r="K3269" cm="1">
        <f t="array" ref="K3269" xml:space="preserve"> sentimentCalc(C3269)</f>
        <v>0</v>
      </c>
      <c r="L3269" t="str" cm="1">
        <f t="array" ref="L3269" xml:space="preserve"> sentimentCategory(K3269)</f>
        <v>Neutral</v>
      </c>
    </row>
    <row r="3270" spans="1:12">
      <c r="A3270" t="s">
        <v>430</v>
      </c>
      <c r="B3270" t="s">
        <v>429</v>
      </c>
      <c r="C3270" t="str" cm="1">
        <f t="array" ref="C3270" xml:space="preserve"> CleanText(B3270)</f>
        <v>this real</v>
      </c>
      <c r="D3270">
        <v>0</v>
      </c>
      <c r="E3270">
        <v>0</v>
      </c>
      <c r="F3270" t="s">
        <v>0</v>
      </c>
      <c r="G3270" t="str" cm="1">
        <f t="array" ref="G3270" xml:space="preserve"> FindCountryName(F3270)</f>
        <v>None</v>
      </c>
      <c r="H3270" s="1">
        <v>45257.265636574077</v>
      </c>
      <c r="I3270" s="1">
        <v>45257.265636574077</v>
      </c>
      <c r="J3270" s="1">
        <v>45173.078888888886</v>
      </c>
      <c r="K3270" cm="1">
        <f t="array" ref="K3270" xml:space="preserve"> sentimentCalc(C3270)</f>
        <v>0</v>
      </c>
      <c r="L3270" t="str" cm="1">
        <f t="array" ref="L3270" xml:space="preserve"> sentimentCategory(K3270)</f>
        <v>Neutral</v>
      </c>
    </row>
    <row r="3271" spans="1:12">
      <c r="A3271" t="s">
        <v>428</v>
      </c>
      <c r="B3271" t="s">
        <v>427</v>
      </c>
      <c r="C3271" t="str" cm="1">
        <f t="array" ref="C3271" xml:space="preserve"> CleanText(B3271)</f>
        <v>im hopefulalso feel a little bad for paul sunhyung lee trying to fill the impossibly big boots of uncle iroh</v>
      </c>
      <c r="D3271">
        <v>0</v>
      </c>
      <c r="E3271">
        <v>0</v>
      </c>
      <c r="F3271" t="s">
        <v>0</v>
      </c>
      <c r="G3271" t="str" cm="1">
        <f t="array" ref="G3271" xml:space="preserve"> FindCountryName(F3271)</f>
        <v>None</v>
      </c>
      <c r="H3271" s="1">
        <v>45257.256388888891</v>
      </c>
      <c r="I3271" s="1">
        <v>45257.256388888891</v>
      </c>
      <c r="J3271" s="1">
        <v>39110.454432870371</v>
      </c>
      <c r="K3271" cm="1">
        <f t="array" ref="K3271" xml:space="preserve"> sentimentCalc(C3271)</f>
        <v>-2</v>
      </c>
      <c r="L3271" t="str" cm="1">
        <f t="array" ref="L3271" xml:space="preserve"> sentimentCategory(K3271)</f>
        <v>Negative</v>
      </c>
    </row>
    <row r="3272" spans="1:12">
      <c r="A3272" t="s">
        <v>146</v>
      </c>
      <c r="B3272" t="s">
        <v>426</v>
      </c>
      <c r="C3272" t="str" cm="1">
        <f t="array" ref="C3272" xml:space="preserve"> CleanText(B3272)</f>
        <v>씨내까 기려 n</v>
      </c>
      <c r="D3272">
        <v>1</v>
      </c>
      <c r="E3272">
        <v>0</v>
      </c>
      <c r="F3272" t="s">
        <v>0</v>
      </c>
      <c r="G3272" t="str" cm="1">
        <f t="array" ref="G3272" xml:space="preserve"> FindCountryName(F3272)</f>
        <v>None</v>
      </c>
      <c r="H3272" s="1">
        <v>45257.252337962964</v>
      </c>
      <c r="I3272" s="1">
        <v>45257.252337962964</v>
      </c>
      <c r="J3272" s="1">
        <v>41538.227916666663</v>
      </c>
      <c r="K3272" cm="1">
        <f t="array" ref="K3272" xml:space="preserve"> sentimentCalc(C3272)</f>
        <v>0</v>
      </c>
      <c r="L3272" t="str" cm="1">
        <f t="array" ref="L3272" xml:space="preserve"> sentimentCategory(K3272)</f>
        <v>Neutral</v>
      </c>
    </row>
    <row r="3273" spans="1:12">
      <c r="A3273" t="s">
        <v>223</v>
      </c>
      <c r="B3273" t="s">
        <v>425</v>
      </c>
      <c r="C3273" t="str" cm="1">
        <f t="array" ref="C3273" xml:space="preserve"> CleanText(B3273)</f>
        <v>is it going to be movie or series</v>
      </c>
      <c r="D3273">
        <v>0</v>
      </c>
      <c r="E3273">
        <v>0</v>
      </c>
      <c r="F3273" t="s">
        <v>0</v>
      </c>
      <c r="G3273" t="str" cm="1">
        <f t="array" ref="G3273" xml:space="preserve"> FindCountryName(F3273)</f>
        <v>None</v>
      </c>
      <c r="H3273" s="1">
        <v>45257.248749999999</v>
      </c>
      <c r="I3273" s="1">
        <v>45257.248749999999</v>
      </c>
      <c r="J3273" s="1">
        <v>42870.590312499997</v>
      </c>
      <c r="K3273" cm="1">
        <f t="array" ref="K3273" xml:space="preserve"> sentimentCalc(C3273)</f>
        <v>0</v>
      </c>
      <c r="L3273" t="str" cm="1">
        <f t="array" ref="L3273" xml:space="preserve"> sentimentCategory(K3273)</f>
        <v>Neutral</v>
      </c>
    </row>
    <row r="3274" spans="1:12">
      <c r="A3274" t="s">
        <v>78</v>
      </c>
      <c r="B3274" t="s">
        <v>424</v>
      </c>
      <c r="C3274" t="str" cm="1">
        <f t="array" ref="C3274" xml:space="preserve"> CleanText(B3274)</f>
        <v>자쎄 민 젼 n</v>
      </c>
      <c r="D3274">
        <v>1</v>
      </c>
      <c r="E3274">
        <v>0</v>
      </c>
      <c r="F3274" t="s">
        <v>0</v>
      </c>
      <c r="G3274" t="str" cm="1">
        <f t="array" ref="G3274" xml:space="preserve"> FindCountryName(F3274)</f>
        <v>None</v>
      </c>
      <c r="H3274" s="1">
        <v>45257.238067129627</v>
      </c>
      <c r="I3274" s="1">
        <v>45257.238067129627</v>
      </c>
      <c r="J3274" s="1">
        <v>42167.528969907406</v>
      </c>
      <c r="K3274" cm="1">
        <f t="array" ref="K3274" xml:space="preserve"> sentimentCalc(C3274)</f>
        <v>0</v>
      </c>
      <c r="L3274" t="str" cm="1">
        <f t="array" ref="L3274" xml:space="preserve"> sentimentCategory(K3274)</f>
        <v>Neutral</v>
      </c>
    </row>
    <row r="3275" spans="1:12">
      <c r="A3275" t="s">
        <v>78</v>
      </c>
      <c r="B3275" t="s">
        <v>423</v>
      </c>
      <c r="C3275" t="str" cm="1">
        <f t="array" ref="C3275" xml:space="preserve"> CleanText(B3275)</f>
        <v>망거  냐 n</v>
      </c>
      <c r="D3275">
        <v>1</v>
      </c>
      <c r="E3275">
        <v>0</v>
      </c>
      <c r="F3275" t="s">
        <v>0</v>
      </c>
      <c r="G3275" t="str" cm="1">
        <f t="array" ref="G3275" xml:space="preserve"> FindCountryName(F3275)</f>
        <v>None</v>
      </c>
      <c r="H3275" s="1">
        <v>45257.237511574072</v>
      </c>
      <c r="I3275" s="1">
        <v>45257.237511574072</v>
      </c>
      <c r="J3275" s="1">
        <v>42167.528969907406</v>
      </c>
      <c r="K3275" cm="1">
        <f t="array" ref="K3275" xml:space="preserve"> sentimentCalc(C3275)</f>
        <v>0</v>
      </c>
      <c r="L3275" t="str" cm="1">
        <f t="array" ref="L3275" xml:space="preserve"> sentimentCategory(K3275)</f>
        <v>Neutral</v>
      </c>
    </row>
    <row r="3276" spans="1:12">
      <c r="A3276" t="s">
        <v>422</v>
      </c>
      <c r="B3276" t="s">
        <v>421</v>
      </c>
      <c r="C3276" t="str" cm="1">
        <f t="array" ref="C3276" xml:space="preserve"> CleanText(B3276)</f>
        <v>excited _xDE0A_</v>
      </c>
      <c r="D3276">
        <v>0</v>
      </c>
      <c r="E3276">
        <v>0</v>
      </c>
      <c r="F3276" t="s">
        <v>0</v>
      </c>
      <c r="G3276" t="str" cm="1">
        <f t="array" ref="G3276" xml:space="preserve"> FindCountryName(F3276)</f>
        <v>None</v>
      </c>
      <c r="H3276" s="1">
        <v>45257.214016203703</v>
      </c>
      <c r="I3276" s="1">
        <v>45257.214016203703</v>
      </c>
      <c r="J3276" s="1">
        <v>40964.268495370372</v>
      </c>
      <c r="K3276" cm="1">
        <f t="array" ref="K3276" xml:space="preserve"> sentimentCalc(C3276)</f>
        <v>3</v>
      </c>
      <c r="L3276" t="str" cm="1">
        <f t="array" ref="L3276" xml:space="preserve"> sentimentCategory(K3276)</f>
        <v>Positive</v>
      </c>
    </row>
    <row r="3277" spans="1:12">
      <c r="A3277" t="s">
        <v>420</v>
      </c>
      <c r="B3277" t="s">
        <v>419</v>
      </c>
      <c r="C3277" t="str" cm="1">
        <f t="array" ref="C3277" xml:space="preserve"> CleanText(B3277)</f>
        <v>ш  рыщи р n</v>
      </c>
      <c r="D3277">
        <v>0</v>
      </c>
      <c r="E3277">
        <v>0</v>
      </c>
      <c r="F3277" t="s">
        <v>0</v>
      </c>
      <c r="G3277" t="str" cm="1">
        <f t="array" ref="G3277" xml:space="preserve"> FindCountryName(F3277)</f>
        <v>None</v>
      </c>
      <c r="H3277" s="1">
        <v>45257.207731481481</v>
      </c>
      <c r="I3277" s="1">
        <v>45257.207731481481</v>
      </c>
      <c r="J3277" s="1">
        <v>45257.207708333335</v>
      </c>
      <c r="K3277" cm="1">
        <f t="array" ref="K3277" xml:space="preserve"> sentimentCalc(C3277)</f>
        <v>0</v>
      </c>
      <c r="L3277" t="str" cm="1">
        <f t="array" ref="L3277" xml:space="preserve"> sentimentCategory(K3277)</f>
        <v>Neutral</v>
      </c>
    </row>
    <row r="3278" spans="1:12">
      <c r="A3278" t="s">
        <v>418</v>
      </c>
      <c r="B3278" t="s">
        <v>417</v>
      </c>
      <c r="C3278" t="str" cm="1">
        <f t="array" ref="C3278" xml:space="preserve"> CleanText(B3278)</f>
        <v>cant wait _xDD29_</v>
      </c>
      <c r="D3278">
        <v>0</v>
      </c>
      <c r="E3278">
        <v>0</v>
      </c>
      <c r="F3278" t="s">
        <v>0</v>
      </c>
      <c r="G3278" t="str" cm="1">
        <f t="array" ref="G3278" xml:space="preserve"> FindCountryName(F3278)</f>
        <v>None</v>
      </c>
      <c r="H3278" s="1">
        <v>45257.205347222225</v>
      </c>
      <c r="I3278" s="1">
        <v>45257.205347222225</v>
      </c>
      <c r="J3278" s="1">
        <v>42589.156921296293</v>
      </c>
      <c r="K3278" cm="1">
        <f t="array" ref="K3278" xml:space="preserve"> sentimentCalc(C3278)</f>
        <v>0</v>
      </c>
      <c r="L3278" t="str" cm="1">
        <f t="array" ref="L3278" xml:space="preserve"> sentimentCategory(K3278)</f>
        <v>Neutral</v>
      </c>
    </row>
    <row r="3279" spans="1:12">
      <c r="A3279" t="s">
        <v>190</v>
      </c>
      <c r="B3279" t="s">
        <v>416</v>
      </c>
      <c r="C3279" t="str" cm="1">
        <f t="array" ref="C3279" xml:space="preserve"> CleanText(B3279)</f>
        <v>flames</v>
      </c>
      <c r="D3279">
        <v>1</v>
      </c>
      <c r="E3279">
        <v>0</v>
      </c>
      <c r="F3279" t="s">
        <v>0</v>
      </c>
      <c r="G3279" t="str" cm="1">
        <f t="array" ref="G3279" xml:space="preserve"> FindCountryName(F3279)</f>
        <v>None</v>
      </c>
      <c r="H3279" s="1">
        <v>45257.190462962964</v>
      </c>
      <c r="I3279" s="1">
        <v>45257.190462962964</v>
      </c>
      <c r="J3279" s="1">
        <v>41952.447650462964</v>
      </c>
      <c r="K3279" cm="1">
        <f t="array" ref="K3279" xml:space="preserve"> sentimentCalc(C3279)</f>
        <v>0</v>
      </c>
      <c r="L3279" t="str" cm="1">
        <f t="array" ref="L3279" xml:space="preserve"> sentimentCategory(K3279)</f>
        <v>Neutral</v>
      </c>
    </row>
    <row r="3280" spans="1:12">
      <c r="A3280" t="s">
        <v>415</v>
      </c>
      <c r="B3280" t="s">
        <v>414</v>
      </c>
      <c r="C3280" t="str" cm="1">
        <f t="array" ref="C3280" xml:space="preserve"> CleanText(B3280)</f>
        <v>atla is like my favorite cartoon show and i hope netflix brings it justice the franchise did not deserve that god awful movie adaption years ago</v>
      </c>
      <c r="D3280">
        <v>1</v>
      </c>
      <c r="E3280">
        <v>0</v>
      </c>
      <c r="F3280" t="s">
        <v>0</v>
      </c>
      <c r="G3280" t="str" cm="1">
        <f t="array" ref="G3280" xml:space="preserve"> FindCountryName(F3280)</f>
        <v>None</v>
      </c>
      <c r="H3280" s="1">
        <v>45257.185717592591</v>
      </c>
      <c r="I3280" s="1">
        <v>45257.185717592591</v>
      </c>
      <c r="J3280" s="1">
        <v>43628.579340277778</v>
      </c>
      <c r="K3280" cm="1">
        <f t="array" ref="K3280" xml:space="preserve"> sentimentCalc(C3280)</f>
        <v>6</v>
      </c>
      <c r="L3280" t="str" cm="1">
        <f t="array" ref="L3280" xml:space="preserve"> sentimentCategory(K3280)</f>
        <v>Positive</v>
      </c>
    </row>
    <row r="3281" spans="1:12">
      <c r="A3281" t="s">
        <v>413</v>
      </c>
      <c r="B3281" t="s">
        <v>412</v>
      </c>
      <c r="C3281" t="str" cm="1">
        <f t="array" ref="C3281" xml:space="preserve"> CleanText(B3281)</f>
        <v>excited</v>
      </c>
      <c r="D3281">
        <v>0</v>
      </c>
      <c r="E3281">
        <v>0</v>
      </c>
      <c r="F3281" t="s">
        <v>0</v>
      </c>
      <c r="G3281" t="str" cm="1">
        <f t="array" ref="G3281" xml:space="preserve"> FindCountryName(F3281)</f>
        <v>None</v>
      </c>
      <c r="H3281" s="1">
        <v>45257.156840277778</v>
      </c>
      <c r="I3281" s="1">
        <v>45257.156840277778</v>
      </c>
      <c r="J3281" s="1">
        <v>45079.162453703706</v>
      </c>
      <c r="K3281" cm="1">
        <f t="array" ref="K3281" xml:space="preserve"> sentimentCalc(C3281)</f>
        <v>3</v>
      </c>
      <c r="L3281" t="str" cm="1">
        <f t="array" ref="L3281" xml:space="preserve"> sentimentCategory(K3281)</f>
        <v>Positive</v>
      </c>
    </row>
    <row r="3282" spans="1:12">
      <c r="A3282" t="s">
        <v>411</v>
      </c>
      <c r="B3282" t="s">
        <v>410</v>
      </c>
      <c r="C3282" t="str" cm="1">
        <f t="array" ref="C3282" xml:space="preserve"> CleanText(B3282)</f>
        <v>omg goosebumps intensifies</v>
      </c>
      <c r="D3282">
        <v>1</v>
      </c>
      <c r="E3282">
        <v>0</v>
      </c>
      <c r="F3282" t="s">
        <v>409</v>
      </c>
      <c r="G3282" t="str" cm="1">
        <f t="array" ref="G3282" xml:space="preserve"> FindCountryName(F3282)</f>
        <v>New Zealand</v>
      </c>
      <c r="H3282" s="1">
        <v>45257.132881944446</v>
      </c>
      <c r="I3282" s="1">
        <v>45257.132881944446</v>
      </c>
      <c r="J3282" s="1">
        <v>40931.413344907407</v>
      </c>
      <c r="K3282" cm="1">
        <f t="array" ref="K3282" xml:space="preserve"> sentimentCalc(C3282)</f>
        <v>0</v>
      </c>
      <c r="L3282" t="str" cm="1">
        <f t="array" ref="L3282" xml:space="preserve"> sentimentCategory(K3282)</f>
        <v>Neutral</v>
      </c>
    </row>
    <row r="3283" spans="1:12">
      <c r="A3283" t="s">
        <v>121</v>
      </c>
      <c r="B3283" t="s">
        <v>408</v>
      </c>
      <c r="C3283" t="str" cm="1">
        <f t="array" ref="C3283" xml:space="preserve"> CleanText(B3283)</f>
        <v>after m night shyamalans disaster and amazons rings of power i hope this will heal our hopes that is about to be consumed</v>
      </c>
      <c r="D3283">
        <v>2</v>
      </c>
      <c r="E3283">
        <v>0</v>
      </c>
      <c r="F3283" t="s">
        <v>0</v>
      </c>
      <c r="G3283" t="str" cm="1">
        <f t="array" ref="G3283" xml:space="preserve"> FindCountryName(F3283)</f>
        <v>None</v>
      </c>
      <c r="H3283" s="1">
        <v>45257.127708333333</v>
      </c>
      <c r="I3283" s="1">
        <v>45257.127708333333</v>
      </c>
      <c r="J3283" s="1">
        <v>45251.135000000002</v>
      </c>
      <c r="K3283" cm="1">
        <f t="array" ref="K3283" xml:space="preserve"> sentimentCalc(C3283)</f>
        <v>2</v>
      </c>
      <c r="L3283" t="str" cm="1">
        <f t="array" ref="L3283" xml:space="preserve"> sentimentCategory(K3283)</f>
        <v>Positive</v>
      </c>
    </row>
    <row r="3284" spans="1:12">
      <c r="A3284" t="s">
        <v>407</v>
      </c>
      <c r="B3284" t="s">
        <v>406</v>
      </c>
      <c r="C3284" t="str" cm="1">
        <f t="array" ref="C3284" xml:space="preserve"> CleanText(B3284)</f>
        <v>looks beater than last time looks like a must whach</v>
      </c>
      <c r="D3284">
        <v>2</v>
      </c>
      <c r="E3284">
        <v>0</v>
      </c>
      <c r="F3284" t="s">
        <v>0</v>
      </c>
      <c r="G3284" t="str" cm="1">
        <f t="array" ref="G3284" xml:space="preserve"> FindCountryName(F3284)</f>
        <v>None</v>
      </c>
      <c r="H3284" s="1">
        <v>45257.116516203707</v>
      </c>
      <c r="I3284" s="1">
        <v>45257.116516203707</v>
      </c>
      <c r="J3284" s="1">
        <v>43745.523425925923</v>
      </c>
      <c r="K3284" cm="1">
        <f t="array" ref="K3284" xml:space="preserve"> sentimentCalc(C3284)</f>
        <v>2</v>
      </c>
      <c r="L3284" t="str" cm="1">
        <f t="array" ref="L3284" xml:space="preserve"> sentimentCategory(K3284)</f>
        <v>Positive</v>
      </c>
    </row>
    <row r="3285" spans="1:12">
      <c r="A3285" t="s">
        <v>405</v>
      </c>
      <c r="B3285" t="s">
        <v>404</v>
      </c>
      <c r="C3285" t="str" cm="1">
        <f t="array" ref="C3285" xml:space="preserve"> CleanText(B3285)</f>
        <v>good luck  hopefully you can pull it off</v>
      </c>
      <c r="D3285">
        <v>2</v>
      </c>
      <c r="E3285">
        <v>0</v>
      </c>
      <c r="F3285" t="s">
        <v>0</v>
      </c>
      <c r="G3285" t="str" cm="1">
        <f t="array" ref="G3285" xml:space="preserve"> FindCountryName(F3285)</f>
        <v>None</v>
      </c>
      <c r="H3285" s="1">
        <v>45257.099918981483</v>
      </c>
      <c r="I3285" s="1">
        <v>45257.099918981483</v>
      </c>
      <c r="J3285" s="1">
        <v>39001.113865740743</v>
      </c>
      <c r="K3285" cm="1">
        <f t="array" ref="K3285" xml:space="preserve"> sentimentCalc(C3285)</f>
        <v>8</v>
      </c>
      <c r="L3285" t="str" cm="1">
        <f t="array" ref="L3285" xml:space="preserve"> sentimentCategory(K3285)</f>
        <v>Positive</v>
      </c>
    </row>
    <row r="3286" spans="1:12">
      <c r="A3286" t="s">
        <v>403</v>
      </c>
      <c r="B3286" t="s">
        <v>402</v>
      </c>
      <c r="C3286" t="str" cm="1">
        <f t="array" ref="C3286" xml:space="preserve"> CleanText(B3286)</f>
        <v>only thing that was missing was a guy screaming about his cabbage p this looks so much better than the first live action</v>
      </c>
      <c r="D3286">
        <v>0</v>
      </c>
      <c r="E3286">
        <v>1</v>
      </c>
      <c r="F3286" t="s">
        <v>0</v>
      </c>
      <c r="G3286" t="str" cm="1">
        <f t="array" ref="G3286" xml:space="preserve"> FindCountryName(F3286)</f>
        <v>None</v>
      </c>
      <c r="H3286" s="1">
        <v>45257.087789351855</v>
      </c>
      <c r="I3286" s="1">
        <v>45257.087789351855</v>
      </c>
      <c r="J3286" s="1">
        <v>40227.628912037035</v>
      </c>
      <c r="K3286" cm="1">
        <f t="array" ref="K3286" xml:space="preserve"> sentimentCalc(C3286)</f>
        <v>-2</v>
      </c>
      <c r="L3286" t="str" cm="1">
        <f t="array" ref="L3286" xml:space="preserve"> sentimentCategory(K3286)</f>
        <v>Negative</v>
      </c>
    </row>
    <row r="3287" spans="1:12">
      <c r="A3287" t="s">
        <v>401</v>
      </c>
      <c r="B3287" t="s">
        <v>400</v>
      </c>
      <c r="C3287" t="str" cm="1">
        <f t="array" ref="C3287" xml:space="preserve"> CleanText(B3287)</f>
        <v>when i tell u i started crying once i saw appa and momo i have major trama from the last live action so yea and they brougt in suki and that bending looks amazing i cannot wait❤_xDC9B__xDC99_</v>
      </c>
      <c r="D3287">
        <v>0</v>
      </c>
      <c r="E3287">
        <v>0</v>
      </c>
      <c r="F3287" t="s">
        <v>0</v>
      </c>
      <c r="G3287" t="str" cm="1">
        <f t="array" ref="G3287" xml:space="preserve"> FindCountryName(F3287)</f>
        <v>None</v>
      </c>
      <c r="H3287" s="1">
        <v>45257.064085648148</v>
      </c>
      <c r="I3287" s="1">
        <v>45257.064085648148</v>
      </c>
      <c r="J3287" s="1">
        <v>44037.000474537039</v>
      </c>
      <c r="K3287" cm="1">
        <f t="array" ref="K3287" xml:space="preserve"> sentimentCalc(C3287)</f>
        <v>2</v>
      </c>
      <c r="L3287" t="str" cm="1">
        <f t="array" ref="L3287" xml:space="preserve"> sentimentCategory(K3287)</f>
        <v>Positive</v>
      </c>
    </row>
    <row r="3288" spans="1:12">
      <c r="A3288" t="s">
        <v>399</v>
      </c>
      <c r="B3288" t="s">
        <v>398</v>
      </c>
      <c r="C3288" t="str" cm="1">
        <f t="array" ref="C3288" xml:space="preserve"> CleanText(B3288)</f>
        <v>i stopped watching m knight films because of his version of our avatar this one is going to be epic</v>
      </c>
      <c r="D3288">
        <v>0</v>
      </c>
      <c r="E3288">
        <v>0</v>
      </c>
      <c r="F3288" t="s">
        <v>0</v>
      </c>
      <c r="G3288" t="str" cm="1">
        <f t="array" ref="G3288" xml:space="preserve"> FindCountryName(F3288)</f>
        <v>None</v>
      </c>
      <c r="H3288" s="1">
        <v>45257.036793981482</v>
      </c>
      <c r="I3288" s="1">
        <v>45257.036793981482</v>
      </c>
      <c r="J3288" s="1">
        <v>38881.23710648148</v>
      </c>
      <c r="K3288" cm="1">
        <f t="array" ref="K3288" xml:space="preserve"> sentimentCalc(C3288)</f>
        <v>-1</v>
      </c>
      <c r="L3288" t="str" cm="1">
        <f t="array" ref="L3288" xml:space="preserve"> sentimentCategory(K3288)</f>
        <v>Negative</v>
      </c>
    </row>
    <row r="3289" spans="1:12">
      <c r="A3289" t="s">
        <v>397</v>
      </c>
      <c r="B3289" t="s">
        <v>396</v>
      </c>
      <c r="C3289" t="str" cm="1">
        <f t="array" ref="C3289" xml:space="preserve"> CleanText(B3289)</f>
        <v>the cgi looks like shit what are yall smokin</v>
      </c>
      <c r="D3289">
        <v>1</v>
      </c>
      <c r="E3289">
        <v>0</v>
      </c>
      <c r="F3289" t="s">
        <v>0</v>
      </c>
      <c r="G3289" t="str" cm="1">
        <f t="array" ref="G3289" xml:space="preserve"> FindCountryName(F3289)</f>
        <v>None</v>
      </c>
      <c r="H3289" s="1">
        <v>45257.029421296298</v>
      </c>
      <c r="I3289" s="1">
        <v>45257.029421296298</v>
      </c>
      <c r="J3289" s="1">
        <v>41633.623599537037</v>
      </c>
      <c r="K3289" cm="1">
        <f t="array" ref="K3289" xml:space="preserve"> sentimentCalc(C3289)</f>
        <v>2</v>
      </c>
      <c r="L3289" t="str" cm="1">
        <f t="array" ref="L3289" xml:space="preserve"> sentimentCategory(K3289)</f>
        <v>Positive</v>
      </c>
    </row>
    <row r="3290" spans="1:12">
      <c r="A3290" t="s">
        <v>395</v>
      </c>
      <c r="B3290" t="s">
        <v>394</v>
      </c>
      <c r="C3290" t="str" cm="1">
        <f t="array" ref="C3290" xml:space="preserve"> CleanText(B3290)</f>
        <v>i have high hopes from this series and believe that it will be market breaking seriesalso the vfx in series look amazing the way the showed a glimpse of fire bending is amazing it feels that they have tried to keep the style of bending samealso it will be amazing to see if that have taken references from the real marshal arts from which the bending styles were referenced also i love the way you showed earth kingdom northern invasion and fire nationit feels that it is ton of better than the last airbender moviewill love to watch it and to support its creators</v>
      </c>
      <c r="D3290">
        <v>41</v>
      </c>
      <c r="E3290">
        <v>0</v>
      </c>
      <c r="F3290" t="s">
        <v>0</v>
      </c>
      <c r="G3290" t="str" cm="1">
        <f t="array" ref="G3290" xml:space="preserve"> FindCountryName(F3290)</f>
        <v>None</v>
      </c>
      <c r="H3290" s="1">
        <v>45257.027800925927</v>
      </c>
      <c r="I3290" s="1">
        <v>45257.027800925927</v>
      </c>
      <c r="J3290" s="1">
        <v>45132.344664351855</v>
      </c>
      <c r="K3290" cm="1">
        <f t="array" ref="K3290" xml:space="preserve"> sentimentCalc(C3290)</f>
        <v>20</v>
      </c>
      <c r="L3290" t="str" cm="1">
        <f t="array" ref="L3290" xml:space="preserve"> sentimentCategory(K3290)</f>
        <v>Positive</v>
      </c>
    </row>
    <row r="3291" spans="1:12">
      <c r="A3291" t="s">
        <v>306</v>
      </c>
      <c r="B3291" t="s">
        <v>393</v>
      </c>
      <c r="C3291" t="str" cm="1">
        <f t="array" ref="C3291" xml:space="preserve"> CleanText(B3291)</f>
        <v>well after seeing this teaser and one piece i want saitama the  punch man in live action_xD83D_and goku too</v>
      </c>
      <c r="D3291">
        <v>0</v>
      </c>
      <c r="E3291">
        <v>0</v>
      </c>
      <c r="F3291" t="s">
        <v>0</v>
      </c>
      <c r="G3291" t="str" cm="1">
        <f t="array" ref="G3291" xml:space="preserve"> FindCountryName(F3291)</f>
        <v>None</v>
      </c>
      <c r="H3291" s="1">
        <v>45257.005682870367</v>
      </c>
      <c r="I3291" s="1">
        <v>45257.006053240744</v>
      </c>
      <c r="J3291" s="1">
        <v>45257.005671296298</v>
      </c>
      <c r="K3291" cm="1">
        <f t="array" ref="K3291" xml:space="preserve"> sentimentCalc(C3291)</f>
        <v>1</v>
      </c>
      <c r="L3291" t="str" cm="1">
        <f t="array" ref="L3291" xml:space="preserve"> sentimentCategory(K3291)</f>
        <v>Positive</v>
      </c>
    </row>
    <row r="3292" spans="1:12">
      <c r="A3292" t="s">
        <v>139</v>
      </c>
      <c r="B3292" t="s">
        <v>392</v>
      </c>
      <c r="C3292" t="str" cm="1">
        <f t="array" ref="C3292" xml:space="preserve"> CleanText(B3292)</f>
        <v>hope they stick to the plot and not make avatar go blackazula lesbo with lee  or the hezir genderless toph</v>
      </c>
      <c r="D3292">
        <v>1</v>
      </c>
      <c r="E3292">
        <v>1</v>
      </c>
      <c r="F3292" t="s">
        <v>0</v>
      </c>
      <c r="G3292" t="str" cm="1">
        <f t="array" ref="G3292" xml:space="preserve"> FindCountryName(F3292)</f>
        <v>None</v>
      </c>
      <c r="H3292" s="1">
        <v>45257.004618055558</v>
      </c>
      <c r="I3292" s="1">
        <v>45257.004618055558</v>
      </c>
      <c r="J3292" s="1">
        <v>42231.068240740744</v>
      </c>
      <c r="K3292" cm="1">
        <f t="array" ref="K3292" xml:space="preserve"> sentimentCalc(C3292)</f>
        <v>2</v>
      </c>
      <c r="L3292" t="str" cm="1">
        <f t="array" ref="L3292" xml:space="preserve"> sentimentCategory(K3292)</f>
        <v>Positive</v>
      </c>
    </row>
    <row r="3293" spans="1:12">
      <c r="A3293" t="s">
        <v>391</v>
      </c>
      <c r="B3293" t="s">
        <v>390</v>
      </c>
      <c r="C3293" t="str" cm="1">
        <f t="array" ref="C3293" xml:space="preserve"> CleanText(B3293)</f>
        <v>this aint bad my asians but i asked for book  season thanks yalls</v>
      </c>
      <c r="D3293">
        <v>0</v>
      </c>
      <c r="E3293">
        <v>1</v>
      </c>
      <c r="F3293" t="s">
        <v>0</v>
      </c>
      <c r="G3293" t="str" cm="1">
        <f t="array" ref="G3293" xml:space="preserve"> FindCountryName(F3293)</f>
        <v>None</v>
      </c>
      <c r="H3293" s="1">
        <v>45257.003148148149</v>
      </c>
      <c r="I3293" s="1">
        <v>45257.003148148149</v>
      </c>
      <c r="J3293" s="1">
        <v>40853.082303240742</v>
      </c>
      <c r="K3293" cm="1">
        <f t="array" ref="K3293" xml:space="preserve"> sentimentCalc(C3293)</f>
        <v>-1</v>
      </c>
      <c r="L3293" t="str" cm="1">
        <f t="array" ref="L3293" xml:space="preserve"> sentimentCategory(K3293)</f>
        <v>Negative</v>
      </c>
    </row>
    <row r="3294" spans="1:12">
      <c r="A3294" t="s">
        <v>388</v>
      </c>
      <c r="B3294" t="s">
        <v>389</v>
      </c>
      <c r="C3294" t="str" cm="1">
        <f t="array" ref="C3294" xml:space="preserve"> CleanText(B3294)</f>
        <v>i want da kniiiifeeddie murphy</v>
      </c>
      <c r="D3294">
        <v>0</v>
      </c>
      <c r="E3294">
        <v>0</v>
      </c>
      <c r="F3294" t="s">
        <v>0</v>
      </c>
      <c r="G3294" t="str" cm="1">
        <f t="array" ref="G3294" xml:space="preserve"> FindCountryName(F3294)</f>
        <v>None</v>
      </c>
      <c r="H3294" s="1">
        <v>45256.999201388891</v>
      </c>
      <c r="I3294" s="1">
        <v>45256.999201388891</v>
      </c>
      <c r="J3294" s="1">
        <v>39069.626111111109</v>
      </c>
      <c r="K3294" cm="1">
        <f t="array" ref="K3294" xml:space="preserve"> sentimentCalc(C3294)</f>
        <v>1</v>
      </c>
      <c r="L3294" t="str" cm="1">
        <f t="array" ref="L3294" xml:space="preserve"> sentimentCategory(K3294)</f>
        <v>Positive</v>
      </c>
    </row>
    <row r="3295" spans="1:12">
      <c r="A3295" t="s">
        <v>388</v>
      </c>
      <c r="B3295" t="s">
        <v>387</v>
      </c>
      <c r="C3295" t="str" cm="1">
        <f t="array" ref="C3295" xml:space="preserve"> CleanText(B3295)</f>
        <v>you cant make the last airbender after the last airbender</v>
      </c>
      <c r="D3295">
        <v>0</v>
      </c>
      <c r="E3295">
        <v>0</v>
      </c>
      <c r="F3295" t="s">
        <v>0</v>
      </c>
      <c r="G3295" t="str" cm="1">
        <f t="array" ref="G3295" xml:space="preserve"> FindCountryName(F3295)</f>
        <v>None</v>
      </c>
      <c r="H3295" s="1">
        <v>45256.997754629629</v>
      </c>
      <c r="I3295" s="1">
        <v>45256.997754629629</v>
      </c>
      <c r="J3295" s="1">
        <v>39069.626111111109</v>
      </c>
      <c r="K3295" cm="1">
        <f t="array" ref="K3295" xml:space="preserve"> sentimentCalc(C3295)</f>
        <v>0</v>
      </c>
      <c r="L3295" t="str" cm="1">
        <f t="array" ref="L3295" xml:space="preserve"> sentimentCategory(K3295)</f>
        <v>Neutral</v>
      </c>
    </row>
    <row r="3296" spans="1:12">
      <c r="A3296" t="s">
        <v>367</v>
      </c>
      <c r="B3296" t="s">
        <v>386</v>
      </c>
      <c r="C3296" t="str" cm="1">
        <f t="array" ref="C3296" xml:space="preserve"> CleanText(B3296)</f>
        <v>suki and sokka yes yes yes</v>
      </c>
      <c r="D3296">
        <v>0</v>
      </c>
      <c r="E3296">
        <v>0</v>
      </c>
      <c r="F3296" t="s">
        <v>0</v>
      </c>
      <c r="G3296" t="str" cm="1">
        <f t="array" ref="G3296" xml:space="preserve"> FindCountryName(F3296)</f>
        <v>None</v>
      </c>
      <c r="H3296" s="1">
        <v>45256.986875000002</v>
      </c>
      <c r="I3296" s="1">
        <v>45256.986875000002</v>
      </c>
      <c r="J3296" s="1">
        <v>44653.983657407407</v>
      </c>
      <c r="K3296" cm="1">
        <f t="array" ref="K3296" xml:space="preserve"> sentimentCalc(C3296)</f>
        <v>3</v>
      </c>
      <c r="L3296" t="str" cm="1">
        <f t="array" ref="L3296" xml:space="preserve"> sentimentCategory(K3296)</f>
        <v>Positive</v>
      </c>
    </row>
    <row r="3297" spans="1:12">
      <c r="A3297" t="s">
        <v>385</v>
      </c>
      <c r="B3297" t="s">
        <v>384</v>
      </c>
      <c r="C3297" t="str" cm="1">
        <f t="array" ref="C3297" xml:space="preserve"> CleanText(B3297)</f>
        <v>cgi when they were on appa was a lil off but everything else was great better than the last attempt lmao</v>
      </c>
      <c r="D3297">
        <v>0</v>
      </c>
      <c r="E3297">
        <v>0</v>
      </c>
      <c r="F3297" t="s">
        <v>0</v>
      </c>
      <c r="G3297" t="str" cm="1">
        <f t="array" ref="G3297" xml:space="preserve"> FindCountryName(F3297)</f>
        <v>None</v>
      </c>
      <c r="H3297" s="1">
        <v>45256.972083333334</v>
      </c>
      <c r="I3297" s="1">
        <v>45256.972083333334</v>
      </c>
      <c r="J3297" s="1">
        <v>40720.395474537036</v>
      </c>
      <c r="K3297" cm="1">
        <f t="array" ref="K3297" xml:space="preserve"> sentimentCalc(C3297)</f>
        <v>5</v>
      </c>
      <c r="L3297" t="str" cm="1">
        <f t="array" ref="L3297" xml:space="preserve"> sentimentCategory(K3297)</f>
        <v>Positive</v>
      </c>
    </row>
    <row r="3298" spans="1:12">
      <c r="A3298" t="s">
        <v>223</v>
      </c>
      <c r="B3298" t="s">
        <v>383</v>
      </c>
      <c r="C3298" t="str" cm="1">
        <f t="array" ref="C3298" xml:space="preserve"> CleanText(B3298)</f>
        <v>atlast a fire nation that is chinese looking not the previous one that is indian looking fire nation</v>
      </c>
      <c r="D3298">
        <v>0</v>
      </c>
      <c r="E3298">
        <v>0</v>
      </c>
      <c r="F3298" t="s">
        <v>0</v>
      </c>
      <c r="G3298" t="str" cm="1">
        <f t="array" ref="G3298" xml:space="preserve"> FindCountryName(F3298)</f>
        <v>None</v>
      </c>
      <c r="H3298" s="1">
        <v>45256.971215277779</v>
      </c>
      <c r="I3298" s="1">
        <v>45256.971215277779</v>
      </c>
      <c r="J3298" s="1">
        <v>42258.001388888886</v>
      </c>
      <c r="K3298" cm="1">
        <f t="array" ref="K3298" xml:space="preserve"> sentimentCalc(C3298)</f>
        <v>-4</v>
      </c>
      <c r="L3298" t="str" cm="1">
        <f t="array" ref="L3298" xml:space="preserve"> sentimentCategory(K3298)</f>
        <v>Negative</v>
      </c>
    </row>
    <row r="3299" spans="1:12">
      <c r="A3299" t="s">
        <v>382</v>
      </c>
      <c r="B3299" t="s">
        <v>381</v>
      </c>
      <c r="C3299" t="str" cm="1">
        <f t="array" ref="C3299" xml:space="preserve"> CleanText(B3299)</f>
        <v>theres an imdb listing for the cabbage merchant lol</v>
      </c>
      <c r="D3299">
        <v>0</v>
      </c>
      <c r="E3299">
        <v>0</v>
      </c>
      <c r="F3299" t="s">
        <v>0</v>
      </c>
      <c r="G3299" t="str" cm="1">
        <f t="array" ref="G3299" xml:space="preserve"> FindCountryName(F3299)</f>
        <v>None</v>
      </c>
      <c r="H3299" s="1">
        <v>45256.962476851855</v>
      </c>
      <c r="I3299" s="1">
        <v>45256.962476851855</v>
      </c>
      <c r="J3299" s="1">
        <v>40743.201805555553</v>
      </c>
      <c r="K3299" cm="1">
        <f t="array" ref="K3299" xml:space="preserve"> sentimentCalc(C3299)</f>
        <v>0</v>
      </c>
      <c r="L3299" t="str" cm="1">
        <f t="array" ref="L3299" xml:space="preserve"> sentimentCategory(K3299)</f>
        <v>Neutral</v>
      </c>
    </row>
    <row r="3300" spans="1:12">
      <c r="A3300" t="s">
        <v>380</v>
      </c>
      <c r="B3300" t="s">
        <v>379</v>
      </c>
      <c r="C3300" t="str" cm="1">
        <f t="array" ref="C3300" xml:space="preserve"> CleanText(B3300)</f>
        <v>as long as they play their character development correctly im all for this but if its just fancy cgi and fights then meh</v>
      </c>
      <c r="D3300">
        <v>1</v>
      </c>
      <c r="E3300">
        <v>0</v>
      </c>
      <c r="F3300" t="s">
        <v>0</v>
      </c>
      <c r="G3300" t="str" cm="1">
        <f t="array" ref="G3300" xml:space="preserve"> FindCountryName(F3300)</f>
        <v>None</v>
      </c>
      <c r="H3300" s="1">
        <v>45256.959861111114</v>
      </c>
      <c r="I3300" s="1">
        <v>45256.959861111114</v>
      </c>
      <c r="J3300" s="1">
        <v>40336.686319444445</v>
      </c>
      <c r="K3300" cm="1">
        <f t="array" ref="K3300" xml:space="preserve"> sentimentCalc(C3300)</f>
        <v>0</v>
      </c>
      <c r="L3300" t="str" cm="1">
        <f t="array" ref="L3300" xml:space="preserve"> sentimentCategory(K3300)</f>
        <v>Neutral</v>
      </c>
    </row>
    <row r="3301" spans="1:12">
      <c r="A3301" t="s">
        <v>378</v>
      </c>
      <c r="B3301" t="s">
        <v>377</v>
      </c>
      <c r="C3301" t="str" cm="1">
        <f t="array" ref="C3301" xml:space="preserve"> CleanText(B3301)</f>
        <v>when i saw the poster i got glyphs of my childhood _xDE0D_</v>
      </c>
      <c r="D3301">
        <v>1</v>
      </c>
      <c r="E3301">
        <v>0</v>
      </c>
      <c r="F3301" t="s">
        <v>0</v>
      </c>
      <c r="G3301" t="str" cm="1">
        <f t="array" ref="G3301" xml:space="preserve"> FindCountryName(F3301)</f>
        <v>None</v>
      </c>
      <c r="H3301" s="1">
        <v>45256.948495370372</v>
      </c>
      <c r="I3301" s="1">
        <v>45256.948495370372</v>
      </c>
      <c r="J3301" s="1">
        <v>42188.395821759259</v>
      </c>
      <c r="K3301" cm="1">
        <f t="array" ref="K3301" xml:space="preserve"> sentimentCalc(C3301)</f>
        <v>0</v>
      </c>
      <c r="L3301" t="str" cm="1">
        <f t="array" ref="L3301" xml:space="preserve"> sentimentCategory(K3301)</f>
        <v>Neutral</v>
      </c>
    </row>
    <row r="3302" spans="1:12">
      <c r="A3302" t="s">
        <v>376</v>
      </c>
      <c r="B3302" t="s">
        <v>375</v>
      </c>
      <c r="C3302" t="str" cm="1">
        <f t="array" ref="C3302" xml:space="preserve"> CleanText(B3302)</f>
        <v>hermoso</v>
      </c>
      <c r="D3302">
        <v>2</v>
      </c>
      <c r="E3302">
        <v>0</v>
      </c>
      <c r="F3302" t="s">
        <v>0</v>
      </c>
      <c r="G3302" t="str" cm="1">
        <f t="array" ref="G3302" xml:space="preserve"> FindCountryName(F3302)</f>
        <v>None</v>
      </c>
      <c r="H3302" s="1">
        <v>45256.948229166665</v>
      </c>
      <c r="I3302" s="1">
        <v>45256.948229166665</v>
      </c>
      <c r="J3302" s="1">
        <v>42931.965486111112</v>
      </c>
      <c r="K3302" cm="1">
        <f t="array" ref="K3302" xml:space="preserve"> sentimentCalc(C3302)</f>
        <v>0</v>
      </c>
      <c r="L3302" t="str" cm="1">
        <f t="array" ref="L3302" xml:space="preserve"> sentimentCategory(K3302)</f>
        <v>Neutral</v>
      </c>
    </row>
    <row r="3303" spans="1:12">
      <c r="A3303" t="s">
        <v>374</v>
      </c>
      <c r="B3303" t="s">
        <v>373</v>
      </c>
      <c r="C3303" t="str" cm="1">
        <f t="array" ref="C3303" xml:space="preserve"> CleanText(B3303)</f>
        <v>i wanna see some actual action martial arts fight scene not some halfa slow motion boring stuff lol</v>
      </c>
      <c r="D3303">
        <v>1</v>
      </c>
      <c r="E3303">
        <v>0</v>
      </c>
      <c r="F3303" t="s">
        <v>0</v>
      </c>
      <c r="G3303" t="str" cm="1">
        <f t="array" ref="G3303" xml:space="preserve"> FindCountryName(F3303)</f>
        <v>None</v>
      </c>
      <c r="H3303" s="1">
        <v>45256.926886574074</v>
      </c>
      <c r="I3303" s="1">
        <v>45256.926886574074</v>
      </c>
      <c r="J3303" s="1">
        <v>39210.967916666668</v>
      </c>
      <c r="K3303" cm="1">
        <f t="array" ref="K3303" xml:space="preserve"> sentimentCalc(C3303)</f>
        <v>-4</v>
      </c>
      <c r="L3303" t="str" cm="1">
        <f t="array" ref="L3303" xml:space="preserve"> sentimentCategory(K3303)</f>
        <v>Negative</v>
      </c>
    </row>
    <row r="3304" spans="1:12">
      <c r="A3304" t="s">
        <v>372</v>
      </c>
      <c r="B3304" t="s">
        <v>371</v>
      </c>
      <c r="C3304" t="str" cm="1">
        <f t="array" ref="C3304" xml:space="preserve"> CleanText(B3304)</f>
        <v>this actually looks good and seeing how they managed not to completely butcher sandman i actually cautiously have a little bit of faith in this production</v>
      </c>
      <c r="D3304">
        <v>0</v>
      </c>
      <c r="E3304">
        <v>0</v>
      </c>
      <c r="F3304" t="s">
        <v>0</v>
      </c>
      <c r="G3304" t="str" cm="1">
        <f t="array" ref="G3304" xml:space="preserve"> FindCountryName(F3304)</f>
        <v>None</v>
      </c>
      <c r="H3304" s="1">
        <v>45256.905590277776</v>
      </c>
      <c r="I3304" s="1">
        <v>45256.905590277776</v>
      </c>
      <c r="J3304" s="1">
        <v>40605.753449074073</v>
      </c>
      <c r="K3304" cm="1">
        <f t="array" ref="K3304" xml:space="preserve"> sentimentCalc(C3304)</f>
        <v>4</v>
      </c>
      <c r="L3304" t="str" cm="1">
        <f t="array" ref="L3304" xml:space="preserve"> sentimentCategory(K3304)</f>
        <v>Positive</v>
      </c>
    </row>
    <row r="3305" spans="1:12">
      <c r="A3305" t="s">
        <v>139</v>
      </c>
      <c r="B3305" t="s">
        <v>370</v>
      </c>
      <c r="C3305" t="str" cm="1">
        <f t="array" ref="C3305" xml:space="preserve"> CleanText(B3305)</f>
        <v>id be embarrassed if i was apart of the first live action adaptation and saw this</v>
      </c>
      <c r="D3305">
        <v>0</v>
      </c>
      <c r="E3305">
        <v>1</v>
      </c>
      <c r="F3305" t="s">
        <v>19</v>
      </c>
      <c r="G3305" t="str" cm="1">
        <f t="array" ref="G3305" xml:space="preserve"> FindCountryName(F3305)</f>
        <v>United States of America (the)</v>
      </c>
      <c r="H3305" s="1">
        <v>45256.890532407408</v>
      </c>
      <c r="I3305" s="1">
        <v>45256.890532407408</v>
      </c>
      <c r="J3305" s="1">
        <v>41127.01357638889</v>
      </c>
      <c r="K3305" cm="1">
        <f t="array" ref="K3305" xml:space="preserve"> sentimentCalc(C3305)</f>
        <v>-2</v>
      </c>
      <c r="L3305" t="str" cm="1">
        <f t="array" ref="L3305" xml:space="preserve"> sentimentCategory(K3305)</f>
        <v>Negative</v>
      </c>
    </row>
    <row r="3306" spans="1:12">
      <c r="A3306" t="s">
        <v>369</v>
      </c>
      <c r="B3306" t="s">
        <v>368</v>
      </c>
      <c r="C3306" t="str" cm="1">
        <f t="array" ref="C3306" xml:space="preserve"> CleanText(B3306)</f>
        <v>christopher loyd as bumi nuff said</v>
      </c>
      <c r="D3306">
        <v>0</v>
      </c>
      <c r="E3306">
        <v>0</v>
      </c>
      <c r="F3306" t="s">
        <v>0</v>
      </c>
      <c r="G3306" t="str" cm="1">
        <f t="array" ref="G3306" xml:space="preserve"> FindCountryName(F3306)</f>
        <v>None</v>
      </c>
      <c r="H3306" s="1">
        <v>45256.87672453704</v>
      </c>
      <c r="I3306" s="1">
        <v>45256.87672453704</v>
      </c>
      <c r="J3306" s="1">
        <v>40795.805405092593</v>
      </c>
      <c r="K3306" cm="1">
        <f t="array" ref="K3306" xml:space="preserve"> sentimentCalc(C3306)</f>
        <v>0</v>
      </c>
      <c r="L3306" t="str" cm="1">
        <f t="array" ref="L3306" xml:space="preserve"> sentimentCategory(K3306)</f>
        <v>Neutral</v>
      </c>
    </row>
    <row r="3307" spans="1:12">
      <c r="A3307" t="s">
        <v>367</v>
      </c>
      <c r="B3307" t="s">
        <v>366</v>
      </c>
      <c r="C3307" t="str" cm="1">
        <f t="array" ref="C3307" xml:space="preserve"> CleanText(B3307)</f>
        <v>the only character they need the cabbage cart man</v>
      </c>
      <c r="D3307">
        <v>0</v>
      </c>
      <c r="E3307">
        <v>0</v>
      </c>
      <c r="F3307" t="s">
        <v>0</v>
      </c>
      <c r="G3307" t="str" cm="1">
        <f t="array" ref="G3307" xml:space="preserve"> FindCountryName(F3307)</f>
        <v>None</v>
      </c>
      <c r="H3307" s="1">
        <v>45256.869247685187</v>
      </c>
      <c r="I3307" s="1">
        <v>45256.869247685187</v>
      </c>
      <c r="J3307" s="1">
        <v>41406.594976851855</v>
      </c>
      <c r="K3307" cm="1">
        <f t="array" ref="K3307" xml:space="preserve"> sentimentCalc(C3307)</f>
        <v>0</v>
      </c>
      <c r="L3307" t="str" cm="1">
        <f t="array" ref="L3307" xml:space="preserve"> sentimentCategory(K3307)</f>
        <v>Neutral</v>
      </c>
    </row>
    <row r="3308" spans="1:12">
      <c r="A3308" t="s">
        <v>365</v>
      </c>
      <c r="B3308" t="s">
        <v>364</v>
      </c>
      <c r="C3308" t="str" cm="1">
        <f t="array" ref="C3308" xml:space="preserve"> CleanText(B3308)</f>
        <v>this looks so dope _xDD25__xDD25_</v>
      </c>
      <c r="D3308">
        <v>0</v>
      </c>
      <c r="E3308">
        <v>0</v>
      </c>
      <c r="F3308" t="s">
        <v>0</v>
      </c>
      <c r="G3308" t="str" cm="1">
        <f t="array" ref="G3308" xml:space="preserve"> FindCountryName(F3308)</f>
        <v>None</v>
      </c>
      <c r="H3308" s="1">
        <v>45256.843310185184</v>
      </c>
      <c r="I3308" s="1">
        <v>45256.843310185184</v>
      </c>
      <c r="J3308" s="1">
        <v>45101.920289351852</v>
      </c>
      <c r="K3308" cm="1">
        <f t="array" ref="K3308" xml:space="preserve"> sentimentCalc(C3308)</f>
        <v>0</v>
      </c>
      <c r="L3308" t="str" cm="1">
        <f t="array" ref="L3308" xml:space="preserve"> sentimentCategory(K3308)</f>
        <v>Neutral</v>
      </c>
    </row>
    <row r="3309" spans="1:12">
      <c r="A3309" t="s">
        <v>363</v>
      </c>
      <c r="B3309" t="s">
        <v>362</v>
      </c>
      <c r="C3309" t="str" cm="1">
        <f t="array" ref="C3309" xml:space="preserve"> CleanText(B3309)</f>
        <v>i better see tophhhhhhh</v>
      </c>
      <c r="D3309">
        <v>0</v>
      </c>
      <c r="E3309">
        <v>1</v>
      </c>
      <c r="F3309" t="s">
        <v>0</v>
      </c>
      <c r="G3309" t="str" cm="1">
        <f t="array" ref="G3309" xml:space="preserve"> FindCountryName(F3309)</f>
        <v>None</v>
      </c>
      <c r="H3309" s="1">
        <v>45256.842488425929</v>
      </c>
      <c r="I3309" s="1">
        <v>45256.842488425929</v>
      </c>
      <c r="J3309" s="1">
        <v>43824.964756944442</v>
      </c>
      <c r="K3309" cm="1">
        <f t="array" ref="K3309" xml:space="preserve"> sentimentCalc(C3309)</f>
        <v>2</v>
      </c>
      <c r="L3309" t="str" cm="1">
        <f t="array" ref="L3309" xml:space="preserve"> sentimentCategory(K3309)</f>
        <v>Positive</v>
      </c>
    </row>
    <row r="3310" spans="1:12">
      <c r="A3310" t="s">
        <v>361</v>
      </c>
      <c r="B3310" t="s">
        <v>360</v>
      </c>
      <c r="C3310" t="str" cm="1">
        <f t="array" ref="C3310" xml:space="preserve"> CleanText(B3310)</f>
        <v>i will be mad if it goes the route of modern liberalism</v>
      </c>
      <c r="D3310">
        <v>0</v>
      </c>
      <c r="E3310">
        <v>0</v>
      </c>
      <c r="F3310" t="s">
        <v>19</v>
      </c>
      <c r="G3310" t="str" cm="1">
        <f t="array" ref="G3310" xml:space="preserve"> FindCountryName(F3310)</f>
        <v>United States of America (the)</v>
      </c>
      <c r="H3310" s="1">
        <v>45256.825868055559</v>
      </c>
      <c r="I3310" s="1">
        <v>45256.825868055559</v>
      </c>
      <c r="J3310" s="1">
        <v>42378.949953703705</v>
      </c>
      <c r="K3310" cm="1">
        <f t="array" ref="K3310" xml:space="preserve"> sentimentCalc(C3310)</f>
        <v>-3</v>
      </c>
      <c r="L3310" t="str" cm="1">
        <f t="array" ref="L3310" xml:space="preserve"> sentimentCategory(K3310)</f>
        <v>Negative</v>
      </c>
    </row>
    <row r="3311" spans="1:12">
      <c r="A3311" t="s">
        <v>359</v>
      </c>
      <c r="B3311" t="s">
        <v>358</v>
      </c>
      <c r="C3311" t="str" cm="1">
        <f t="array" ref="C3311" xml:space="preserve"> CleanText(B3311)</f>
        <v>just dont make aang gay</v>
      </c>
      <c r="D3311">
        <v>0</v>
      </c>
      <c r="E3311">
        <v>1</v>
      </c>
      <c r="F3311" t="s">
        <v>0</v>
      </c>
      <c r="G3311" t="str" cm="1">
        <f t="array" ref="G3311" xml:space="preserve"> FindCountryName(F3311)</f>
        <v>None</v>
      </c>
      <c r="H3311" s="1">
        <v>45256.809942129628</v>
      </c>
      <c r="I3311" s="1">
        <v>45256.809942129628</v>
      </c>
      <c r="J3311" s="1">
        <v>45117.51489583333</v>
      </c>
      <c r="K3311" cm="1">
        <f t="array" ref="K3311" xml:space="preserve"> sentimentCalc(C3311)</f>
        <v>0</v>
      </c>
      <c r="L3311" t="str" cm="1">
        <f t="array" ref="L3311" xml:space="preserve"> sentimentCategory(K3311)</f>
        <v>Neutral</v>
      </c>
    </row>
    <row r="3312" spans="1:12">
      <c r="A3312" t="s">
        <v>357</v>
      </c>
      <c r="B3312" t="s">
        <v>356</v>
      </c>
      <c r="C3312" t="str" cm="1">
        <f t="array" ref="C3312" xml:space="preserve"> CleanText(B3312)</f>
        <v>okay this looks amazing please dont f this up</v>
      </c>
      <c r="D3312">
        <v>0</v>
      </c>
      <c r="E3312">
        <v>0</v>
      </c>
      <c r="F3312" t="s">
        <v>0</v>
      </c>
      <c r="G3312" t="str" cm="1">
        <f t="array" ref="G3312" xml:space="preserve"> FindCountryName(F3312)</f>
        <v>None</v>
      </c>
      <c r="H3312" s="1">
        <v>45256.799074074072</v>
      </c>
      <c r="I3312" s="1">
        <v>45256.799074074072</v>
      </c>
      <c r="J3312" s="1">
        <v>41992.52888888889</v>
      </c>
      <c r="K3312" cm="1">
        <f t="array" ref="K3312" xml:space="preserve"> sentimentCalc(C3312)</f>
        <v>5</v>
      </c>
      <c r="L3312" t="str" cm="1">
        <f t="array" ref="L3312" xml:space="preserve"> sentimentCategory(K3312)</f>
        <v>Positive</v>
      </c>
    </row>
    <row r="3313" spans="1:12">
      <c r="A3313" t="s">
        <v>355</v>
      </c>
      <c r="B3313" t="s">
        <v>354</v>
      </c>
      <c r="C3313" t="str" cm="1">
        <f t="array" ref="C3313" xml:space="preserve"> CleanText(B3313)</f>
        <v>cast looks good sokka looks like too much of a chad he doesnt seem goofy at all</v>
      </c>
      <c r="D3313">
        <v>0</v>
      </c>
      <c r="E3313">
        <v>0</v>
      </c>
      <c r="F3313" t="s">
        <v>0</v>
      </c>
      <c r="G3313" t="str" cm="1">
        <f t="array" ref="G3313" xml:space="preserve"> FindCountryName(F3313)</f>
        <v>None</v>
      </c>
      <c r="H3313" s="1">
        <v>45256.787673611114</v>
      </c>
      <c r="I3313" s="1">
        <v>45256.787673611114</v>
      </c>
      <c r="J3313" s="1">
        <v>45053.183854166666</v>
      </c>
      <c r="K3313" cm="1">
        <f t="array" ref="K3313" xml:space="preserve"> sentimentCalc(C3313)</f>
        <v>5</v>
      </c>
      <c r="L3313" t="str" cm="1">
        <f t="array" ref="L3313" xml:space="preserve"> sentimentCategory(K3313)</f>
        <v>Positive</v>
      </c>
    </row>
    <row r="3314" spans="1:12">
      <c r="A3314" t="s">
        <v>353</v>
      </c>
      <c r="B3314" t="s">
        <v>352</v>
      </c>
      <c r="C3314" t="str" cm="1">
        <f t="array" ref="C3314" xml:space="preserve"> CleanText(B3314)</f>
        <v>wow actually had goosebumps watching this especially when the theme song started to play and when ang flew off with appa finger crossed</v>
      </c>
      <c r="D3314">
        <v>3</v>
      </c>
      <c r="E3314">
        <v>1</v>
      </c>
      <c r="F3314" t="s">
        <v>0</v>
      </c>
      <c r="G3314" t="str" cm="1">
        <f t="array" ref="G3314" xml:space="preserve"> FindCountryName(F3314)</f>
        <v>None</v>
      </c>
      <c r="H3314" s="1">
        <v>45256.785057870373</v>
      </c>
      <c r="I3314" s="1">
        <v>45256.785057870373</v>
      </c>
      <c r="J3314" s="1">
        <v>44873.922719907408</v>
      </c>
      <c r="K3314" cm="1">
        <f t="array" ref="K3314" xml:space="preserve"> sentimentCalc(C3314)</f>
        <v>4</v>
      </c>
      <c r="L3314" t="str" cm="1">
        <f t="array" ref="L3314" xml:space="preserve"> sentimentCategory(K3314)</f>
        <v>Positive</v>
      </c>
    </row>
    <row r="3315" spans="1:12">
      <c r="A3315" t="s">
        <v>351</v>
      </c>
      <c r="B3315" t="s">
        <v>350</v>
      </c>
      <c r="C3315" t="str" cm="1">
        <f t="array" ref="C3315" xml:space="preserve"> CleanText(B3315)</f>
        <v>chills im so excited</v>
      </c>
      <c r="D3315">
        <v>0</v>
      </c>
      <c r="E3315">
        <v>0</v>
      </c>
      <c r="F3315" t="s">
        <v>0</v>
      </c>
      <c r="G3315" t="str" cm="1">
        <f t="array" ref="G3315" xml:space="preserve"> FindCountryName(F3315)</f>
        <v>None</v>
      </c>
      <c r="H3315" s="1">
        <v>45256.762789351851</v>
      </c>
      <c r="I3315" s="1">
        <v>45256.762789351851</v>
      </c>
      <c r="J3315" s="1">
        <v>39898.976504629631</v>
      </c>
      <c r="K3315" cm="1">
        <f t="array" ref="K3315" xml:space="preserve"> sentimentCalc(C3315)</f>
        <v>3</v>
      </c>
      <c r="L3315" t="str" cm="1">
        <f t="array" ref="L3315" xml:space="preserve"> sentimentCategory(K3315)</f>
        <v>Positive</v>
      </c>
    </row>
    <row r="3316" spans="1:12">
      <c r="A3316" t="s">
        <v>349</v>
      </c>
      <c r="B3316" t="s">
        <v>348</v>
      </c>
      <c r="C3316" t="str" cm="1">
        <f t="array" ref="C3316" xml:space="preserve"> CleanText(B3316)</f>
        <v>si netflix sigue dndonos buenas producciones seguir como subscriptor y recuperar la confianza del pblico</v>
      </c>
      <c r="D3316">
        <v>0</v>
      </c>
      <c r="E3316">
        <v>0</v>
      </c>
      <c r="F3316" t="s">
        <v>0</v>
      </c>
      <c r="G3316" t="str" cm="1">
        <f t="array" ref="G3316" xml:space="preserve"> FindCountryName(F3316)</f>
        <v>None</v>
      </c>
      <c r="H3316" s="1">
        <v>45256.758761574078</v>
      </c>
      <c r="I3316" s="1">
        <v>45256.758761574078</v>
      </c>
      <c r="J3316" s="1">
        <v>42147.955428240741</v>
      </c>
      <c r="K3316" cm="1">
        <f t="array" ref="K3316" xml:space="preserve"> sentimentCalc(C3316)</f>
        <v>0</v>
      </c>
      <c r="L3316" t="str" cm="1">
        <f t="array" ref="L3316" xml:space="preserve"> sentimentCategory(K3316)</f>
        <v>Neutral</v>
      </c>
    </row>
    <row r="3317" spans="1:12">
      <c r="A3317" t="s">
        <v>347</v>
      </c>
      <c r="B3317" t="s">
        <v>346</v>
      </c>
      <c r="C3317" t="str" cm="1">
        <f t="array" ref="C3317" xml:space="preserve"> CleanText(B3317)</f>
        <v>waiting for this movie fr a very long time</v>
      </c>
      <c r="D3317">
        <v>0</v>
      </c>
      <c r="E3317">
        <v>1</v>
      </c>
      <c r="F3317" t="s">
        <v>0</v>
      </c>
      <c r="G3317" t="str" cm="1">
        <f t="array" ref="G3317" xml:space="preserve"> FindCountryName(F3317)</f>
        <v>None</v>
      </c>
      <c r="H3317" s="1">
        <v>45256.732719907406</v>
      </c>
      <c r="I3317" s="1">
        <v>45256.732719907406</v>
      </c>
      <c r="J3317" s="1">
        <v>40303.060914351852</v>
      </c>
      <c r="K3317" cm="1">
        <f t="array" ref="K3317" xml:space="preserve"> sentimentCalc(C3317)</f>
        <v>0</v>
      </c>
      <c r="L3317" t="str" cm="1">
        <f t="array" ref="L3317" xml:space="preserve"> sentimentCategory(K3317)</f>
        <v>Neutral</v>
      </c>
    </row>
    <row r="3318" spans="1:12">
      <c r="A3318" t="s">
        <v>345</v>
      </c>
      <c r="B3318" t="s">
        <v>344</v>
      </c>
      <c r="C3318" t="str" cm="1">
        <f t="array" ref="C3318" xml:space="preserve"> CleanText(B3318)</f>
        <v>dont flop again bruh</v>
      </c>
      <c r="D3318">
        <v>0</v>
      </c>
      <c r="E3318">
        <v>0</v>
      </c>
      <c r="F3318" t="s">
        <v>0</v>
      </c>
      <c r="G3318" t="str" cm="1">
        <f t="array" ref="G3318" xml:space="preserve"> FindCountryName(F3318)</f>
        <v>None</v>
      </c>
      <c r="H3318" s="1">
        <v>45256.726747685185</v>
      </c>
      <c r="I3318" s="1">
        <v>45256.726747685185</v>
      </c>
      <c r="J3318" s="1">
        <v>43378.733831018515</v>
      </c>
      <c r="K3318" cm="1">
        <f t="array" ref="K3318" xml:space="preserve"> sentimentCalc(C3318)</f>
        <v>-2</v>
      </c>
      <c r="L3318" t="str" cm="1">
        <f t="array" ref="L3318" xml:space="preserve"> sentimentCategory(K3318)</f>
        <v>Negative</v>
      </c>
    </row>
    <row r="3319" spans="1:12">
      <c r="A3319" t="s">
        <v>343</v>
      </c>
      <c r="B3319" t="s">
        <v>342</v>
      </c>
      <c r="C3319" t="str" cm="1">
        <f t="array" ref="C3319" xml:space="preserve"> CleanText(B3319)</f>
        <v>i hope there will be additions to the plotline things that that nickolodean had to steer away froma more intense plot was implied but a netflix remake seems like the perfect opportunity to convey the realities of generational traumas sexism genocide and abuse that were affecying the worldthe original show provides wisdom and inspiration and this one should too there are moments however where it felt like there were holes in the nickolodean plotline they had to leave out some stuff and we know it</v>
      </c>
      <c r="D3319">
        <v>0</v>
      </c>
      <c r="E3319">
        <v>1</v>
      </c>
      <c r="F3319" t="s">
        <v>19</v>
      </c>
      <c r="G3319" t="str" cm="1">
        <f t="array" ref="G3319" xml:space="preserve"> FindCountryName(F3319)</f>
        <v>United States of America (the)</v>
      </c>
      <c r="H3319" s="1">
        <v>45256.72515046296</v>
      </c>
      <c r="I3319" s="1">
        <v>45256.72515046296</v>
      </c>
      <c r="J3319" s="1">
        <v>38805.750648148147</v>
      </c>
      <c r="K3319" cm="1">
        <f t="array" ref="K3319" xml:space="preserve"> sentimentCalc(C3319)</f>
        <v>10</v>
      </c>
      <c r="L3319" t="str" cm="1">
        <f t="array" ref="L3319" xml:space="preserve"> sentimentCategory(K3319)</f>
        <v>Positive</v>
      </c>
    </row>
    <row r="3320" spans="1:12">
      <c r="A3320" t="s">
        <v>104</v>
      </c>
      <c r="B3320" t="s">
        <v>341</v>
      </c>
      <c r="C3320" t="str" cm="1">
        <f t="array" ref="C3320" xml:space="preserve"> CleanText(B3320)</f>
        <v>cant wait for it hope they ll complete the series</v>
      </c>
      <c r="D3320">
        <v>1</v>
      </c>
      <c r="E3320">
        <v>0</v>
      </c>
      <c r="F3320" t="s">
        <v>0</v>
      </c>
      <c r="G3320" t="str" cm="1">
        <f t="array" ref="G3320" xml:space="preserve"> FindCountryName(F3320)</f>
        <v>None</v>
      </c>
      <c r="H3320" s="1">
        <v>45256.725104166668</v>
      </c>
      <c r="I3320" s="1">
        <v>45256.725104166668</v>
      </c>
      <c r="J3320" s="1">
        <v>41292.952534722222</v>
      </c>
      <c r="K3320" cm="1">
        <f t="array" ref="K3320" xml:space="preserve"> sentimentCalc(C3320)</f>
        <v>2</v>
      </c>
      <c r="L3320" t="str" cm="1">
        <f t="array" ref="L3320" xml:space="preserve"> sentimentCategory(K3320)</f>
        <v>Positive</v>
      </c>
    </row>
    <row r="3321" spans="1:12">
      <c r="A3321" t="s">
        <v>340</v>
      </c>
      <c r="B3321" t="s">
        <v>339</v>
      </c>
      <c r="C3321" t="str" cm="1">
        <f t="array" ref="C3321" xml:space="preserve"> CleanText(B3321)</f>
        <v>i want to cry this just gave me goosebumps</v>
      </c>
      <c r="D3321">
        <v>1</v>
      </c>
      <c r="E3321">
        <v>0</v>
      </c>
      <c r="F3321" t="s">
        <v>0</v>
      </c>
      <c r="G3321" t="str" cm="1">
        <f t="array" ref="G3321" xml:space="preserve"> FindCountryName(F3321)</f>
        <v>None</v>
      </c>
      <c r="H3321" s="1">
        <v>45256.720289351855</v>
      </c>
      <c r="I3321" s="1">
        <v>45256.720289351855</v>
      </c>
      <c r="J3321" s="1">
        <v>42389.626099537039</v>
      </c>
      <c r="K3321" cm="1">
        <f t="array" ref="K3321" xml:space="preserve"> sentimentCalc(C3321)</f>
        <v>0</v>
      </c>
      <c r="L3321" t="str" cm="1">
        <f t="array" ref="L3321" xml:space="preserve"> sentimentCategory(K3321)</f>
        <v>Neutral</v>
      </c>
    </row>
    <row r="3322" spans="1:12">
      <c r="A3322" t="s">
        <v>23</v>
      </c>
      <c r="B3322" t="s">
        <v>338</v>
      </c>
      <c r="C3322" t="str" cm="1">
        <f t="array" ref="C3322" xml:space="preserve"> CleanText(B3322)</f>
        <v>wow  this is so cool  but where is toph  _xDE12_</v>
      </c>
      <c r="D3322">
        <v>0</v>
      </c>
      <c r="E3322">
        <v>1</v>
      </c>
      <c r="F3322" t="s">
        <v>0</v>
      </c>
      <c r="G3322" t="str" cm="1">
        <f t="array" ref="G3322" xml:space="preserve"> FindCountryName(F3322)</f>
        <v>None</v>
      </c>
      <c r="H3322" s="1">
        <v>45256.706493055557</v>
      </c>
      <c r="I3322" s="1">
        <v>45256.70789351852</v>
      </c>
      <c r="J3322" s="1">
        <v>42960.169629629629</v>
      </c>
      <c r="K3322" cm="1">
        <f t="array" ref="K3322" xml:space="preserve"> sentimentCalc(C3322)</f>
        <v>5</v>
      </c>
      <c r="L3322" t="str" cm="1">
        <f t="array" ref="L3322" xml:space="preserve"> sentimentCategory(K3322)</f>
        <v>Positive</v>
      </c>
    </row>
    <row r="3323" spans="1:12">
      <c r="A3323" t="s">
        <v>337</v>
      </c>
      <c r="B3323" t="s">
        <v>336</v>
      </c>
      <c r="C3323" t="str" cm="1">
        <f t="array" ref="C3323" xml:space="preserve"> CleanText(B3323)</f>
        <v>im just hoping its nothing like the movie adaptation</v>
      </c>
      <c r="D3323">
        <v>0</v>
      </c>
      <c r="E3323">
        <v>0</v>
      </c>
      <c r="F3323" t="s">
        <v>0</v>
      </c>
      <c r="G3323" t="str" cm="1">
        <f t="array" ref="G3323" xml:space="preserve"> FindCountryName(F3323)</f>
        <v>None</v>
      </c>
      <c r="H3323" s="1">
        <v>45256.697997685187</v>
      </c>
      <c r="I3323" s="1">
        <v>45256.697997685187</v>
      </c>
      <c r="J3323" s="1">
        <v>41711.500937500001</v>
      </c>
      <c r="K3323" cm="1">
        <f t="array" ref="K3323" xml:space="preserve"> sentimentCalc(C3323)</f>
        <v>4</v>
      </c>
      <c r="L3323" t="str" cm="1">
        <f t="array" ref="L3323" xml:space="preserve"> sentimentCategory(K3323)</f>
        <v>Positive</v>
      </c>
    </row>
    <row r="3324" spans="1:12">
      <c r="A3324" t="s">
        <v>335</v>
      </c>
      <c r="B3324" t="s">
        <v>334</v>
      </c>
      <c r="C3324" t="str" cm="1">
        <f t="array" ref="C3324" xml:space="preserve"> CleanText(B3324)</f>
        <v>movie was better this shi look ass</v>
      </c>
      <c r="D3324">
        <v>0</v>
      </c>
      <c r="E3324">
        <v>0</v>
      </c>
      <c r="F3324" t="s">
        <v>0</v>
      </c>
      <c r="G3324" t="str" cm="1">
        <f t="array" ref="G3324" xml:space="preserve"> FindCountryName(F3324)</f>
        <v>None</v>
      </c>
      <c r="H3324" s="1">
        <v>45256.682291666664</v>
      </c>
      <c r="I3324" s="1">
        <v>45256.682291666664</v>
      </c>
      <c r="J3324" s="1">
        <v>42490.987638888888</v>
      </c>
      <c r="K3324" cm="1">
        <f t="array" ref="K3324" xml:space="preserve"> sentimentCalc(C3324)</f>
        <v>-2</v>
      </c>
      <c r="L3324" t="str" cm="1">
        <f t="array" ref="L3324" xml:space="preserve"> sentimentCategory(K3324)</f>
        <v>Negative</v>
      </c>
    </row>
    <row r="3325" spans="1:12">
      <c r="A3325" t="s">
        <v>333</v>
      </c>
      <c r="B3325" t="s">
        <v>332</v>
      </c>
      <c r="C3325" t="str" cm="1">
        <f t="array" ref="C3325" xml:space="preserve"> CleanText(B3325)</f>
        <v>mind blowing</v>
      </c>
      <c r="D3325">
        <v>1</v>
      </c>
      <c r="E3325">
        <v>0</v>
      </c>
      <c r="F3325" t="s">
        <v>0</v>
      </c>
      <c r="G3325" t="str" cm="1">
        <f t="array" ref="G3325" xml:space="preserve"> FindCountryName(F3325)</f>
        <v>None</v>
      </c>
      <c r="H3325" s="1">
        <v>45256.677187499998</v>
      </c>
      <c r="I3325" s="1">
        <v>45256.677187499998</v>
      </c>
      <c r="J3325" s="1">
        <v>45175.626319444447</v>
      </c>
      <c r="K3325" cm="1">
        <f t="array" ref="K3325" xml:space="preserve"> sentimentCalc(C3325)</f>
        <v>0</v>
      </c>
      <c r="L3325" t="str" cm="1">
        <f t="array" ref="L3325" xml:space="preserve"> sentimentCategory(K3325)</f>
        <v>Neutral</v>
      </c>
    </row>
    <row r="3326" spans="1:12">
      <c r="A3326" t="s">
        <v>82</v>
      </c>
      <c r="B3326" t="s">
        <v>331</v>
      </c>
      <c r="C3326" t="str" cm="1">
        <f t="array" ref="C3326" xml:space="preserve"> CleanText(B3326)</f>
        <v>i hope nobody is gay in this movie _xDD23_</v>
      </c>
      <c r="D3326">
        <v>0</v>
      </c>
      <c r="E3326">
        <v>0</v>
      </c>
      <c r="F3326" t="s">
        <v>0</v>
      </c>
      <c r="G3326" t="str" cm="1">
        <f t="array" ref="G3326" xml:space="preserve"> FindCountryName(F3326)</f>
        <v>None</v>
      </c>
      <c r="H3326" s="1">
        <v>45256.673831018517</v>
      </c>
      <c r="I3326" s="1">
        <v>45256.673831018517</v>
      </c>
      <c r="J3326" s="1">
        <v>42862.37394675926</v>
      </c>
      <c r="K3326" cm="1">
        <f t="array" ref="K3326" xml:space="preserve"> sentimentCalc(C3326)</f>
        <v>2</v>
      </c>
      <c r="L3326" t="str" cm="1">
        <f t="array" ref="L3326" xml:space="preserve"> sentimentCategory(K3326)</f>
        <v>Positive</v>
      </c>
    </row>
    <row r="3327" spans="1:12">
      <c r="A3327" t="s">
        <v>47</v>
      </c>
      <c r="B3327" t="s">
        <v>330</v>
      </c>
      <c r="C3327" t="str" cm="1">
        <f t="array" ref="C3327" xml:space="preserve"> CleanText(B3327)</f>
        <v>i hope they learnt from the mistakes from the movie</v>
      </c>
      <c r="D3327">
        <v>0</v>
      </c>
      <c r="E3327">
        <v>0</v>
      </c>
      <c r="F3327" t="s">
        <v>0</v>
      </c>
      <c r="G3327" t="str" cm="1">
        <f t="array" ref="G3327" xml:space="preserve"> FindCountryName(F3327)</f>
        <v>None</v>
      </c>
      <c r="H3327" s="1">
        <v>45256.657893518517</v>
      </c>
      <c r="I3327" s="1">
        <v>45256.657893518517</v>
      </c>
      <c r="J3327" s="1">
        <v>43467.50922453704</v>
      </c>
      <c r="K3327" cm="1">
        <f t="array" ref="K3327" xml:space="preserve"> sentimentCalc(C3327)</f>
        <v>0</v>
      </c>
      <c r="L3327" t="str" cm="1">
        <f t="array" ref="L3327" xml:space="preserve"> sentimentCategory(K3327)</f>
        <v>Neutral</v>
      </c>
    </row>
    <row r="3328" spans="1:12">
      <c r="A3328" t="s">
        <v>329</v>
      </c>
      <c r="B3328" t="s">
        <v>328</v>
      </c>
      <c r="C3328" t="str" cm="1">
        <f t="array" ref="C3328" xml:space="preserve"> CleanText(B3328)</f>
        <v>i really hope they stay focused on the story and dont try to push any agenda or politically view with itotherwise its already doomed to fail like every disney movie from the past years and the sadly failed witcher series</v>
      </c>
      <c r="D3328">
        <v>1</v>
      </c>
      <c r="E3328">
        <v>0</v>
      </c>
      <c r="F3328" t="s">
        <v>0</v>
      </c>
      <c r="G3328" t="str" cm="1">
        <f t="array" ref="G3328" xml:space="preserve"> FindCountryName(F3328)</f>
        <v>None</v>
      </c>
      <c r="H3328" s="1">
        <v>45256.64738425926</v>
      </c>
      <c r="I3328" s="1">
        <v>45256.64738425926</v>
      </c>
      <c r="J3328" s="1">
        <v>42058.381701388891</v>
      </c>
      <c r="K3328" cm="1">
        <f t="array" ref="K3328" xml:space="preserve"> sentimentCalc(C3328)</f>
        <v>-2</v>
      </c>
      <c r="L3328" t="str" cm="1">
        <f t="array" ref="L3328" xml:space="preserve"> sentimentCategory(K3328)</f>
        <v>Negative</v>
      </c>
    </row>
    <row r="3329" spans="1:12">
      <c r="A3329" t="s">
        <v>327</v>
      </c>
      <c r="B3329" t="s">
        <v>326</v>
      </c>
      <c r="C3329" t="str" cm="1">
        <f t="array" ref="C3329" xml:space="preserve"> CleanText(B3329)</f>
        <v>casting effects it all looks good i hope the plot doesnt disappoint</v>
      </c>
      <c r="D3329">
        <v>8</v>
      </c>
      <c r="E3329">
        <v>0</v>
      </c>
      <c r="F3329" t="s">
        <v>0</v>
      </c>
      <c r="G3329" t="str" cm="1">
        <f t="array" ref="G3329" xml:space="preserve"> FindCountryName(F3329)</f>
        <v>None</v>
      </c>
      <c r="H3329" s="1">
        <v>45256.6403587963</v>
      </c>
      <c r="I3329" s="1">
        <v>45256.6403587963</v>
      </c>
      <c r="J3329" s="1">
        <v>42139.104837962965</v>
      </c>
      <c r="K3329" cm="1">
        <f t="array" ref="K3329" xml:space="preserve"> sentimentCalc(C3329)</f>
        <v>3</v>
      </c>
      <c r="L3329" t="str" cm="1">
        <f t="array" ref="L3329" xml:space="preserve"> sentimentCategory(K3329)</f>
        <v>Positive</v>
      </c>
    </row>
    <row r="3330" spans="1:12">
      <c r="A3330" t="s">
        <v>325</v>
      </c>
      <c r="B3330" t="s">
        <v>324</v>
      </c>
      <c r="C3330" t="str" cm="1">
        <f t="array" ref="C3330" xml:space="preserve"> CleanText(B3330)</f>
        <v>i hope mj shamalan does not direct it</v>
      </c>
      <c r="D3330">
        <v>1</v>
      </c>
      <c r="E3330">
        <v>0</v>
      </c>
      <c r="F3330" t="s">
        <v>323</v>
      </c>
      <c r="G3330" t="str" cm="1">
        <f t="array" ref="G3330" xml:space="preserve"> FindCountryName(F3330)</f>
        <v>Netherlands (the)</v>
      </c>
      <c r="H3330" s="1">
        <v>45256.637245370373</v>
      </c>
      <c r="I3330" s="1">
        <v>45256.637245370373</v>
      </c>
      <c r="J3330" s="1">
        <v>41956.310277777775</v>
      </c>
      <c r="K3330" cm="1">
        <f t="array" ref="K3330" xml:space="preserve"> sentimentCalc(C3330)</f>
        <v>2</v>
      </c>
      <c r="L3330" t="str" cm="1">
        <f t="array" ref="L3330" xml:space="preserve"> sentimentCategory(K3330)</f>
        <v>Positive</v>
      </c>
    </row>
    <row r="3331" spans="1:12">
      <c r="A3331" t="s">
        <v>322</v>
      </c>
      <c r="B3331" t="s">
        <v>321</v>
      </c>
      <c r="C3331" t="str" cm="1">
        <f t="array" ref="C3331" xml:space="preserve"> CleanText(B3331)</f>
        <v>lets hope its better than the last one</v>
      </c>
      <c r="D3331">
        <v>0</v>
      </c>
      <c r="E3331">
        <v>0</v>
      </c>
      <c r="F3331" t="s">
        <v>0</v>
      </c>
      <c r="G3331" t="str" cm="1">
        <f t="array" ref="G3331" xml:space="preserve"> FindCountryName(F3331)</f>
        <v>None</v>
      </c>
      <c r="H3331" s="1">
        <v>45256.624548611115</v>
      </c>
      <c r="I3331" s="1">
        <v>45256.624548611115</v>
      </c>
      <c r="J3331" s="1">
        <v>40808.398090277777</v>
      </c>
      <c r="K3331" cm="1">
        <f t="array" ref="K3331" xml:space="preserve"> sentimentCalc(C3331)</f>
        <v>4</v>
      </c>
      <c r="L3331" t="str" cm="1">
        <f t="array" ref="L3331" xml:space="preserve"> sentimentCategory(K3331)</f>
        <v>Positive</v>
      </c>
    </row>
    <row r="3332" spans="1:12">
      <c r="A3332" t="s">
        <v>320</v>
      </c>
      <c r="B3332" t="s">
        <v>319</v>
      </c>
      <c r="C3332" t="str" cm="1">
        <f t="array" ref="C3332" xml:space="preserve"> CleanText(B3332)</f>
        <v>n</v>
      </c>
      <c r="D3332">
        <v>0</v>
      </c>
      <c r="E3332">
        <v>0</v>
      </c>
      <c r="F3332" t="s">
        <v>0</v>
      </c>
      <c r="G3332" t="str" cm="1">
        <f t="array" ref="G3332" xml:space="preserve"> FindCountryName(F3332)</f>
        <v>None</v>
      </c>
      <c r="H3332" s="1">
        <v>45256.624351851853</v>
      </c>
      <c r="I3332" s="1">
        <v>45256.624351851853</v>
      </c>
      <c r="J3332" s="1">
        <v>40531.353865740741</v>
      </c>
      <c r="K3332" cm="1">
        <f t="array" ref="K3332" xml:space="preserve"> sentimentCalc(C3332)</f>
        <v>0</v>
      </c>
      <c r="L3332" t="str" cm="1">
        <f t="array" ref="L3332" xml:space="preserve"> sentimentCategory(K3332)</f>
        <v>Neutral</v>
      </c>
    </row>
    <row r="3333" spans="1:12">
      <c r="A3333" t="s">
        <v>68</v>
      </c>
      <c r="B3333" t="s">
        <v>318</v>
      </c>
      <c r="C3333" t="str" cm="1">
        <f t="array" ref="C3333" xml:space="preserve"> CleanText(B3333)</f>
        <v>was looking for the same person avatar hang when he learned to bend the other  element</v>
      </c>
      <c r="D3333">
        <v>0</v>
      </c>
      <c r="E3333">
        <v>0</v>
      </c>
      <c r="F3333" t="s">
        <v>0</v>
      </c>
      <c r="G3333" t="str" cm="1">
        <f t="array" ref="G3333" xml:space="preserve"> FindCountryName(F3333)</f>
        <v>None</v>
      </c>
      <c r="H3333" s="1">
        <v>45256.618900462963</v>
      </c>
      <c r="I3333" s="1">
        <v>45256.618900462963</v>
      </c>
      <c r="J3333" s="1">
        <v>45255.724791666667</v>
      </c>
      <c r="K3333" cm="1">
        <f t="array" ref="K3333" xml:space="preserve"> sentimentCalc(C3333)</f>
        <v>0</v>
      </c>
      <c r="L3333" t="str" cm="1">
        <f t="array" ref="L3333" xml:space="preserve"> sentimentCategory(K3333)</f>
        <v>Neutral</v>
      </c>
    </row>
    <row r="3334" spans="1:12">
      <c r="A3334" t="s">
        <v>317</v>
      </c>
      <c r="B3334" t="s">
        <v>316</v>
      </c>
      <c r="C3334" t="str" cm="1">
        <f t="array" ref="C3334" xml:space="preserve"> CleanText(B3334)</f>
        <v>cant wait the movie was a huge disappointment so hoping this is done right</v>
      </c>
      <c r="D3334">
        <v>1</v>
      </c>
      <c r="E3334">
        <v>0</v>
      </c>
      <c r="F3334" t="s">
        <v>0</v>
      </c>
      <c r="G3334" t="str" cm="1">
        <f t="array" ref="G3334" xml:space="preserve"> FindCountryName(F3334)</f>
        <v>None</v>
      </c>
      <c r="H3334" s="1">
        <v>45256.610567129632</v>
      </c>
      <c r="I3334" s="1">
        <v>45256.610567129632</v>
      </c>
      <c r="J3334" s="1">
        <v>41206.825844907406</v>
      </c>
      <c r="K3334" cm="1">
        <f t="array" ref="K3334" xml:space="preserve"> sentimentCalc(C3334)</f>
        <v>1</v>
      </c>
      <c r="L3334" t="str" cm="1">
        <f t="array" ref="L3334" xml:space="preserve"> sentimentCategory(K3334)</f>
        <v>Positive</v>
      </c>
    </row>
    <row r="3335" spans="1:12">
      <c r="A3335" t="s">
        <v>315</v>
      </c>
      <c r="B3335" t="s">
        <v>314</v>
      </c>
      <c r="C3335" t="str" cm="1">
        <f t="array" ref="C3335" xml:space="preserve"> CleanText(B3335)</f>
        <v>im in fear the acting wont be good please prove me wrong i want this so bad haha</v>
      </c>
      <c r="D3335">
        <v>0</v>
      </c>
      <c r="E3335">
        <v>0</v>
      </c>
      <c r="F3335" t="s">
        <v>19</v>
      </c>
      <c r="G3335" t="str" cm="1">
        <f t="array" ref="G3335" xml:space="preserve"> FindCountryName(F3335)</f>
        <v>United States of America (the)</v>
      </c>
      <c r="H3335" s="1">
        <v>45256.607407407406</v>
      </c>
      <c r="I3335" s="1">
        <v>45256.607407407406</v>
      </c>
      <c r="J3335" s="1">
        <v>39342.66196759259</v>
      </c>
      <c r="K3335" cm="1">
        <f t="array" ref="K3335" xml:space="preserve"> sentimentCalc(C3335)</f>
        <v>-2</v>
      </c>
      <c r="L3335" t="str" cm="1">
        <f t="array" ref="L3335" xml:space="preserve"> sentimentCategory(K3335)</f>
        <v>Negative</v>
      </c>
    </row>
    <row r="3336" spans="1:12">
      <c r="A3336" t="s">
        <v>72</v>
      </c>
      <c r="B3336" t="s">
        <v>313</v>
      </c>
      <c r="C3336" t="str" cm="1">
        <f t="array" ref="C3336" xml:space="preserve"> CleanText(B3336)</f>
        <v>please dont please dont ruin the avatar</v>
      </c>
      <c r="D3336">
        <v>0</v>
      </c>
      <c r="E3336">
        <v>0</v>
      </c>
      <c r="F3336" t="s">
        <v>0</v>
      </c>
      <c r="G3336" t="str" cm="1">
        <f t="array" ref="G3336" xml:space="preserve"> FindCountryName(F3336)</f>
        <v>None</v>
      </c>
      <c r="H3336" s="1">
        <v>45256.598240740743</v>
      </c>
      <c r="I3336" s="1">
        <v>45256.598240740743</v>
      </c>
      <c r="J3336" s="1">
        <v>45228.650266203702</v>
      </c>
      <c r="K3336" cm="1">
        <f t="array" ref="K3336" xml:space="preserve"> sentimentCalc(C3336)</f>
        <v>0</v>
      </c>
      <c r="L3336" t="str" cm="1">
        <f t="array" ref="L3336" xml:space="preserve"> sentimentCategory(K3336)</f>
        <v>Neutral</v>
      </c>
    </row>
    <row r="3337" spans="1:12">
      <c r="A3337" t="s">
        <v>225</v>
      </c>
      <c r="B3337" t="s">
        <v>312</v>
      </c>
      <c r="C3337" t="str" cm="1">
        <f t="array" ref="C3337" xml:space="preserve"> CleanText(B3337)</f>
        <v>now i am excited</v>
      </c>
      <c r="D3337">
        <v>0</v>
      </c>
      <c r="E3337">
        <v>0</v>
      </c>
      <c r="F3337" t="s">
        <v>0</v>
      </c>
      <c r="G3337" t="str" cm="1">
        <f t="array" ref="G3337" xml:space="preserve"> FindCountryName(F3337)</f>
        <v>None</v>
      </c>
      <c r="H3337" s="1">
        <v>45256.592719907407</v>
      </c>
      <c r="I3337" s="1">
        <v>45256.592719907407</v>
      </c>
      <c r="J3337" s="1">
        <v>42238.701342592591</v>
      </c>
      <c r="K3337" cm="1">
        <f t="array" ref="K3337" xml:space="preserve"> sentimentCalc(C3337)</f>
        <v>3</v>
      </c>
      <c r="L3337" t="str" cm="1">
        <f t="array" ref="L3337" xml:space="preserve"> sentimentCategory(K3337)</f>
        <v>Positive</v>
      </c>
    </row>
    <row r="3338" spans="1:12">
      <c r="A3338" t="s">
        <v>58</v>
      </c>
      <c r="B3338" t="s">
        <v>311</v>
      </c>
      <c r="C3338" t="str" cm="1">
        <f t="array" ref="C3338" xml:space="preserve"> CleanText(B3338)</f>
        <v>hey if you need a sifu hotman for next season i know just the person hit me up</v>
      </c>
      <c r="D3338">
        <v>0</v>
      </c>
      <c r="E3338">
        <v>0</v>
      </c>
      <c r="F3338" t="s">
        <v>0</v>
      </c>
      <c r="G3338" t="str" cm="1">
        <f t="array" ref="G3338" xml:space="preserve"> FindCountryName(F3338)</f>
        <v>None</v>
      </c>
      <c r="H3338" s="1">
        <v>45256.58253472222</v>
      </c>
      <c r="I3338" s="1">
        <v>45256.58253472222</v>
      </c>
      <c r="J3338" s="1">
        <v>40819.563113425924</v>
      </c>
      <c r="K3338" cm="1">
        <f t="array" ref="K3338" xml:space="preserve"> sentimentCalc(C3338)</f>
        <v>0</v>
      </c>
      <c r="L3338" t="str" cm="1">
        <f t="array" ref="L3338" xml:space="preserve"> sentimentCategory(K3338)</f>
        <v>Neutral</v>
      </c>
    </row>
    <row r="3339" spans="1:12">
      <c r="A3339" t="s">
        <v>310</v>
      </c>
      <c r="B3339" t="s">
        <v>309</v>
      </c>
      <c r="C3339" t="str" cm="1">
        <f t="array" ref="C3339" xml:space="preserve"> CleanText(B3339)</f>
        <v>das sieht ja echt fantastisch aus</v>
      </c>
      <c r="D3339">
        <v>0</v>
      </c>
      <c r="E3339">
        <v>0</v>
      </c>
      <c r="F3339" t="s">
        <v>0</v>
      </c>
      <c r="G3339" t="str" cm="1">
        <f t="array" ref="G3339" xml:space="preserve"> FindCountryName(F3339)</f>
        <v>None</v>
      </c>
      <c r="H3339" s="1">
        <v>45256.572777777779</v>
      </c>
      <c r="I3339" s="1">
        <v>45256.572777777779</v>
      </c>
      <c r="J3339" s="1">
        <v>44298.110775462963</v>
      </c>
      <c r="K3339" cm="1">
        <f t="array" ref="K3339" xml:space="preserve"> sentimentCalc(C3339)</f>
        <v>0</v>
      </c>
      <c r="L3339" t="str" cm="1">
        <f t="array" ref="L3339" xml:space="preserve"> sentimentCategory(K3339)</f>
        <v>Neutral</v>
      </c>
    </row>
    <row r="3340" spans="1:12">
      <c r="A3340" t="s">
        <v>308</v>
      </c>
      <c r="B3340" t="s">
        <v>307</v>
      </c>
      <c r="C3340" t="str" cm="1">
        <f t="array" ref="C3340" xml:space="preserve"> CleanText(B3340)</f>
        <v>where is toph</v>
      </c>
      <c r="D3340">
        <v>0</v>
      </c>
      <c r="E3340">
        <v>1</v>
      </c>
      <c r="F3340" t="s">
        <v>0</v>
      </c>
      <c r="G3340" t="str" cm="1">
        <f t="array" ref="G3340" xml:space="preserve"> FindCountryName(F3340)</f>
        <v>None</v>
      </c>
      <c r="H3340" s="1">
        <v>45256.568229166667</v>
      </c>
      <c r="I3340" s="1">
        <v>45256.568229166667</v>
      </c>
      <c r="J3340" s="1">
        <v>44855.138067129628</v>
      </c>
      <c r="K3340" cm="1">
        <f t="array" ref="K3340" xml:space="preserve"> sentimentCalc(C3340)</f>
        <v>0</v>
      </c>
      <c r="L3340" t="str" cm="1">
        <f t="array" ref="L3340" xml:space="preserve"> sentimentCategory(K3340)</f>
        <v>Neutral</v>
      </c>
    </row>
    <row r="3341" spans="1:12">
      <c r="A3341" t="s">
        <v>306</v>
      </c>
      <c r="B3341" t="s">
        <v>305</v>
      </c>
      <c r="C3341" t="str" cm="1">
        <f t="array" ref="C3341" xml:space="preserve"> CleanText(B3341)</f>
        <v>this trailer is already better than the movie</v>
      </c>
      <c r="D3341">
        <v>0</v>
      </c>
      <c r="E3341">
        <v>0</v>
      </c>
      <c r="F3341" t="s">
        <v>0</v>
      </c>
      <c r="G3341" t="str" cm="1">
        <f t="array" ref="G3341" xml:space="preserve"> FindCountryName(F3341)</f>
        <v>None</v>
      </c>
      <c r="H3341" s="1">
        <v>45256.566620370373</v>
      </c>
      <c r="I3341" s="1">
        <v>45256.566620370373</v>
      </c>
      <c r="J3341" s="1">
        <v>45134.734120370369</v>
      </c>
      <c r="K3341" cm="1">
        <f t="array" ref="K3341" xml:space="preserve"> sentimentCalc(C3341)</f>
        <v>2</v>
      </c>
      <c r="L3341" t="str" cm="1">
        <f t="array" ref="L3341" xml:space="preserve"> sentimentCategory(K3341)</f>
        <v>Positive</v>
      </c>
    </row>
    <row r="3342" spans="1:12">
      <c r="A3342" t="s">
        <v>304</v>
      </c>
      <c r="B3342" t="s">
        <v>303</v>
      </c>
      <c r="C3342" t="str" cm="1">
        <f t="array" ref="C3342" xml:space="preserve"> CleanText(B3342)</f>
        <v>they need to go ahead and start shooting season two and three asap to keep them young</v>
      </c>
      <c r="D3342">
        <v>4</v>
      </c>
      <c r="E3342">
        <v>0</v>
      </c>
      <c r="F3342" t="s">
        <v>0</v>
      </c>
      <c r="G3342" t="str" cm="1">
        <f t="array" ref="G3342" xml:space="preserve"> FindCountryName(F3342)</f>
        <v>None</v>
      </c>
      <c r="H3342" s="1">
        <v>45256.566331018519</v>
      </c>
      <c r="I3342" s="1">
        <v>45256.566331018519</v>
      </c>
      <c r="J3342" s="1">
        <v>38742.557002314818</v>
      </c>
      <c r="K3342" cm="1">
        <f t="array" ref="K3342" xml:space="preserve"> sentimentCalc(C3342)</f>
        <v>0</v>
      </c>
      <c r="L3342" t="str" cm="1">
        <f t="array" ref="L3342" xml:space="preserve"> sentimentCategory(K3342)</f>
        <v>Neutral</v>
      </c>
    </row>
    <row r="3343" spans="1:12">
      <c r="A3343" t="s">
        <v>231</v>
      </c>
      <c r="B3343" t="s">
        <v>302</v>
      </c>
      <c r="C3343" t="str" cm="1">
        <f t="array" ref="C3343" xml:space="preserve"> CleanText(B3343)</f>
        <v>they never said his name and im a little freaked</v>
      </c>
      <c r="D3343">
        <v>1</v>
      </c>
      <c r="E3343">
        <v>1</v>
      </c>
      <c r="F3343" t="s">
        <v>0</v>
      </c>
      <c r="G3343" t="str" cm="1">
        <f t="array" ref="G3343" xml:space="preserve"> FindCountryName(F3343)</f>
        <v>None</v>
      </c>
      <c r="H3343" s="1">
        <v>45256.559317129628</v>
      </c>
      <c r="I3343" s="1">
        <v>45256.559317129628</v>
      </c>
      <c r="J3343" s="1">
        <v>42171.961354166669</v>
      </c>
      <c r="K3343" cm="1">
        <f t="array" ref="K3343" xml:space="preserve"> sentimentCalc(C3343)</f>
        <v>0</v>
      </c>
      <c r="L3343" t="str" cm="1">
        <f t="array" ref="L3343" xml:space="preserve"> sentimentCategory(K3343)</f>
        <v>Neutral</v>
      </c>
    </row>
    <row r="3344" spans="1:12">
      <c r="A3344" t="s">
        <v>301</v>
      </c>
      <c r="B3344" t="s">
        <v>300</v>
      </c>
      <c r="C3344" t="str" cm="1">
        <f t="array" ref="C3344" xml:space="preserve"> CleanText(B3344)</f>
        <v>ahshhhhhhhhwhdnwbehsjhsjdhwjdhbwgwkahshwuwifbanjsiwhrnsviq</v>
      </c>
      <c r="D3344">
        <v>0</v>
      </c>
      <c r="E3344">
        <v>0</v>
      </c>
      <c r="F3344" t="s">
        <v>0</v>
      </c>
      <c r="G3344" t="str" cm="1">
        <f t="array" ref="G3344" xml:space="preserve"> FindCountryName(F3344)</f>
        <v>None</v>
      </c>
      <c r="H3344" s="1">
        <v>45256.551921296297</v>
      </c>
      <c r="I3344" s="1">
        <v>45256.551921296297</v>
      </c>
      <c r="J3344" s="1">
        <v>43044.574930555558</v>
      </c>
      <c r="K3344" cm="1">
        <f t="array" ref="K3344" xml:space="preserve"> sentimentCalc(C3344)</f>
        <v>0</v>
      </c>
      <c r="L3344" t="str" cm="1">
        <f t="array" ref="L3344" xml:space="preserve"> sentimentCategory(K3344)</f>
        <v>Neutral</v>
      </c>
    </row>
    <row r="3345" spans="1:12">
      <c r="A3345" t="s">
        <v>299</v>
      </c>
      <c r="B3345" t="s">
        <v>298</v>
      </c>
      <c r="C3345" t="str" cm="1">
        <f t="array" ref="C3345" xml:space="preserve"> CleanText(B3345)</f>
        <v>where did the blue lads go</v>
      </c>
      <c r="D3345">
        <v>0</v>
      </c>
      <c r="E3345">
        <v>0</v>
      </c>
      <c r="F3345" t="s">
        <v>0</v>
      </c>
      <c r="G3345" t="str" cm="1">
        <f t="array" ref="G3345" xml:space="preserve"> FindCountryName(F3345)</f>
        <v>None</v>
      </c>
      <c r="H3345" s="1">
        <v>45256.541620370372</v>
      </c>
      <c r="I3345" s="1">
        <v>45256.541620370372</v>
      </c>
      <c r="J3345" s="1">
        <v>44928.650011574071</v>
      </c>
      <c r="K3345" cm="1">
        <f t="array" ref="K3345" xml:space="preserve"> sentimentCalc(C3345)</f>
        <v>0</v>
      </c>
      <c r="L3345" t="str" cm="1">
        <f t="array" ref="L3345" xml:space="preserve"> sentimentCategory(K3345)</f>
        <v>Neutral</v>
      </c>
    </row>
    <row r="3346" spans="1:12">
      <c r="A3346" t="s">
        <v>297</v>
      </c>
      <c r="B3346" t="s">
        <v>296</v>
      </c>
      <c r="C3346" t="str" cm="1">
        <f t="array" ref="C3346" xml:space="preserve"> CleanText(B3346)</f>
        <v>waiting the epic battle from aang vs lord ozai</v>
      </c>
      <c r="D3346">
        <v>0</v>
      </c>
      <c r="E3346">
        <v>0</v>
      </c>
      <c r="F3346" t="s">
        <v>0</v>
      </c>
      <c r="G3346" t="str" cm="1">
        <f t="array" ref="G3346" xml:space="preserve"> FindCountryName(F3346)</f>
        <v>None</v>
      </c>
      <c r="H3346" s="1">
        <v>45256.516412037039</v>
      </c>
      <c r="I3346" s="1">
        <v>45256.516412037039</v>
      </c>
      <c r="J3346" s="1">
        <v>42443.429085648146</v>
      </c>
      <c r="K3346" cm="1">
        <f t="array" ref="K3346" xml:space="preserve"> sentimentCalc(C3346)</f>
        <v>-1</v>
      </c>
      <c r="L3346" t="str" cm="1">
        <f t="array" ref="L3346" xml:space="preserve"> sentimentCategory(K3346)</f>
        <v>Negative</v>
      </c>
    </row>
    <row r="3347" spans="1:12">
      <c r="A3347" t="s">
        <v>56</v>
      </c>
      <c r="B3347" t="s">
        <v>295</v>
      </c>
      <c r="C3347" t="str" cm="1">
        <f t="array" ref="C3347" xml:space="preserve"> CleanText(B3347)</f>
        <v>wow</v>
      </c>
      <c r="D3347">
        <v>0</v>
      </c>
      <c r="E3347">
        <v>0</v>
      </c>
      <c r="F3347" t="s">
        <v>0</v>
      </c>
      <c r="G3347" t="str" cm="1">
        <f t="array" ref="G3347" xml:space="preserve"> FindCountryName(F3347)</f>
        <v>None</v>
      </c>
      <c r="H3347" s="1">
        <v>45256.508877314816</v>
      </c>
      <c r="I3347" s="1">
        <v>45256.508877314816</v>
      </c>
      <c r="J3347" s="1">
        <v>42143.377951388888</v>
      </c>
      <c r="K3347" cm="1">
        <f t="array" ref="K3347" xml:space="preserve"> sentimentCalc(C3347)</f>
        <v>4</v>
      </c>
      <c r="L3347" t="str" cm="1">
        <f t="array" ref="L3347" xml:space="preserve"> sentimentCategory(K3347)</f>
        <v>Positive</v>
      </c>
    </row>
    <row r="3348" spans="1:12">
      <c r="A3348" t="s">
        <v>259</v>
      </c>
      <c r="B3348" t="s">
        <v>294</v>
      </c>
      <c r="C3348" t="str" cm="1">
        <f t="array" ref="C3348" xml:space="preserve"> CleanText(B3348)</f>
        <v>tone seems much too serious hopefully the trailer misrepresents the tone</v>
      </c>
      <c r="D3348">
        <v>0</v>
      </c>
      <c r="E3348">
        <v>0</v>
      </c>
      <c r="F3348" t="s">
        <v>0</v>
      </c>
      <c r="G3348" t="str" cm="1">
        <f t="array" ref="G3348" xml:space="preserve"> FindCountryName(F3348)</f>
        <v>None</v>
      </c>
      <c r="H3348" s="1">
        <v>45256.477233796293</v>
      </c>
      <c r="I3348" s="1">
        <v>45256.477233796293</v>
      </c>
      <c r="J3348" s="1">
        <v>39424.1246875</v>
      </c>
      <c r="K3348" cm="1">
        <f t="array" ref="K3348" xml:space="preserve"> sentimentCalc(C3348)</f>
        <v>2</v>
      </c>
      <c r="L3348" t="str" cm="1">
        <f t="array" ref="L3348" xml:space="preserve"> sentimentCategory(K3348)</f>
        <v>Positive</v>
      </c>
    </row>
    <row r="3349" spans="1:12">
      <c r="A3349" t="s">
        <v>293</v>
      </c>
      <c r="B3349" t="s">
        <v>292</v>
      </c>
      <c r="C3349" t="str" cm="1">
        <f t="array" ref="C3349" xml:space="preserve"> CleanText(B3349)</f>
        <v>i want this to have a darkserious tone but that doesnt mean it cant have beautiful and fun moments like the original series had</v>
      </c>
      <c r="D3349">
        <v>3</v>
      </c>
      <c r="E3349">
        <v>0</v>
      </c>
      <c r="F3349" t="s">
        <v>0</v>
      </c>
      <c r="G3349" t="str" cm="1">
        <f t="array" ref="G3349" xml:space="preserve"> FindCountryName(F3349)</f>
        <v>None</v>
      </c>
      <c r="H3349" s="1">
        <v>45256.453865740739</v>
      </c>
      <c r="I3349" s="1">
        <v>45256.453865740739</v>
      </c>
      <c r="J3349" s="1">
        <v>41553.98574074074</v>
      </c>
      <c r="K3349" cm="1">
        <f t="array" ref="K3349" xml:space="preserve"> sentimentCalc(C3349)</f>
        <v>10</v>
      </c>
      <c r="L3349" t="str" cm="1">
        <f t="array" ref="L3349" xml:space="preserve"> sentimentCategory(K3349)</f>
        <v>Positive</v>
      </c>
    </row>
    <row r="3350" spans="1:12">
      <c r="A3350" t="s">
        <v>291</v>
      </c>
      <c r="B3350" t="s">
        <v>90</v>
      </c>
      <c r="C3350" t="str" cm="1">
        <f t="array" ref="C3350" xml:space="preserve"> CleanText(B3350)</f>
        <v>is this a movie or a series</v>
      </c>
      <c r="D3350">
        <v>0</v>
      </c>
      <c r="E3350">
        <v>1</v>
      </c>
      <c r="F3350" t="s">
        <v>0</v>
      </c>
      <c r="G3350" t="str" cm="1">
        <f t="array" ref="G3350" xml:space="preserve"> FindCountryName(F3350)</f>
        <v>None</v>
      </c>
      <c r="H3350" s="1">
        <v>45256.453541666669</v>
      </c>
      <c r="I3350" s="1">
        <v>45256.453541666669</v>
      </c>
      <c r="J3350" s="1">
        <v>39972.914664351854</v>
      </c>
      <c r="K3350" cm="1">
        <f t="array" ref="K3350" xml:space="preserve"> sentimentCalc(C3350)</f>
        <v>0</v>
      </c>
      <c r="L3350" t="str" cm="1">
        <f t="array" ref="L3350" xml:space="preserve"> sentimentCategory(K3350)</f>
        <v>Neutral</v>
      </c>
    </row>
    <row r="3351" spans="1:12">
      <c r="A3351" t="s">
        <v>290</v>
      </c>
      <c r="B3351" t="s">
        <v>289</v>
      </c>
      <c r="C3351" t="str" cm="1">
        <f t="array" ref="C3351" xml:space="preserve"> CleanText(B3351)</f>
        <v>it better have even episode from the og series or make it make enough sense to give first time watchers something so understanding</v>
      </c>
      <c r="D3351">
        <v>0</v>
      </c>
      <c r="E3351">
        <v>0</v>
      </c>
      <c r="F3351" t="s">
        <v>0</v>
      </c>
      <c r="G3351" t="str" cm="1">
        <f t="array" ref="G3351" xml:space="preserve"> FindCountryName(F3351)</f>
        <v>None</v>
      </c>
      <c r="H3351" s="1">
        <v>45256.448506944442</v>
      </c>
      <c r="I3351" s="1">
        <v>45256.448506944442</v>
      </c>
      <c r="J3351" s="1">
        <v>41130.117534722223</v>
      </c>
      <c r="K3351" cm="1">
        <f t="array" ref="K3351" xml:space="preserve"> sentimentCalc(C3351)</f>
        <v>2</v>
      </c>
      <c r="L3351" t="str" cm="1">
        <f t="array" ref="L3351" xml:space="preserve"> sentimentCategory(K3351)</f>
        <v>Positive</v>
      </c>
    </row>
    <row r="3352" spans="1:12">
      <c r="A3352" t="s">
        <v>82</v>
      </c>
      <c r="B3352" t="s">
        <v>288</v>
      </c>
      <c r="C3352" t="str" cm="1">
        <f t="array" ref="C3352" xml:space="preserve"> CleanText(B3352)</f>
        <v>finallyyyyyy</v>
      </c>
      <c r="D3352">
        <v>0</v>
      </c>
      <c r="E3352">
        <v>0</v>
      </c>
      <c r="F3352" t="s">
        <v>0</v>
      </c>
      <c r="G3352" t="str" cm="1">
        <f t="array" ref="G3352" xml:space="preserve"> FindCountryName(F3352)</f>
        <v>None</v>
      </c>
      <c r="H3352" s="1">
        <v>45256.448182870372</v>
      </c>
      <c r="I3352" s="1">
        <v>45256.448182870372</v>
      </c>
      <c r="J3352" s="1">
        <v>42932.507175925923</v>
      </c>
      <c r="K3352" cm="1">
        <f t="array" ref="K3352" xml:space="preserve"> sentimentCalc(C3352)</f>
        <v>0</v>
      </c>
      <c r="L3352" t="str" cm="1">
        <f t="array" ref="L3352" xml:space="preserve"> sentimentCategory(K3352)</f>
        <v>Neutral</v>
      </c>
    </row>
    <row r="3353" spans="1:12">
      <c r="A3353" t="s">
        <v>286</v>
      </c>
      <c r="B3353" t="s">
        <v>287</v>
      </c>
      <c r="C3353" t="str" cm="1">
        <f t="array" ref="C3353" xml:space="preserve"> CleanText(B3353)</f>
        <v>please be that this new series lets us forget about the catastrophe that was made by m night shyamalan</v>
      </c>
      <c r="D3353">
        <v>1</v>
      </c>
      <c r="E3353">
        <v>0</v>
      </c>
      <c r="F3353" t="s">
        <v>0</v>
      </c>
      <c r="G3353" t="str" cm="1">
        <f t="array" ref="G3353" xml:space="preserve"> FindCountryName(F3353)</f>
        <v>None</v>
      </c>
      <c r="H3353" s="1">
        <v>45256.430069444446</v>
      </c>
      <c r="I3353" s="1">
        <v>45256.430069444446</v>
      </c>
      <c r="J3353" s="1">
        <v>39183.69803240741</v>
      </c>
      <c r="K3353" cm="1">
        <f t="array" ref="K3353" xml:space="preserve"> sentimentCalc(C3353)</f>
        <v>-3</v>
      </c>
      <c r="L3353" t="str" cm="1">
        <f t="array" ref="L3353" xml:space="preserve"> sentimentCategory(K3353)</f>
        <v>Negative</v>
      </c>
    </row>
    <row r="3354" spans="1:12">
      <c r="A3354" t="s">
        <v>286</v>
      </c>
      <c r="B3354" t="s">
        <v>285</v>
      </c>
      <c r="C3354" t="str" cm="1">
        <f t="array" ref="C3354" xml:space="preserve"> CleanText(B3354)</f>
        <v>well it already looks better</v>
      </c>
      <c r="D3354">
        <v>0</v>
      </c>
      <c r="E3354">
        <v>0</v>
      </c>
      <c r="F3354" t="s">
        <v>0</v>
      </c>
      <c r="G3354" t="str" cm="1">
        <f t="array" ref="G3354" xml:space="preserve"> FindCountryName(F3354)</f>
        <v>None</v>
      </c>
      <c r="H3354" s="1">
        <v>45256.403553240743</v>
      </c>
      <c r="I3354" s="1">
        <v>45256.403553240743</v>
      </c>
      <c r="J3354" s="1">
        <v>40484.601122685184</v>
      </c>
      <c r="K3354" cm="1">
        <f t="array" ref="K3354" xml:space="preserve"> sentimentCalc(C3354)</f>
        <v>2</v>
      </c>
      <c r="L3354" t="str" cm="1">
        <f t="array" ref="L3354" xml:space="preserve"> sentimentCategory(K3354)</f>
        <v>Positive</v>
      </c>
    </row>
    <row r="3355" spans="1:12">
      <c r="A3355" t="s">
        <v>284</v>
      </c>
      <c r="B3355" t="s">
        <v>283</v>
      </c>
      <c r="C3355" t="str" cm="1">
        <f t="array" ref="C3355" xml:space="preserve"> CleanText(B3355)</f>
        <v>is this a movie or a series</v>
      </c>
      <c r="D3355">
        <v>0</v>
      </c>
      <c r="E3355">
        <v>1</v>
      </c>
      <c r="F3355" t="s">
        <v>0</v>
      </c>
      <c r="G3355" t="str" cm="1">
        <f t="array" ref="G3355" xml:space="preserve"> FindCountryName(F3355)</f>
        <v>None</v>
      </c>
      <c r="H3355" s="1">
        <v>45256.40353009259</v>
      </c>
      <c r="I3355" s="1">
        <v>45256.40353009259</v>
      </c>
      <c r="J3355" s="1">
        <v>42624.670543981483</v>
      </c>
      <c r="K3355" cm="1">
        <f t="array" ref="K3355" xml:space="preserve"> sentimentCalc(C3355)</f>
        <v>0</v>
      </c>
      <c r="L3355" t="str" cm="1">
        <f t="array" ref="L3355" xml:space="preserve"> sentimentCategory(K3355)</f>
        <v>Neutral</v>
      </c>
    </row>
    <row r="3356" spans="1:12">
      <c r="A3356" t="s">
        <v>282</v>
      </c>
      <c r="B3356" t="s">
        <v>281</v>
      </c>
      <c r="C3356" t="str" cm="1">
        <f t="array" ref="C3356" xml:space="preserve"> CleanText(B3356)</f>
        <v>this looks exciting finally they made the avatar  the last airbender live action everything looks on the spot</v>
      </c>
      <c r="D3356">
        <v>1</v>
      </c>
      <c r="E3356">
        <v>0</v>
      </c>
      <c r="F3356" t="s">
        <v>0</v>
      </c>
      <c r="G3356" t="str" cm="1">
        <f t="array" ref="G3356" xml:space="preserve"> FindCountryName(F3356)</f>
        <v>None</v>
      </c>
      <c r="H3356" s="1">
        <v>45256.379664351851</v>
      </c>
      <c r="I3356" s="1">
        <v>45256.379664351851</v>
      </c>
      <c r="J3356" s="1">
        <v>43136.243194444447</v>
      </c>
      <c r="K3356" cm="1">
        <f t="array" ref="K3356" xml:space="preserve"> sentimentCalc(C3356)</f>
        <v>3</v>
      </c>
      <c r="L3356" t="str" cm="1">
        <f t="array" ref="L3356" xml:space="preserve"> sentimentCategory(K3356)</f>
        <v>Positive</v>
      </c>
    </row>
    <row r="3357" spans="1:12">
      <c r="A3357" t="s">
        <v>280</v>
      </c>
      <c r="B3357" t="s">
        <v>279</v>
      </c>
      <c r="C3357" t="str" cm="1">
        <f t="array" ref="C3357" xml:space="preserve"> CleanText(B3357)</f>
        <v>if only this teaser closed with directed by m night shyamalan based on a true story</v>
      </c>
      <c r="D3357">
        <v>0</v>
      </c>
      <c r="E3357">
        <v>0</v>
      </c>
      <c r="F3357" t="s">
        <v>0</v>
      </c>
      <c r="G3357" t="str" cm="1">
        <f t="array" ref="G3357" xml:space="preserve"> FindCountryName(F3357)</f>
        <v>None</v>
      </c>
      <c r="H3357" s="1">
        <v>45256.367407407408</v>
      </c>
      <c r="I3357" s="1">
        <v>45256.367407407408</v>
      </c>
      <c r="J3357" s="1">
        <v>39150.703923611109</v>
      </c>
      <c r="K3357" cm="1">
        <f t="array" ref="K3357" xml:space="preserve"> sentimentCalc(C3357)</f>
        <v>2</v>
      </c>
      <c r="L3357" t="str" cm="1">
        <f t="array" ref="L3357" xml:space="preserve"> sentimentCategory(K3357)</f>
        <v>Positive</v>
      </c>
    </row>
    <row r="3358" spans="1:12">
      <c r="A3358" t="s">
        <v>278</v>
      </c>
      <c r="B3358" t="s">
        <v>277</v>
      </c>
      <c r="C3358" t="str" cm="1">
        <f t="array" ref="C3358" xml:space="preserve"> CleanText(B3358)</f>
        <v>bad trailer bad dont you dare give me hope for a good live action avatar  i cant take another betrayal</v>
      </c>
      <c r="D3358">
        <v>0</v>
      </c>
      <c r="E3358">
        <v>0</v>
      </c>
      <c r="F3358" t="s">
        <v>0</v>
      </c>
      <c r="G3358" t="str" cm="1">
        <f t="array" ref="G3358" xml:space="preserve"> FindCountryName(F3358)</f>
        <v>None</v>
      </c>
      <c r="H3358" s="1">
        <v>45256.362442129626</v>
      </c>
      <c r="I3358" s="1">
        <v>45256.362442129626</v>
      </c>
      <c r="J3358" s="1">
        <v>39048.658831018518</v>
      </c>
      <c r="K3358" cm="1">
        <f t="array" ref="K3358" xml:space="preserve"> sentimentCalc(C3358)</f>
        <v>-4</v>
      </c>
      <c r="L3358" t="str" cm="1">
        <f t="array" ref="L3358" xml:space="preserve"> sentimentCategory(K3358)</f>
        <v>Negative</v>
      </c>
    </row>
    <row r="3359" spans="1:12">
      <c r="A3359" t="s">
        <v>276</v>
      </c>
      <c r="B3359" t="s">
        <v>275</v>
      </c>
      <c r="C3359" t="str" cm="1">
        <f t="array" ref="C3359" xml:space="preserve"> CleanText(B3359)</f>
        <v>netlfix is spoiling us</v>
      </c>
      <c r="D3359">
        <v>0</v>
      </c>
      <c r="E3359">
        <v>0</v>
      </c>
      <c r="F3359" t="s">
        <v>0</v>
      </c>
      <c r="G3359" t="str" cm="1">
        <f t="array" ref="G3359" xml:space="preserve"> FindCountryName(F3359)</f>
        <v>None</v>
      </c>
      <c r="H3359" s="1">
        <v>45256.355000000003</v>
      </c>
      <c r="I3359" s="1">
        <v>45256.355000000003</v>
      </c>
      <c r="J3359" s="1">
        <v>44915.33929398148</v>
      </c>
      <c r="K3359" cm="1">
        <f t="array" ref="K3359" xml:space="preserve"> sentimentCalc(C3359)</f>
        <v>0</v>
      </c>
      <c r="L3359" t="str" cm="1">
        <f t="array" ref="L3359" xml:space="preserve"> sentimentCategory(K3359)</f>
        <v>Neutral</v>
      </c>
    </row>
    <row r="3360" spans="1:12">
      <c r="A3360" t="s">
        <v>273</v>
      </c>
      <c r="B3360" t="s">
        <v>274</v>
      </c>
      <c r="C3360" t="str" cm="1">
        <f t="array" ref="C3360" xml:space="preserve"> CleanText(B3360)</f>
        <v>_xDC4F__xDC4F__xDC4F_ n</v>
      </c>
      <c r="D3360">
        <v>0</v>
      </c>
      <c r="E3360">
        <v>0</v>
      </c>
      <c r="F3360" t="s">
        <v>0</v>
      </c>
      <c r="G3360" t="str" cm="1">
        <f t="array" ref="G3360" xml:space="preserve"> FindCountryName(F3360)</f>
        <v>None</v>
      </c>
      <c r="H3360" s="1">
        <v>45256.32371527778</v>
      </c>
      <c r="I3360" s="1">
        <v>45256.32371527778</v>
      </c>
      <c r="J3360" s="1">
        <v>44585.899699074071</v>
      </c>
      <c r="K3360" cm="1">
        <f t="array" ref="K3360" xml:space="preserve"> sentimentCalc(C3360)</f>
        <v>0</v>
      </c>
      <c r="L3360" t="str" cm="1">
        <f t="array" ref="L3360" xml:space="preserve"> sentimentCategory(K3360)</f>
        <v>Neutral</v>
      </c>
    </row>
    <row r="3361" spans="1:12">
      <c r="A3361" t="s">
        <v>273</v>
      </c>
      <c r="B3361" t="s">
        <v>272</v>
      </c>
      <c r="C3361" t="str" cm="1">
        <f t="array" ref="C3361" xml:space="preserve"> CleanText(B3361)</f>
        <v>حه ئة دة _xDC4F__xDC4F_ n</v>
      </c>
      <c r="D3361">
        <v>0</v>
      </c>
      <c r="E3361">
        <v>0</v>
      </c>
      <c r="F3361" t="s">
        <v>0</v>
      </c>
      <c r="G3361" t="str" cm="1">
        <f t="array" ref="G3361" xml:space="preserve"> FindCountryName(F3361)</f>
        <v>None</v>
      </c>
      <c r="H3361" s="1">
        <v>45256.323611111111</v>
      </c>
      <c r="I3361" s="1">
        <v>45256.323611111111</v>
      </c>
      <c r="J3361" s="1">
        <v>44585.899699074071</v>
      </c>
      <c r="K3361" cm="1">
        <f t="array" ref="K3361" xml:space="preserve"> sentimentCalc(C3361)</f>
        <v>0</v>
      </c>
      <c r="L3361" t="str" cm="1">
        <f t="array" ref="L3361" xml:space="preserve"> sentimentCategory(K3361)</f>
        <v>Neutral</v>
      </c>
    </row>
    <row r="3362" spans="1:12">
      <c r="A3362" t="s">
        <v>271</v>
      </c>
      <c r="B3362" t="s">
        <v>270</v>
      </c>
      <c r="C3362" t="str" cm="1">
        <f t="array" ref="C3362" xml:space="preserve"> CleanText(B3362)</f>
        <v>my trailer is better</v>
      </c>
      <c r="D3362">
        <v>0</v>
      </c>
      <c r="E3362">
        <v>0</v>
      </c>
      <c r="F3362" t="s">
        <v>0</v>
      </c>
      <c r="G3362" t="str" cm="1">
        <f t="array" ref="G3362" xml:space="preserve"> FindCountryName(F3362)</f>
        <v>None</v>
      </c>
      <c r="H3362" s="1">
        <v>45256.309710648151</v>
      </c>
      <c r="I3362" s="1">
        <v>45256.309710648151</v>
      </c>
      <c r="J3362" s="1">
        <v>45248.597361111111</v>
      </c>
      <c r="K3362" cm="1">
        <f t="array" ref="K3362" xml:space="preserve"> sentimentCalc(C3362)</f>
        <v>2</v>
      </c>
      <c r="L3362" t="str" cm="1">
        <f t="array" ref="L3362" xml:space="preserve"> sentimentCategory(K3362)</f>
        <v>Positive</v>
      </c>
    </row>
    <row r="3363" spans="1:12">
      <c r="A3363" t="s">
        <v>269</v>
      </c>
      <c r="B3363" t="s">
        <v>268</v>
      </c>
      <c r="C3363" t="str" cm="1">
        <f t="array" ref="C3363" xml:space="preserve"> CleanText(B3363)</f>
        <v>this looks do good i only wish the trailer didnt show ozais face till the episode its revealed in like the original</v>
      </c>
      <c r="D3363">
        <v>1</v>
      </c>
      <c r="E3363">
        <v>0</v>
      </c>
      <c r="F3363" t="s">
        <v>0</v>
      </c>
      <c r="G3363" t="str" cm="1">
        <f t="array" ref="G3363" xml:space="preserve"> FindCountryName(F3363)</f>
        <v>None</v>
      </c>
      <c r="H3363" s="1">
        <v>45256.305439814816</v>
      </c>
      <c r="I3363" s="1">
        <v>45256.305439814816</v>
      </c>
      <c r="J3363" s="1">
        <v>42970.641377314816</v>
      </c>
      <c r="K3363" cm="1">
        <f t="array" ref="K3363" xml:space="preserve"> sentimentCalc(C3363)</f>
        <v>6</v>
      </c>
      <c r="L3363" t="str" cm="1">
        <f t="array" ref="L3363" xml:space="preserve"> sentimentCategory(K3363)</f>
        <v>Positive</v>
      </c>
    </row>
    <row r="3364" spans="1:12">
      <c r="A3364" t="s">
        <v>267</v>
      </c>
      <c r="B3364" t="s">
        <v>266</v>
      </c>
      <c r="C3364" t="str" cm="1">
        <f t="array" ref="C3364" xml:space="preserve"> CleanText(B3364)</f>
        <v>ga sabar nunggu ini rilis</v>
      </c>
      <c r="D3364">
        <v>0</v>
      </c>
      <c r="E3364">
        <v>0</v>
      </c>
      <c r="F3364" t="s">
        <v>0</v>
      </c>
      <c r="G3364" t="str" cm="1">
        <f t="array" ref="G3364" xml:space="preserve"> FindCountryName(F3364)</f>
        <v>None</v>
      </c>
      <c r="H3364" s="1">
        <v>45256.289583333331</v>
      </c>
      <c r="I3364" s="1">
        <v>45256.289583333331</v>
      </c>
      <c r="J3364" s="1">
        <v>45130.594097222223</v>
      </c>
      <c r="K3364" cm="1">
        <f t="array" ref="K3364" xml:space="preserve"> sentimentCalc(C3364)</f>
        <v>0</v>
      </c>
      <c r="L3364" t="str" cm="1">
        <f t="array" ref="L3364" xml:space="preserve"> sentimentCategory(K3364)</f>
        <v>Neutral</v>
      </c>
    </row>
    <row r="3365" spans="1:12">
      <c r="A3365" t="s">
        <v>82</v>
      </c>
      <c r="B3365" t="s">
        <v>265</v>
      </c>
      <c r="C3365" t="str" cm="1">
        <f t="array" ref="C3365" xml:space="preserve"> CleanText(B3365)</f>
        <v>this trailer alone is better than the entirety of that other movie that shall not be named</v>
      </c>
      <c r="D3365">
        <v>0</v>
      </c>
      <c r="E3365">
        <v>0</v>
      </c>
      <c r="F3365" t="s">
        <v>0</v>
      </c>
      <c r="G3365" t="str" cm="1">
        <f t="array" ref="G3365" xml:space="preserve"> FindCountryName(F3365)</f>
        <v>None</v>
      </c>
      <c r="H3365" s="1">
        <v>45256.279930555553</v>
      </c>
      <c r="I3365" s="1">
        <v>45256.279930555553</v>
      </c>
      <c r="J3365" s="1">
        <v>41959.550937499997</v>
      </c>
      <c r="K3365" cm="1">
        <f t="array" ref="K3365" xml:space="preserve"> sentimentCalc(C3365)</f>
        <v>0</v>
      </c>
      <c r="L3365" t="str" cm="1">
        <f t="array" ref="L3365" xml:space="preserve"> sentimentCategory(K3365)</f>
        <v>Neutral</v>
      </c>
    </row>
    <row r="3366" spans="1:12">
      <c r="A3366" t="s">
        <v>231</v>
      </c>
      <c r="B3366" t="s">
        <v>264</v>
      </c>
      <c r="C3366" t="str" cm="1">
        <f t="array" ref="C3366" xml:space="preserve"> CleanText(B3366)</f>
        <v>this cast actually looks promising the only characters that dont look like their cartoon counterparts are azula and iroh azula looks too soft and adorable while iroh looks like a kid with a beard other than that the cast looks great im excited for this series</v>
      </c>
      <c r="D3366">
        <v>8</v>
      </c>
      <c r="E3366">
        <v>4</v>
      </c>
      <c r="F3366" t="s">
        <v>112</v>
      </c>
      <c r="G3366" t="str" cm="1">
        <f t="array" ref="G3366" xml:space="preserve"> FindCountryName(F3366)</f>
        <v>Canada</v>
      </c>
      <c r="H3366" s="1">
        <v>45256.227210648147</v>
      </c>
      <c r="I3366" s="1">
        <v>45256.227210648147</v>
      </c>
      <c r="J3366" s="1">
        <v>41423.186493055553</v>
      </c>
      <c r="K3366" cm="1">
        <f t="array" ref="K3366" xml:space="preserve"> sentimentCalc(C3366)</f>
        <v>13</v>
      </c>
      <c r="L3366" t="str" cm="1">
        <f t="array" ref="L3366" xml:space="preserve"> sentimentCategory(K3366)</f>
        <v>Positive</v>
      </c>
    </row>
    <row r="3367" spans="1:12">
      <c r="A3367" t="s">
        <v>263</v>
      </c>
      <c r="B3367" t="s">
        <v>262</v>
      </c>
      <c r="C3367" t="str" cm="1">
        <f t="array" ref="C3367" xml:space="preserve"> CleanText(B3367)</f>
        <v>appa yip yip</v>
      </c>
      <c r="D3367">
        <v>0</v>
      </c>
      <c r="E3367">
        <v>0</v>
      </c>
      <c r="F3367" t="s">
        <v>0</v>
      </c>
      <c r="G3367" t="str" cm="1">
        <f t="array" ref="G3367" xml:space="preserve"> FindCountryName(F3367)</f>
        <v>None</v>
      </c>
      <c r="H3367" s="1">
        <v>45256.222534722219</v>
      </c>
      <c r="I3367" s="1">
        <v>45256.222534722219</v>
      </c>
      <c r="J3367" s="1">
        <v>44804.858749999999</v>
      </c>
      <c r="K3367" cm="1">
        <f t="array" ref="K3367" xml:space="preserve"> sentimentCalc(C3367)</f>
        <v>0</v>
      </c>
      <c r="L3367" t="str" cm="1">
        <f t="array" ref="L3367" xml:space="preserve"> sentimentCategory(K3367)</f>
        <v>Neutral</v>
      </c>
    </row>
    <row r="3368" spans="1:12">
      <c r="A3368" t="s">
        <v>261</v>
      </c>
      <c r="B3368" t="s">
        <v>260</v>
      </c>
      <c r="C3368" t="str" cm="1">
        <f t="array" ref="C3368" xml:space="preserve"> CleanText(B3368)</f>
        <v>about time i have been waiting for part  of this important show lets go baby lol</v>
      </c>
      <c r="D3368">
        <v>0</v>
      </c>
      <c r="E3368">
        <v>0</v>
      </c>
      <c r="F3368" t="s">
        <v>0</v>
      </c>
      <c r="G3368" t="str" cm="1">
        <f t="array" ref="G3368" xml:space="preserve"> FindCountryName(F3368)</f>
        <v>None</v>
      </c>
      <c r="H3368" s="1">
        <v>45256.216365740744</v>
      </c>
      <c r="I3368" s="1">
        <v>45256.216365740744</v>
      </c>
      <c r="J3368" s="1">
        <v>41498.248240740744</v>
      </c>
      <c r="K3368" cm="1">
        <f t="array" ref="K3368" xml:space="preserve"> sentimentCalc(C3368)</f>
        <v>2</v>
      </c>
      <c r="L3368" t="str" cm="1">
        <f t="array" ref="L3368" xml:space="preserve"> sentimentCategory(K3368)</f>
        <v>Positive</v>
      </c>
    </row>
    <row r="3369" spans="1:12">
      <c r="A3369" t="s">
        <v>259</v>
      </c>
      <c r="B3369" t="s">
        <v>258</v>
      </c>
      <c r="C3369" t="str" cm="1">
        <f t="array" ref="C3369" xml:space="preserve"> CleanText(B3369)</f>
        <v>i can not wait for avartar i hope it is as good as this trailer</v>
      </c>
      <c r="D3369">
        <v>0</v>
      </c>
      <c r="E3369">
        <v>0</v>
      </c>
      <c r="F3369" t="s">
        <v>0</v>
      </c>
      <c r="G3369" t="str" cm="1">
        <f t="array" ref="G3369" xml:space="preserve"> FindCountryName(F3369)</f>
        <v>None</v>
      </c>
      <c r="H3369" s="1">
        <v>45256.192326388889</v>
      </c>
      <c r="I3369" s="1">
        <v>45256.192326388889</v>
      </c>
      <c r="J3369" s="1">
        <v>45079.67119212963</v>
      </c>
      <c r="K3369" cm="1">
        <f t="array" ref="K3369" xml:space="preserve"> sentimentCalc(C3369)</f>
        <v>5</v>
      </c>
      <c r="L3369" t="str" cm="1">
        <f t="array" ref="L3369" xml:space="preserve"> sentimentCategory(K3369)</f>
        <v>Positive</v>
      </c>
    </row>
    <row r="3370" spans="1:12">
      <c r="A3370" t="s">
        <v>257</v>
      </c>
      <c r="B3370" t="s">
        <v>256</v>
      </c>
      <c r="C3370" t="str" cm="1">
        <f t="array" ref="C3370" xml:space="preserve"> CleanText(B3370)</f>
        <v>i hope they dont skip sokkas funny moments</v>
      </c>
      <c r="D3370">
        <v>0</v>
      </c>
      <c r="E3370">
        <v>0</v>
      </c>
      <c r="F3370" t="s">
        <v>0</v>
      </c>
      <c r="G3370" t="str" cm="1">
        <f t="array" ref="G3370" xml:space="preserve"> FindCountryName(F3370)</f>
        <v>None</v>
      </c>
      <c r="H3370" s="1">
        <v>45256.159907407404</v>
      </c>
      <c r="I3370" s="1">
        <v>45256.159907407404</v>
      </c>
      <c r="J3370" s="1">
        <v>42004.801527777781</v>
      </c>
      <c r="K3370" cm="1">
        <f t="array" ref="K3370" xml:space="preserve"> sentimentCalc(C3370)</f>
        <v>6</v>
      </c>
      <c r="L3370" t="str" cm="1">
        <f t="array" ref="L3370" xml:space="preserve"> sentimentCategory(K3370)</f>
        <v>Positive</v>
      </c>
    </row>
    <row r="3371" spans="1:12">
      <c r="A3371" t="s">
        <v>255</v>
      </c>
      <c r="B3371" t="s">
        <v>254</v>
      </c>
      <c r="C3371" t="str" cm="1">
        <f t="array" ref="C3371" xml:space="preserve"> CleanText(B3371)</f>
        <v>the vfx team salute</v>
      </c>
      <c r="D3371">
        <v>0</v>
      </c>
      <c r="E3371">
        <v>0</v>
      </c>
      <c r="F3371" t="s">
        <v>0</v>
      </c>
      <c r="G3371" t="str" cm="1">
        <f t="array" ref="G3371" xml:space="preserve"> FindCountryName(F3371)</f>
        <v>None</v>
      </c>
      <c r="H3371" s="1">
        <v>45256.121944444443</v>
      </c>
      <c r="I3371" s="1">
        <v>45256.121944444443</v>
      </c>
      <c r="J3371" s="1">
        <v>44163.454606481479</v>
      </c>
      <c r="K3371" cm="1">
        <f t="array" ref="K3371" xml:space="preserve"> sentimentCalc(C3371)</f>
        <v>0</v>
      </c>
      <c r="L3371" t="str" cm="1">
        <f t="array" ref="L3371" xml:space="preserve"> sentimentCategory(K3371)</f>
        <v>Neutral</v>
      </c>
    </row>
    <row r="3372" spans="1:12">
      <c r="A3372" t="s">
        <v>253</v>
      </c>
      <c r="B3372" t="s">
        <v>252</v>
      </c>
      <c r="C3372" t="str" cm="1">
        <f t="array" ref="C3372" xml:space="preserve"> CleanText(B3372)</f>
        <v>waiting for naruto to be in netflix</v>
      </c>
      <c r="D3372">
        <v>0</v>
      </c>
      <c r="E3372">
        <v>0</v>
      </c>
      <c r="F3372" t="s">
        <v>0</v>
      </c>
      <c r="G3372" t="str" cm="1">
        <f t="array" ref="G3372" xml:space="preserve"> FindCountryName(F3372)</f>
        <v>None</v>
      </c>
      <c r="H3372" s="1">
        <v>45256.113692129627</v>
      </c>
      <c r="I3372" s="1">
        <v>45256.113692129627</v>
      </c>
      <c r="J3372" s="1">
        <v>45026.876099537039</v>
      </c>
      <c r="K3372" cm="1">
        <f t="array" ref="K3372" xml:space="preserve"> sentimentCalc(C3372)</f>
        <v>0</v>
      </c>
      <c r="L3372" t="str" cm="1">
        <f t="array" ref="L3372" xml:space="preserve"> sentimentCategory(K3372)</f>
        <v>Neutral</v>
      </c>
    </row>
    <row r="3373" spans="1:12">
      <c r="A3373" t="s">
        <v>251</v>
      </c>
      <c r="B3373" t="s">
        <v>250</v>
      </c>
      <c r="C3373" t="str" cm="1">
        <f t="array" ref="C3373" xml:space="preserve"> CleanText(B3373)</f>
        <v>hopefully its no woke garbage</v>
      </c>
      <c r="D3373">
        <v>0</v>
      </c>
      <c r="E3373">
        <v>0</v>
      </c>
      <c r="F3373" t="s">
        <v>0</v>
      </c>
      <c r="G3373" t="str" cm="1">
        <f t="array" ref="G3373" xml:space="preserve"> FindCountryName(F3373)</f>
        <v>None</v>
      </c>
      <c r="H3373" s="1">
        <v>45256.109895833331</v>
      </c>
      <c r="I3373" s="1">
        <v>45256.109895833331</v>
      </c>
      <c r="J3373" s="1">
        <v>41908.133831018517</v>
      </c>
      <c r="K3373" cm="1">
        <f t="array" ref="K3373" xml:space="preserve"> sentimentCalc(C3373)</f>
        <v>1</v>
      </c>
      <c r="L3373" t="str" cm="1">
        <f t="array" ref="L3373" xml:space="preserve"> sentimentCategory(K3373)</f>
        <v>Positive</v>
      </c>
    </row>
    <row r="3374" spans="1:12">
      <c r="A3374" t="s">
        <v>249</v>
      </c>
      <c r="B3374" t="s">
        <v>248</v>
      </c>
      <c r="C3374" t="str" cm="1">
        <f t="array" ref="C3374" xml:space="preserve"> CleanText(B3374)</f>
        <v>i bet my money its as shit as the first one</v>
      </c>
      <c r="D3374">
        <v>0</v>
      </c>
      <c r="E3374">
        <v>0</v>
      </c>
      <c r="F3374" t="s">
        <v>0</v>
      </c>
      <c r="G3374" t="str" cm="1">
        <f t="array" ref="G3374" xml:space="preserve"> FindCountryName(F3374)</f>
        <v>None</v>
      </c>
      <c r="H3374" s="1">
        <v>45256.10597222222</v>
      </c>
      <c r="I3374" s="1">
        <v>45256.10597222222</v>
      </c>
      <c r="J3374" s="1">
        <v>43000.560636574075</v>
      </c>
      <c r="K3374" cm="1">
        <f t="array" ref="K3374" xml:space="preserve"> sentimentCalc(C3374)</f>
        <v>0</v>
      </c>
      <c r="L3374" t="str" cm="1">
        <f t="array" ref="L3374" xml:space="preserve"> sentimentCategory(K3374)</f>
        <v>Neutral</v>
      </c>
    </row>
    <row r="3375" spans="1:12">
      <c r="A3375" t="s">
        <v>247</v>
      </c>
      <c r="B3375" t="s">
        <v>246</v>
      </c>
      <c r="C3375" t="str" cm="1">
        <f t="array" ref="C3375" xml:space="preserve"> CleanText(B3375)</f>
        <v>i cant believe it _xDD7A_</v>
      </c>
      <c r="D3375">
        <v>0</v>
      </c>
      <c r="E3375">
        <v>0</v>
      </c>
      <c r="F3375" t="s">
        <v>0</v>
      </c>
      <c r="G3375" t="str" cm="1">
        <f t="array" ref="G3375" xml:space="preserve"> FindCountryName(F3375)</f>
        <v>None</v>
      </c>
      <c r="H3375" s="1">
        <v>45256.105104166665</v>
      </c>
      <c r="I3375" s="1">
        <v>45256.105104166665</v>
      </c>
      <c r="J3375" s="1">
        <v>42269.523495370369</v>
      </c>
      <c r="K3375" cm="1">
        <f t="array" ref="K3375" xml:space="preserve"> sentimentCalc(C3375)</f>
        <v>0</v>
      </c>
      <c r="L3375" t="str" cm="1">
        <f t="array" ref="L3375" xml:space="preserve"> sentimentCategory(K3375)</f>
        <v>Neutral</v>
      </c>
    </row>
    <row r="3376" spans="1:12">
      <c r="A3376" t="s">
        <v>245</v>
      </c>
      <c r="B3376" t="s">
        <v>244</v>
      </c>
      <c r="C3376" t="str" cm="1">
        <f t="array" ref="C3376" xml:space="preserve"> CleanText(B3376)</f>
        <v>please do dragon ball z next</v>
      </c>
      <c r="D3376">
        <v>1</v>
      </c>
      <c r="E3376">
        <v>0</v>
      </c>
      <c r="F3376" t="s">
        <v>0</v>
      </c>
      <c r="G3376" t="str" cm="1">
        <f t="array" ref="G3376" xml:space="preserve"> FindCountryName(F3376)</f>
        <v>None</v>
      </c>
      <c r="H3376" s="1">
        <v>45256.102662037039</v>
      </c>
      <c r="I3376" s="1">
        <v>45256.102662037039</v>
      </c>
      <c r="J3376" s="1">
        <v>40819.772905092592</v>
      </c>
      <c r="K3376" cm="1">
        <f t="array" ref="K3376" xml:space="preserve"> sentimentCalc(C3376)</f>
        <v>1</v>
      </c>
      <c r="L3376" t="str" cm="1">
        <f t="array" ref="L3376" xml:space="preserve"> sentimentCategory(K3376)</f>
        <v>Positive</v>
      </c>
    </row>
    <row r="3377" spans="1:12">
      <c r="A3377" t="s">
        <v>243</v>
      </c>
      <c r="B3377" t="s">
        <v>242</v>
      </c>
      <c r="C3377" t="str" cm="1">
        <f t="array" ref="C3377" xml:space="preserve"> CleanText(B3377)</f>
        <v>the kyoshi warriors look amazing</v>
      </c>
      <c r="D3377">
        <v>0</v>
      </c>
      <c r="E3377">
        <v>0</v>
      </c>
      <c r="F3377" t="s">
        <v>0</v>
      </c>
      <c r="G3377" t="str" cm="1">
        <f t="array" ref="G3377" xml:space="preserve"> FindCountryName(F3377)</f>
        <v>None</v>
      </c>
      <c r="H3377" s="1">
        <v>45256.089004629626</v>
      </c>
      <c r="I3377" s="1">
        <v>45256.089004629626</v>
      </c>
      <c r="J3377" s="1">
        <v>41228.530949074076</v>
      </c>
      <c r="K3377" cm="1">
        <f t="array" ref="K3377" xml:space="preserve"> sentimentCalc(C3377)</f>
        <v>4</v>
      </c>
      <c r="L3377" t="str" cm="1">
        <f t="array" ref="L3377" xml:space="preserve"> sentimentCategory(K3377)</f>
        <v>Positive</v>
      </c>
    </row>
    <row r="3378" spans="1:12">
      <c r="A3378" t="s">
        <v>241</v>
      </c>
      <c r="B3378" t="s">
        <v>240</v>
      </c>
      <c r="C3378" t="str" cm="1">
        <f t="array" ref="C3378" xml:space="preserve"> CleanText(B3378)</f>
        <v>im so so so so excited great job looks so amazing</v>
      </c>
      <c r="D3378">
        <v>0</v>
      </c>
      <c r="E3378">
        <v>0</v>
      </c>
      <c r="F3378" t="s">
        <v>0</v>
      </c>
      <c r="G3378" t="str" cm="1">
        <f t="array" ref="G3378" xml:space="preserve"> FindCountryName(F3378)</f>
        <v>None</v>
      </c>
      <c r="H3378" s="1">
        <v>45256.086875000001</v>
      </c>
      <c r="I3378" s="1">
        <v>45256.086875000001</v>
      </c>
      <c r="J3378" s="1">
        <v>39617.496307870373</v>
      </c>
      <c r="K3378" cm="1">
        <f t="array" ref="K3378" xml:space="preserve"> sentimentCalc(C3378)</f>
        <v>10</v>
      </c>
      <c r="L3378" t="str" cm="1">
        <f t="array" ref="L3378" xml:space="preserve"> sentimentCategory(K3378)</f>
        <v>Positive</v>
      </c>
    </row>
    <row r="3379" spans="1:12">
      <c r="A3379" t="s">
        <v>239</v>
      </c>
      <c r="B3379" t="s">
        <v>238</v>
      </c>
      <c r="C3379" t="str" cm="1">
        <f t="array" ref="C3379" xml:space="preserve"> CleanText(B3379)</f>
        <v>they better not change or add any  romantic relationships</v>
      </c>
      <c r="D3379">
        <v>0</v>
      </c>
      <c r="E3379">
        <v>0</v>
      </c>
      <c r="F3379" t="s">
        <v>0</v>
      </c>
      <c r="G3379" t="str" cm="1">
        <f t="array" ref="G3379" xml:space="preserve"> FindCountryName(F3379)</f>
        <v>None</v>
      </c>
      <c r="H3379" s="1">
        <v>45256.082696759258</v>
      </c>
      <c r="I3379" s="1">
        <v>45256.082696759258</v>
      </c>
      <c r="J3379" s="1">
        <v>41473.541238425925</v>
      </c>
      <c r="K3379" cm="1">
        <f t="array" ref="K3379" xml:space="preserve"> sentimentCalc(C3379)</f>
        <v>2</v>
      </c>
      <c r="L3379" t="str" cm="1">
        <f t="array" ref="L3379" xml:space="preserve"> sentimentCategory(K3379)</f>
        <v>Positive</v>
      </c>
    </row>
    <row r="3380" spans="1:12">
      <c r="A3380" t="s">
        <v>237</v>
      </c>
      <c r="B3380" t="s">
        <v>236</v>
      </c>
      <c r="C3380" t="str" cm="1">
        <f t="array" ref="C3380" xml:space="preserve"> CleanText(B3380)</f>
        <v>they better not have  earth benders bending one rock again</v>
      </c>
      <c r="D3380">
        <v>2</v>
      </c>
      <c r="E3380">
        <v>0</v>
      </c>
      <c r="F3380" t="s">
        <v>0</v>
      </c>
      <c r="G3380" t="str" cm="1">
        <f t="array" ref="G3380" xml:space="preserve"> FindCountryName(F3380)</f>
        <v>None</v>
      </c>
      <c r="H3380" s="1">
        <v>45256.067314814813</v>
      </c>
      <c r="I3380" s="1">
        <v>45256.067314814813</v>
      </c>
      <c r="J3380" s="1">
        <v>40265.093460648146</v>
      </c>
      <c r="K3380" cm="1">
        <f t="array" ref="K3380" xml:space="preserve"> sentimentCalc(C3380)</f>
        <v>2</v>
      </c>
      <c r="L3380" t="str" cm="1">
        <f t="array" ref="L3380" xml:space="preserve"> sentimentCategory(K3380)</f>
        <v>Positive</v>
      </c>
    </row>
    <row r="3381" spans="1:12">
      <c r="A3381" t="s">
        <v>235</v>
      </c>
      <c r="B3381" t="s">
        <v>234</v>
      </c>
      <c r="C3381" t="str" cm="1">
        <f t="array" ref="C3381" xml:space="preserve"> CleanText(B3381)</f>
        <v>_xDCAF_ khng ni nhiu</v>
      </c>
      <c r="D3381">
        <v>0</v>
      </c>
      <c r="E3381">
        <v>0</v>
      </c>
      <c r="F3381" t="s">
        <v>0</v>
      </c>
      <c r="G3381" t="str" cm="1">
        <f t="array" ref="G3381" xml:space="preserve"> FindCountryName(F3381)</f>
        <v>None</v>
      </c>
      <c r="H3381" s="1">
        <v>45256.065833333334</v>
      </c>
      <c r="I3381" s="1">
        <v>45256.065833333334</v>
      </c>
      <c r="J3381" s="1">
        <v>44424.393912037034</v>
      </c>
      <c r="K3381" cm="1">
        <f t="array" ref="K3381" xml:space="preserve"> sentimentCalc(C3381)</f>
        <v>0</v>
      </c>
      <c r="L3381" t="str" cm="1">
        <f t="array" ref="L3381" xml:space="preserve"> sentimentCategory(K3381)</f>
        <v>Neutral</v>
      </c>
    </row>
    <row r="3382" spans="1:12">
      <c r="A3382" t="s">
        <v>233</v>
      </c>
      <c r="B3382" t="s">
        <v>232</v>
      </c>
      <c r="C3382" t="str" cm="1">
        <f t="array" ref="C3382" xml:space="preserve"> CleanText(B3382)</f>
        <v>will africa reach this stage of making beautiful movies</v>
      </c>
      <c r="D3382">
        <v>1</v>
      </c>
      <c r="E3382">
        <v>0</v>
      </c>
      <c r="F3382" t="s">
        <v>0</v>
      </c>
      <c r="G3382" t="str" cm="1">
        <f t="array" ref="G3382" xml:space="preserve"> FindCountryName(F3382)</f>
        <v>None</v>
      </c>
      <c r="H3382" s="1">
        <v>45256.035729166666</v>
      </c>
      <c r="I3382" s="1">
        <v>45256.035729166666</v>
      </c>
      <c r="J3382" s="1">
        <v>45052.569409722222</v>
      </c>
      <c r="K3382" cm="1">
        <f t="array" ref="K3382" xml:space="preserve"> sentimentCalc(C3382)</f>
        <v>4</v>
      </c>
      <c r="L3382" t="str" cm="1">
        <f t="array" ref="L3382" xml:space="preserve"> sentimentCategory(K3382)</f>
        <v>Positive</v>
      </c>
    </row>
    <row r="3383" spans="1:12">
      <c r="A3383" t="s">
        <v>231</v>
      </c>
      <c r="B3383" t="s">
        <v>230</v>
      </c>
      <c r="C3383" t="str" cm="1">
        <f t="array" ref="C3383" xml:space="preserve"> CleanText(B3383)</f>
        <v>perfect avatar film</v>
      </c>
      <c r="D3383">
        <v>0</v>
      </c>
      <c r="E3383">
        <v>0</v>
      </c>
      <c r="F3383" t="s">
        <v>0</v>
      </c>
      <c r="G3383" t="str" cm="1">
        <f t="array" ref="G3383" xml:space="preserve"> FindCountryName(F3383)</f>
        <v>None</v>
      </c>
      <c r="H3383" s="1">
        <v>45256.034247685187</v>
      </c>
      <c r="I3383" s="1">
        <v>45256.034247685187</v>
      </c>
      <c r="J3383" s="1">
        <v>44293.218356481484</v>
      </c>
      <c r="K3383" cm="1">
        <f t="array" ref="K3383" xml:space="preserve"> sentimentCalc(C3383)</f>
        <v>3</v>
      </c>
      <c r="L3383" t="str" cm="1">
        <f t="array" ref="L3383" xml:space="preserve"> sentimentCategory(K3383)</f>
        <v>Positive</v>
      </c>
    </row>
    <row r="3384" spans="1:12">
      <c r="A3384" t="s">
        <v>229</v>
      </c>
      <c r="B3384" t="s">
        <v>228</v>
      </c>
      <c r="C3384" t="str" cm="1">
        <f t="array" ref="C3384" xml:space="preserve"> CleanText(B3384)</f>
        <v>im hard bro</v>
      </c>
      <c r="D3384">
        <v>0</v>
      </c>
      <c r="E3384">
        <v>0</v>
      </c>
      <c r="F3384" t="s">
        <v>19</v>
      </c>
      <c r="G3384" t="str" cm="1">
        <f t="array" ref="G3384" xml:space="preserve"> FindCountryName(F3384)</f>
        <v>United States of America (the)</v>
      </c>
      <c r="H3384" s="1">
        <v>45256.033101851855</v>
      </c>
      <c r="I3384" s="1">
        <v>45256.033101851855</v>
      </c>
      <c r="J3384" s="1">
        <v>43934.821979166663</v>
      </c>
      <c r="K3384" cm="1">
        <f t="array" ref="K3384" xml:space="preserve"> sentimentCalc(C3384)</f>
        <v>-1</v>
      </c>
      <c r="L3384" t="str" cm="1">
        <f t="array" ref="L3384" xml:space="preserve"> sentimentCategory(K3384)</f>
        <v>Negative</v>
      </c>
    </row>
    <row r="3385" spans="1:12">
      <c r="A3385" t="s">
        <v>227</v>
      </c>
      <c r="B3385" t="s">
        <v>226</v>
      </c>
      <c r="C3385" t="str" cm="1">
        <f t="array" ref="C3385" xml:space="preserve"> CleanText(B3385)</f>
        <v>ugh</v>
      </c>
      <c r="D3385">
        <v>0</v>
      </c>
      <c r="E3385">
        <v>0</v>
      </c>
      <c r="F3385" t="s">
        <v>0</v>
      </c>
      <c r="G3385" t="str" cm="1">
        <f t="array" ref="G3385" xml:space="preserve"> FindCountryName(F3385)</f>
        <v>None</v>
      </c>
      <c r="H3385" s="1">
        <v>45256.031921296293</v>
      </c>
      <c r="I3385" s="1">
        <v>45256.031921296293</v>
      </c>
      <c r="J3385" s="1">
        <v>41597.798518518517</v>
      </c>
      <c r="K3385" cm="1">
        <f t="array" ref="K3385" xml:space="preserve"> sentimentCalc(C3385)</f>
        <v>0</v>
      </c>
      <c r="L3385" t="str" cm="1">
        <f t="array" ref="L3385" xml:space="preserve"> sentimentCategory(K3385)</f>
        <v>Neutral</v>
      </c>
    </row>
    <row r="3386" spans="1:12">
      <c r="A3386" t="s">
        <v>225</v>
      </c>
      <c r="B3386" t="s">
        <v>224</v>
      </c>
      <c r="C3386" t="str" cm="1">
        <f t="array" ref="C3386" xml:space="preserve"> CleanText(B3386)</f>
        <v>cant believe it took this long for a liveaction of avatar the last airbender to come out</v>
      </c>
      <c r="D3386">
        <v>0</v>
      </c>
      <c r="E3386">
        <v>0</v>
      </c>
      <c r="F3386" t="s">
        <v>0</v>
      </c>
      <c r="G3386" t="str" cm="1">
        <f t="array" ref="G3386" xml:space="preserve"> FindCountryName(F3386)</f>
        <v>None</v>
      </c>
      <c r="H3386" s="1">
        <v>45256.028391203705</v>
      </c>
      <c r="I3386" s="1">
        <v>45256.028391203705</v>
      </c>
      <c r="J3386" s="1">
        <v>42910.62127314815</v>
      </c>
      <c r="K3386" cm="1">
        <f t="array" ref="K3386" xml:space="preserve"> sentimentCalc(C3386)</f>
        <v>0</v>
      </c>
      <c r="L3386" t="str" cm="1">
        <f t="array" ref="L3386" xml:space="preserve"> sentimentCategory(K3386)</f>
        <v>Neutral</v>
      </c>
    </row>
    <row r="3387" spans="1:12">
      <c r="A3387" t="s">
        <v>223</v>
      </c>
      <c r="B3387" t="s">
        <v>222</v>
      </c>
      <c r="C3387" t="str" cm="1">
        <f t="array" ref="C3387" xml:space="preserve"> CleanText(B3387)</f>
        <v>the fire bending looks way better than the film that shall not be named now can we get some goddanm comedy please</v>
      </c>
      <c r="D3387">
        <v>0</v>
      </c>
      <c r="E3387">
        <v>1</v>
      </c>
      <c r="F3387" t="s">
        <v>0</v>
      </c>
      <c r="G3387" t="str" cm="1">
        <f t="array" ref="G3387" xml:space="preserve"> FindCountryName(F3387)</f>
        <v>None</v>
      </c>
      <c r="H3387" s="1">
        <v>45256.026261574072</v>
      </c>
      <c r="I3387" s="1">
        <v>45256.026261574072</v>
      </c>
      <c r="J3387" s="1">
        <v>39168.931840277779</v>
      </c>
      <c r="K3387" cm="1">
        <f t="array" ref="K3387" xml:space="preserve"> sentimentCalc(C3387)</f>
        <v>2</v>
      </c>
      <c r="L3387" t="str" cm="1">
        <f t="array" ref="L3387" xml:space="preserve"> sentimentCategory(K3387)</f>
        <v>Positive</v>
      </c>
    </row>
    <row r="3388" spans="1:12">
      <c r="A3388" t="s">
        <v>221</v>
      </c>
      <c r="B3388" t="s">
        <v>220</v>
      </c>
      <c r="C3388" t="str" cm="1">
        <f t="array" ref="C3388" xml:space="preserve"> CleanText(B3388)</f>
        <v>everytime netflix makes a live action they bomb it my expectations are not high lol</v>
      </c>
      <c r="D3388">
        <v>0</v>
      </c>
      <c r="E3388">
        <v>0</v>
      </c>
      <c r="F3388" t="s">
        <v>0</v>
      </c>
      <c r="G3388" t="str" cm="1">
        <f t="array" ref="G3388" xml:space="preserve"> FindCountryName(F3388)</f>
        <v>None</v>
      </c>
      <c r="H3388" s="1">
        <v>45256.018229166664</v>
      </c>
      <c r="I3388" s="1">
        <v>45256.018229166664</v>
      </c>
      <c r="J3388" s="1">
        <v>42587.640636574077</v>
      </c>
      <c r="K3388" cm="1">
        <f t="array" ref="K3388" xml:space="preserve"> sentimentCalc(C3388)</f>
        <v>-1</v>
      </c>
      <c r="L3388" t="str" cm="1">
        <f t="array" ref="L3388" xml:space="preserve"> sentimentCategory(K3388)</f>
        <v>Negative</v>
      </c>
    </row>
    <row r="3389" spans="1:12">
      <c r="A3389" t="s">
        <v>169</v>
      </c>
      <c r="B3389" t="s">
        <v>219</v>
      </c>
      <c r="C3389" t="str" cm="1">
        <f t="array" ref="C3389" xml:space="preserve"> CleanText(B3389)</f>
        <v>they made it exactly as a series this how it should be although characters look cringy</v>
      </c>
      <c r="D3389">
        <v>0</v>
      </c>
      <c r="E3389">
        <v>0</v>
      </c>
      <c r="F3389" t="s">
        <v>0</v>
      </c>
      <c r="G3389" t="str" cm="1">
        <f t="array" ref="G3389" xml:space="preserve"> FindCountryName(F3389)</f>
        <v>None</v>
      </c>
      <c r="H3389" s="1">
        <v>45256.017939814818</v>
      </c>
      <c r="I3389" s="1">
        <v>45256.017939814818</v>
      </c>
      <c r="J3389" s="1">
        <v>44926.363958333335</v>
      </c>
      <c r="K3389" cm="1">
        <f t="array" ref="K3389" xml:space="preserve"> sentimentCalc(C3389)</f>
        <v>0</v>
      </c>
      <c r="L3389" t="str" cm="1">
        <f t="array" ref="L3389" xml:space="preserve"> sentimentCategory(K3389)</f>
        <v>Neutral</v>
      </c>
    </row>
    <row r="3390" spans="1:12">
      <c r="A3390" t="s">
        <v>218</v>
      </c>
      <c r="B3390" t="s">
        <v>217</v>
      </c>
      <c r="C3390" t="str" cm="1">
        <f t="array" ref="C3390" xml:space="preserve"> CleanText(B3390)</f>
        <v>netflix needs to take over moveis</v>
      </c>
      <c r="D3390">
        <v>0</v>
      </c>
      <c r="E3390">
        <v>0</v>
      </c>
      <c r="F3390" t="s">
        <v>0</v>
      </c>
      <c r="G3390" t="str" cm="1">
        <f t="array" ref="G3390" xml:space="preserve"> FindCountryName(F3390)</f>
        <v>None</v>
      </c>
      <c r="H3390" s="1">
        <v>45256.015555555554</v>
      </c>
      <c r="I3390" s="1">
        <v>45256.015555555554</v>
      </c>
      <c r="J3390" s="1">
        <v>39795.761631944442</v>
      </c>
      <c r="K3390" cm="1">
        <f t="array" ref="K3390" xml:space="preserve"> sentimentCalc(C3390)</f>
        <v>0</v>
      </c>
      <c r="L3390" t="str" cm="1">
        <f t="array" ref="L3390" xml:space="preserve"> sentimentCategory(K3390)</f>
        <v>Neutral</v>
      </c>
    </row>
    <row r="3391" spans="1:12">
      <c r="A3391" t="s">
        <v>216</v>
      </c>
      <c r="B3391" t="s">
        <v>215</v>
      </c>
      <c r="C3391" t="str" cm="1">
        <f t="array" ref="C3391" xml:space="preserve"> CleanText(B3391)</f>
        <v>this is amazing i_xDE02__xDE02__xDE02_</v>
      </c>
      <c r="D3391">
        <v>0</v>
      </c>
      <c r="E3391">
        <v>0</v>
      </c>
      <c r="F3391" t="s">
        <v>0</v>
      </c>
      <c r="G3391" t="str" cm="1">
        <f t="array" ref="G3391" xml:space="preserve"> FindCountryName(F3391)</f>
        <v>None</v>
      </c>
      <c r="H3391" s="1">
        <v>45256.008831018517</v>
      </c>
      <c r="I3391" s="1">
        <v>45256.008831018517</v>
      </c>
      <c r="J3391" s="1">
        <v>45204.228993055556</v>
      </c>
      <c r="K3391" cm="1">
        <f t="array" ref="K3391" xml:space="preserve"> sentimentCalc(C3391)</f>
        <v>4</v>
      </c>
      <c r="L3391" t="str" cm="1">
        <f t="array" ref="L3391" xml:space="preserve"> sentimentCategory(K3391)</f>
        <v>Positive</v>
      </c>
    </row>
    <row r="3392" spans="1:12">
      <c r="A3392" t="s">
        <v>214</v>
      </c>
      <c r="B3392" t="s">
        <v>213</v>
      </c>
      <c r="C3392" t="str" cm="1">
        <f t="array" ref="C3392" xml:space="preserve"> CleanText(B3392)</f>
        <v>bow down</v>
      </c>
      <c r="D3392">
        <v>0</v>
      </c>
      <c r="E3392">
        <v>0</v>
      </c>
      <c r="F3392" t="s">
        <v>0</v>
      </c>
      <c r="G3392" t="str" cm="1">
        <f t="array" ref="G3392" xml:space="preserve"> FindCountryName(F3392)</f>
        <v>None</v>
      </c>
      <c r="H3392" s="1">
        <v>45255.976493055554</v>
      </c>
      <c r="I3392" s="1">
        <v>45255.976493055554</v>
      </c>
      <c r="J3392" s="1">
        <v>40541.044583333336</v>
      </c>
      <c r="K3392" cm="1">
        <f t="array" ref="K3392" xml:space="preserve"> sentimentCalc(C3392)</f>
        <v>0</v>
      </c>
      <c r="L3392" t="str" cm="1">
        <f t="array" ref="L3392" xml:space="preserve"> sentimentCategory(K3392)</f>
        <v>Neutral</v>
      </c>
    </row>
    <row r="3393" spans="1:12">
      <c r="A3393" t="s">
        <v>212</v>
      </c>
      <c r="B3393" t="s">
        <v>211</v>
      </c>
      <c r="C3393" t="str" cm="1">
        <f t="array" ref="C3393" xml:space="preserve"> CleanText(B3393)</f>
        <v>my names ong</v>
      </c>
      <c r="D3393">
        <v>1</v>
      </c>
      <c r="E3393">
        <v>0</v>
      </c>
      <c r="F3393" t="s">
        <v>0</v>
      </c>
      <c r="G3393" t="str" cm="1">
        <f t="array" ref="G3393" xml:space="preserve"> FindCountryName(F3393)</f>
        <v>None</v>
      </c>
      <c r="H3393" s="1">
        <v>45255.974270833336</v>
      </c>
      <c r="I3393" s="1">
        <v>45255.974270833336</v>
      </c>
      <c r="J3393" s="1">
        <v>45011.014884259261</v>
      </c>
      <c r="K3393" cm="1">
        <f t="array" ref="K3393" xml:space="preserve"> sentimentCalc(C3393)</f>
        <v>0</v>
      </c>
      <c r="L3393" t="str" cm="1">
        <f t="array" ref="L3393" xml:space="preserve"> sentimentCategory(K3393)</f>
        <v>Neutral</v>
      </c>
    </row>
    <row r="3394" spans="1:12">
      <c r="A3394" t="s">
        <v>210</v>
      </c>
      <c r="B3394" t="s">
        <v>209</v>
      </c>
      <c r="C3394" t="str" cm="1">
        <f t="array" ref="C3394" xml:space="preserve"> CleanText(B3394)</f>
        <v>its nice and all but katara and sokka dont look like katara and sokka at allllll they white washed them</v>
      </c>
      <c r="D3394">
        <v>1</v>
      </c>
      <c r="E3394">
        <v>0</v>
      </c>
      <c r="F3394" t="s">
        <v>19</v>
      </c>
      <c r="G3394" t="str" cm="1">
        <f t="array" ref="G3394" xml:space="preserve"> FindCountryName(F3394)</f>
        <v>United States of America (the)</v>
      </c>
      <c r="H3394" s="1">
        <v>45255.969097222223</v>
      </c>
      <c r="I3394" s="1">
        <v>45255.969097222223</v>
      </c>
      <c r="J3394" s="1">
        <v>44163.343993055554</v>
      </c>
      <c r="K3394" cm="1">
        <f t="array" ref="K3394" xml:space="preserve"> sentimentCalc(C3394)</f>
        <v>5</v>
      </c>
      <c r="L3394" t="str" cm="1">
        <f t="array" ref="L3394" xml:space="preserve"> sentimentCategory(K3394)</f>
        <v>Positive</v>
      </c>
    </row>
    <row r="3395" spans="1:12">
      <c r="A3395" t="s">
        <v>208</v>
      </c>
      <c r="B3395" t="s">
        <v>207</v>
      </c>
      <c r="C3395" t="str" cm="1">
        <f t="array" ref="C3395" xml:space="preserve"> CleanText(B3395)</f>
        <v>looking forward to it</v>
      </c>
      <c r="D3395">
        <v>1</v>
      </c>
      <c r="E3395">
        <v>0</v>
      </c>
      <c r="F3395" t="s">
        <v>0</v>
      </c>
      <c r="G3395" t="str" cm="1">
        <f t="array" ref="G3395" xml:space="preserve"> FindCountryName(F3395)</f>
        <v>None</v>
      </c>
      <c r="H3395" s="1">
        <v>45255.962083333332</v>
      </c>
      <c r="I3395" s="1">
        <v>45255.962083333332</v>
      </c>
      <c r="J3395" s="1">
        <v>45250.958472222221</v>
      </c>
      <c r="K3395" cm="1">
        <f t="array" ref="K3395" xml:space="preserve"> sentimentCalc(C3395)</f>
        <v>0</v>
      </c>
      <c r="L3395" t="str" cm="1">
        <f t="array" ref="L3395" xml:space="preserve"> sentimentCategory(K3395)</f>
        <v>Neutral</v>
      </c>
    </row>
    <row r="3396" spans="1:12">
      <c r="A3396" t="s">
        <v>206</v>
      </c>
      <c r="B3396" t="s">
        <v>205</v>
      </c>
      <c r="C3396" t="str" cm="1">
        <f t="array" ref="C3396" xml:space="preserve"> CleanText(B3396)</f>
        <v>oh my god oh my godddd</v>
      </c>
      <c r="D3396">
        <v>0</v>
      </c>
      <c r="E3396">
        <v>0</v>
      </c>
      <c r="F3396" t="s">
        <v>0</v>
      </c>
      <c r="G3396" t="str" cm="1">
        <f t="array" ref="G3396" xml:space="preserve"> FindCountryName(F3396)</f>
        <v>None</v>
      </c>
      <c r="H3396" s="1">
        <v>45255.951192129629</v>
      </c>
      <c r="I3396" s="1">
        <v>45255.951192129629</v>
      </c>
      <c r="J3396" s="1">
        <v>41980.781712962962</v>
      </c>
      <c r="K3396" cm="1">
        <f t="array" ref="K3396" xml:space="preserve"> sentimentCalc(C3396)</f>
        <v>1</v>
      </c>
      <c r="L3396" t="str" cm="1">
        <f t="array" ref="L3396" xml:space="preserve"> sentimentCategory(K3396)</f>
        <v>Positive</v>
      </c>
    </row>
    <row r="3397" spans="1:12">
      <c r="A3397" t="s">
        <v>204</v>
      </c>
      <c r="B3397" t="s">
        <v>203</v>
      </c>
      <c r="C3397" t="str" cm="1">
        <f t="array" ref="C3397" xml:space="preserve"> CleanText(B3397)</f>
        <v>that looks awesome well done better then what the movie looked like</v>
      </c>
      <c r="D3397">
        <v>0</v>
      </c>
      <c r="E3397">
        <v>0</v>
      </c>
      <c r="F3397" t="s">
        <v>0</v>
      </c>
      <c r="G3397" t="str" cm="1">
        <f t="array" ref="G3397" xml:space="preserve"> FindCountryName(F3397)</f>
        <v>None</v>
      </c>
      <c r="H3397" s="1">
        <v>45255.949224537035</v>
      </c>
      <c r="I3397" s="1">
        <v>45255.949224537035</v>
      </c>
      <c r="J3397" s="1">
        <v>40531.035115740742</v>
      </c>
      <c r="K3397" cm="1">
        <f t="array" ref="K3397" xml:space="preserve"> sentimentCalc(C3397)</f>
        <v>8</v>
      </c>
      <c r="L3397" t="str" cm="1">
        <f t="array" ref="L3397" xml:space="preserve"> sentimentCategory(K3397)</f>
        <v>Positive</v>
      </c>
    </row>
    <row r="3398" spans="1:12">
      <c r="A3398" t="s">
        <v>202</v>
      </c>
      <c r="B3398" t="s">
        <v>201</v>
      </c>
      <c r="C3398" t="str" cm="1">
        <f t="array" ref="C3398" xml:space="preserve"> CleanText(B3398)</f>
        <v>now we pray to the gods of anime and cinema that they have guided the hands of the producers please let this be good amen</v>
      </c>
      <c r="D3398">
        <v>0</v>
      </c>
      <c r="E3398">
        <v>1</v>
      </c>
      <c r="F3398" t="s">
        <v>0</v>
      </c>
      <c r="G3398" t="str" cm="1">
        <f t="array" ref="G3398" xml:space="preserve"> FindCountryName(F3398)</f>
        <v>None</v>
      </c>
      <c r="H3398" s="1">
        <v>45255.944594907407</v>
      </c>
      <c r="I3398" s="1">
        <v>45255.944594907407</v>
      </c>
      <c r="J3398" s="1">
        <v>41655.336793981478</v>
      </c>
      <c r="K3398" cm="1">
        <f t="array" ref="K3398" xml:space="preserve"> sentimentCalc(C3398)</f>
        <v>5</v>
      </c>
      <c r="L3398" t="str" cm="1">
        <f t="array" ref="L3398" xml:space="preserve"> sentimentCategory(K3398)</f>
        <v>Positive</v>
      </c>
    </row>
    <row r="3399" spans="1:12">
      <c r="A3399" t="s">
        <v>200</v>
      </c>
      <c r="B3399" t="s">
        <v>199</v>
      </c>
      <c r="C3399" t="str" cm="1">
        <f t="array" ref="C3399" xml:space="preserve"> CleanText(B3399)</f>
        <v>some things are never meant to be done we saw what happened last time</v>
      </c>
      <c r="D3399">
        <v>0</v>
      </c>
      <c r="E3399">
        <v>0</v>
      </c>
      <c r="F3399" t="s">
        <v>0</v>
      </c>
      <c r="G3399" t="str" cm="1">
        <f t="array" ref="G3399" xml:space="preserve"> FindCountryName(F3399)</f>
        <v>None</v>
      </c>
      <c r="H3399" s="1">
        <v>45255.934641203705</v>
      </c>
      <c r="I3399" s="1">
        <v>45255.934641203705</v>
      </c>
      <c r="J3399" s="1">
        <v>40589.720081018517</v>
      </c>
      <c r="K3399" cm="1">
        <f t="array" ref="K3399" xml:space="preserve"> sentimentCalc(C3399)</f>
        <v>0</v>
      </c>
      <c r="L3399" t="str" cm="1">
        <f t="array" ref="L3399" xml:space="preserve"> sentimentCategory(K3399)</f>
        <v>Neutral</v>
      </c>
    </row>
    <row r="3400" spans="1:12">
      <c r="A3400" t="s">
        <v>198</v>
      </c>
      <c r="B3400" t="s">
        <v>197</v>
      </c>
      <c r="C3400" t="str" cm="1">
        <f t="array" ref="C3400" xml:space="preserve"> CleanText(B3400)</f>
        <v>yay no ong</v>
      </c>
      <c r="D3400">
        <v>0</v>
      </c>
      <c r="E3400">
        <v>0</v>
      </c>
      <c r="F3400" t="s">
        <v>0</v>
      </c>
      <c r="G3400" t="str" cm="1">
        <f t="array" ref="G3400" xml:space="preserve"> FindCountryName(F3400)</f>
        <v>None</v>
      </c>
      <c r="H3400" s="1">
        <v>45255.926435185182</v>
      </c>
      <c r="I3400" s="1">
        <v>45255.926435185182</v>
      </c>
      <c r="J3400" s="1">
        <v>43202.697511574072</v>
      </c>
      <c r="K3400" cm="1">
        <f t="array" ref="K3400" xml:space="preserve"> sentimentCalc(C3400)</f>
        <v>-1</v>
      </c>
      <c r="L3400" t="str" cm="1">
        <f t="array" ref="L3400" xml:space="preserve"> sentimentCategory(K3400)</f>
        <v>Negative</v>
      </c>
    </row>
    <row r="3401" spans="1:12">
      <c r="A3401" t="s">
        <v>196</v>
      </c>
      <c r="B3401" t="s">
        <v>195</v>
      </c>
      <c r="C3401" t="str" cm="1">
        <f t="array" ref="C3401" xml:space="preserve"> CleanText(B3401)</f>
        <v>omg haganlo bien plsss</v>
      </c>
      <c r="D3401">
        <v>0</v>
      </c>
      <c r="E3401">
        <v>0</v>
      </c>
      <c r="F3401" t="s">
        <v>0</v>
      </c>
      <c r="G3401" t="str" cm="1">
        <f t="array" ref="G3401" xml:space="preserve"> FindCountryName(F3401)</f>
        <v>None</v>
      </c>
      <c r="H3401" s="1">
        <v>45255.922418981485</v>
      </c>
      <c r="I3401" s="1">
        <v>45255.922418981485</v>
      </c>
      <c r="J3401" s="1">
        <v>42568.554594907408</v>
      </c>
      <c r="K3401" cm="1">
        <f t="array" ref="K3401" xml:space="preserve"> sentimentCalc(C3401)</f>
        <v>0</v>
      </c>
      <c r="L3401" t="str" cm="1">
        <f t="array" ref="L3401" xml:space="preserve"> sentimentCategory(K3401)</f>
        <v>Neutral</v>
      </c>
    </row>
    <row r="3402" spans="1:12">
      <c r="A3402" t="s">
        <v>194</v>
      </c>
      <c r="B3402" t="s">
        <v>193</v>
      </c>
      <c r="C3402" t="str" cm="1">
        <f t="array" ref="C3402" xml:space="preserve"> CleanText(B3402)</f>
        <v>finally this looks more like it_xDE4C__xDD17_</v>
      </c>
      <c r="D3402">
        <v>0</v>
      </c>
      <c r="E3402">
        <v>0</v>
      </c>
      <c r="F3402" t="s">
        <v>0</v>
      </c>
      <c r="G3402" t="str" cm="1">
        <f t="array" ref="G3402" xml:space="preserve"> FindCountryName(F3402)</f>
        <v>None</v>
      </c>
      <c r="H3402" s="1">
        <v>45255.92224537037</v>
      </c>
      <c r="I3402" s="1">
        <v>45255.92224537037</v>
      </c>
      <c r="J3402" s="1">
        <v>40871.856898148151</v>
      </c>
      <c r="K3402" cm="1">
        <f t="array" ref="K3402" xml:space="preserve"> sentimentCalc(C3402)</f>
        <v>2</v>
      </c>
      <c r="L3402" t="str" cm="1">
        <f t="array" ref="L3402" xml:space="preserve"> sentimentCategory(K3402)</f>
        <v>Positive</v>
      </c>
    </row>
    <row r="3403" spans="1:12">
      <c r="A3403" t="s">
        <v>192</v>
      </c>
      <c r="B3403" t="s">
        <v>191</v>
      </c>
      <c r="C3403" t="str" cm="1">
        <f t="array" ref="C3403" xml:space="preserve"> CleanText(B3403)</f>
        <v>kya aapane kabhi kisi audio book par live action banane ke socha hai jasa shoorveer</v>
      </c>
      <c r="D3403">
        <v>1</v>
      </c>
      <c r="E3403">
        <v>0</v>
      </c>
      <c r="F3403" t="s">
        <v>0</v>
      </c>
      <c r="G3403" t="str" cm="1">
        <f t="array" ref="G3403" xml:space="preserve"> FindCountryName(F3403)</f>
        <v>None</v>
      </c>
      <c r="H3403" s="1">
        <v>45255.916666666664</v>
      </c>
      <c r="I3403" s="1">
        <v>45255.916666666664</v>
      </c>
      <c r="J3403" s="1">
        <v>45072.998900462961</v>
      </c>
      <c r="K3403" cm="1">
        <f t="array" ref="K3403" xml:space="preserve"> sentimentCalc(C3403)</f>
        <v>0</v>
      </c>
      <c r="L3403" t="str" cm="1">
        <f t="array" ref="L3403" xml:space="preserve"> sentimentCategory(K3403)</f>
        <v>Neutral</v>
      </c>
    </row>
    <row r="3404" spans="1:12">
      <c r="A3404" t="s">
        <v>190</v>
      </c>
      <c r="B3404" t="s">
        <v>189</v>
      </c>
      <c r="C3404" t="str" cm="1">
        <f t="array" ref="C3404" xml:space="preserve"> CleanText(B3404)</f>
        <v>this is what we wanted to see in the movie thank you netflix</v>
      </c>
      <c r="D3404">
        <v>0</v>
      </c>
      <c r="E3404">
        <v>0</v>
      </c>
      <c r="F3404" t="s">
        <v>0</v>
      </c>
      <c r="G3404" t="str" cm="1">
        <f t="array" ref="G3404" xml:space="preserve"> FindCountryName(F3404)</f>
        <v>None</v>
      </c>
      <c r="H3404" s="1">
        <v>45255.915266203701</v>
      </c>
      <c r="I3404" s="1">
        <v>45255.915266203701</v>
      </c>
      <c r="J3404" s="1">
        <v>44059.8122337963</v>
      </c>
      <c r="K3404" cm="1">
        <f t="array" ref="K3404" xml:space="preserve"> sentimentCalc(C3404)</f>
        <v>2</v>
      </c>
      <c r="L3404" t="str" cm="1">
        <f t="array" ref="L3404" xml:space="preserve"> sentimentCategory(K3404)</f>
        <v>Positive</v>
      </c>
    </row>
    <row r="3405" spans="1:12">
      <c r="A3405" t="s">
        <v>28</v>
      </c>
      <c r="B3405" t="s">
        <v>188</v>
      </c>
      <c r="C3405" t="str" cm="1">
        <f t="array" ref="C3405" xml:space="preserve"> CleanText(B3405)</f>
        <v>the true avatar</v>
      </c>
      <c r="D3405">
        <v>0</v>
      </c>
      <c r="E3405">
        <v>0</v>
      </c>
      <c r="F3405" t="s">
        <v>0</v>
      </c>
      <c r="G3405" t="str" cm="1">
        <f t="array" ref="G3405" xml:space="preserve"> FindCountryName(F3405)</f>
        <v>None</v>
      </c>
      <c r="H3405" s="1">
        <v>45255.902569444443</v>
      </c>
      <c r="I3405" s="1">
        <v>45255.902569444443</v>
      </c>
      <c r="J3405" s="1">
        <v>41757.976145833331</v>
      </c>
      <c r="K3405" cm="1">
        <f t="array" ref="K3405" xml:space="preserve"> sentimentCalc(C3405)</f>
        <v>2</v>
      </c>
      <c r="L3405" t="str" cm="1">
        <f t="array" ref="L3405" xml:space="preserve"> sentimentCategory(K3405)</f>
        <v>Positive</v>
      </c>
    </row>
    <row r="3406" spans="1:12">
      <c r="A3406" t="s">
        <v>187</v>
      </c>
      <c r="B3406" t="s">
        <v>186</v>
      </c>
      <c r="C3406" t="str" cm="1">
        <f t="array" ref="C3406" xml:space="preserve"> CleanText(B3406)</f>
        <v>istg if they call him oong</v>
      </c>
      <c r="D3406">
        <v>0</v>
      </c>
      <c r="E3406">
        <v>0</v>
      </c>
      <c r="F3406" t="s">
        <v>0</v>
      </c>
      <c r="G3406" t="str" cm="1">
        <f t="array" ref="G3406" xml:space="preserve"> FindCountryName(F3406)</f>
        <v>None</v>
      </c>
      <c r="H3406" s="1">
        <v>45255.895902777775</v>
      </c>
      <c r="I3406" s="1">
        <v>45255.895902777775</v>
      </c>
      <c r="J3406" s="1">
        <v>43577.711782407408</v>
      </c>
      <c r="K3406" cm="1">
        <f t="array" ref="K3406" xml:space="preserve"> sentimentCalc(C3406)</f>
        <v>0</v>
      </c>
      <c r="L3406" t="str" cm="1">
        <f t="array" ref="L3406" xml:space="preserve"> sentimentCategory(K3406)</f>
        <v>Neutral</v>
      </c>
    </row>
    <row r="3407" spans="1:12">
      <c r="A3407" t="s">
        <v>185</v>
      </c>
      <c r="B3407" t="s">
        <v>184</v>
      </c>
      <c r="C3407" t="str" cm="1">
        <f t="array" ref="C3407" xml:space="preserve"> CleanText(B3407)</f>
        <v>n</v>
      </c>
      <c r="D3407">
        <v>0</v>
      </c>
      <c r="E3407">
        <v>0</v>
      </c>
      <c r="F3407" t="s">
        <v>0</v>
      </c>
      <c r="G3407" t="str" cm="1">
        <f t="array" ref="G3407" xml:space="preserve"> FindCountryName(F3407)</f>
        <v>None</v>
      </c>
      <c r="H3407" s="1">
        <v>45255.867245370369</v>
      </c>
      <c r="I3407" s="1">
        <v>45255.867245370369</v>
      </c>
      <c r="J3407" s="1">
        <v>44208.48238425926</v>
      </c>
      <c r="K3407" cm="1">
        <f t="array" ref="K3407" xml:space="preserve"> sentimentCalc(C3407)</f>
        <v>0</v>
      </c>
      <c r="L3407" t="str" cm="1">
        <f t="array" ref="L3407" xml:space="preserve"> sentimentCategory(K3407)</f>
        <v>Neutral</v>
      </c>
    </row>
    <row r="3408" spans="1:12">
      <c r="A3408" t="s">
        <v>183</v>
      </c>
      <c r="B3408" t="s">
        <v>182</v>
      </c>
      <c r="C3408" t="str" cm="1">
        <f t="array" ref="C3408" xml:space="preserve"> CleanText(B3408)</f>
        <v>momooo apaaaaa 3</v>
      </c>
      <c r="D3408">
        <v>0</v>
      </c>
      <c r="E3408">
        <v>0</v>
      </c>
      <c r="F3408" t="s">
        <v>0</v>
      </c>
      <c r="G3408" t="str" cm="1">
        <f t="array" ref="G3408" xml:space="preserve"> FindCountryName(F3408)</f>
        <v>None</v>
      </c>
      <c r="H3408" s="1">
        <v>45255.853483796294</v>
      </c>
      <c r="I3408" s="1">
        <v>45255.853483796294</v>
      </c>
      <c r="J3408" s="1">
        <v>44777.978043981479</v>
      </c>
      <c r="K3408" cm="1">
        <f t="array" ref="K3408" xml:space="preserve"> sentimentCalc(C3408)</f>
        <v>0</v>
      </c>
      <c r="L3408" t="str" cm="1">
        <f t="array" ref="L3408" xml:space="preserve"> sentimentCategory(K3408)</f>
        <v>Neutral</v>
      </c>
    </row>
    <row r="3409" spans="1:12">
      <c r="A3409" t="s">
        <v>26</v>
      </c>
      <c r="B3409" t="s">
        <v>181</v>
      </c>
      <c r="C3409" t="str" cm="1">
        <f t="array" ref="C3409" xml:space="preserve"> CleanText(B3409)</f>
        <v>netflix plz dont fuk this</v>
      </c>
      <c r="D3409">
        <v>0</v>
      </c>
      <c r="E3409">
        <v>0</v>
      </c>
      <c r="F3409" t="s">
        <v>0</v>
      </c>
      <c r="G3409" t="str" cm="1">
        <f t="array" ref="G3409" xml:space="preserve"> FindCountryName(F3409)</f>
        <v>None</v>
      </c>
      <c r="H3409" s="1">
        <v>45255.852418981478</v>
      </c>
      <c r="I3409" s="1">
        <v>45255.852418981478</v>
      </c>
      <c r="J3409" s="1">
        <v>41258.019166666665</v>
      </c>
      <c r="K3409" cm="1">
        <f t="array" ref="K3409" xml:space="preserve"> sentimentCalc(C3409)</f>
        <v>0</v>
      </c>
      <c r="L3409" t="str" cm="1">
        <f t="array" ref="L3409" xml:space="preserve"> sentimentCategory(K3409)</f>
        <v>Neutral</v>
      </c>
    </row>
    <row r="3410" spans="1:12">
      <c r="A3410" t="s">
        <v>180</v>
      </c>
      <c r="B3410" t="s">
        <v>179</v>
      </c>
      <c r="C3410" t="str" cm="1">
        <f t="array" ref="C3410" xml:space="preserve"> CleanText(B3410)</f>
        <v>this trailer alone is thousands times better than that nightmare movie</v>
      </c>
      <c r="D3410">
        <v>1</v>
      </c>
      <c r="E3410">
        <v>0</v>
      </c>
      <c r="F3410" t="s">
        <v>0</v>
      </c>
      <c r="G3410" t="str" cm="1">
        <f t="array" ref="G3410" xml:space="preserve"> FindCountryName(F3410)</f>
        <v>None</v>
      </c>
      <c r="H3410" s="1">
        <v>45255.8128125</v>
      </c>
      <c r="I3410" s="1">
        <v>45255.8128125</v>
      </c>
      <c r="J3410" s="1">
        <v>44635.459849537037</v>
      </c>
      <c r="K3410" cm="1">
        <f t="array" ref="K3410" xml:space="preserve"> sentimentCalc(C3410)</f>
        <v>0</v>
      </c>
      <c r="L3410" t="str" cm="1">
        <f t="array" ref="L3410" xml:space="preserve"> sentimentCategory(K3410)</f>
        <v>Neutral</v>
      </c>
    </row>
    <row r="3411" spans="1:12">
      <c r="A3411" t="s">
        <v>178</v>
      </c>
      <c r="B3411" t="s">
        <v>177</v>
      </c>
      <c r="C3411" t="str" cm="1">
        <f t="array" ref="C3411" xml:space="preserve"> CleanText(B3411)</f>
        <v>i am not edging to this</v>
      </c>
      <c r="D3411">
        <v>0</v>
      </c>
      <c r="E3411">
        <v>0</v>
      </c>
      <c r="F3411" t="s">
        <v>0</v>
      </c>
      <c r="G3411" t="str" cm="1">
        <f t="array" ref="G3411" xml:space="preserve"> FindCountryName(F3411)</f>
        <v>None</v>
      </c>
      <c r="H3411" s="1">
        <v>45255.811041666668</v>
      </c>
      <c r="I3411" s="1">
        <v>45255.811041666668</v>
      </c>
      <c r="J3411" s="1">
        <v>44274.615543981483</v>
      </c>
      <c r="K3411" cm="1">
        <f t="array" ref="K3411" xml:space="preserve"> sentimentCalc(C3411)</f>
        <v>0</v>
      </c>
      <c r="L3411" t="str" cm="1">
        <f t="array" ref="L3411" xml:space="preserve"> sentimentCategory(K3411)</f>
        <v>Neutral</v>
      </c>
    </row>
    <row r="3412" spans="1:12">
      <c r="A3412" t="s">
        <v>30</v>
      </c>
      <c r="B3412" t="s">
        <v>176</v>
      </c>
      <c r="C3412" t="str" cm="1">
        <f t="array" ref="C3412" xml:space="preserve"> CleanText(B3412)</f>
        <v>no estoy llorando no estoy llorando</v>
      </c>
      <c r="D3412">
        <v>1</v>
      </c>
      <c r="E3412">
        <v>0</v>
      </c>
      <c r="F3412" t="s">
        <v>0</v>
      </c>
      <c r="G3412" t="str" cm="1">
        <f t="array" ref="G3412" xml:space="preserve"> FindCountryName(F3412)</f>
        <v>None</v>
      </c>
      <c r="H3412" s="1">
        <v>45255.80872685185</v>
      </c>
      <c r="I3412" s="1">
        <v>45255.80872685185</v>
      </c>
      <c r="J3412" s="1">
        <v>41733.038171296299</v>
      </c>
      <c r="K3412" cm="1">
        <f t="array" ref="K3412" xml:space="preserve"> sentimentCalc(C3412)</f>
        <v>-2</v>
      </c>
      <c r="L3412" t="str" cm="1">
        <f t="array" ref="L3412" xml:space="preserve"> sentimentCategory(K3412)</f>
        <v>Negative</v>
      </c>
    </row>
    <row r="3413" spans="1:12">
      <c r="A3413" t="s">
        <v>175</v>
      </c>
      <c r="B3413" t="s">
        <v>174</v>
      </c>
      <c r="C3413" t="str" cm="1">
        <f t="array" ref="C3413" xml:space="preserve"> CleanText(B3413)</f>
        <v>please let this be good it looks amazing</v>
      </c>
      <c r="D3413">
        <v>0</v>
      </c>
      <c r="E3413">
        <v>0</v>
      </c>
      <c r="F3413" t="s">
        <v>0</v>
      </c>
      <c r="G3413" t="str" cm="1">
        <f t="array" ref="G3413" xml:space="preserve"> FindCountryName(F3413)</f>
        <v>None</v>
      </c>
      <c r="H3413" s="1">
        <v>45255.807303240741</v>
      </c>
      <c r="I3413" s="1">
        <v>45255.807303240741</v>
      </c>
      <c r="J3413" s="1">
        <v>41484.764178240737</v>
      </c>
      <c r="K3413" cm="1">
        <f t="array" ref="K3413" xml:space="preserve"> sentimentCalc(C3413)</f>
        <v>8</v>
      </c>
      <c r="L3413" t="str" cm="1">
        <f t="array" ref="L3413" xml:space="preserve"> sentimentCategory(K3413)</f>
        <v>Positive</v>
      </c>
    </row>
    <row r="3414" spans="1:12">
      <c r="A3414" t="s">
        <v>173</v>
      </c>
      <c r="B3414" t="s">
        <v>172</v>
      </c>
      <c r="C3414" t="str" cm="1">
        <f t="array" ref="C3414" xml:space="preserve"> CleanText(B3414)</f>
        <v>why am i scared netflix will try to go woke and ruin it</v>
      </c>
      <c r="D3414">
        <v>0</v>
      </c>
      <c r="E3414">
        <v>0</v>
      </c>
      <c r="F3414" t="s">
        <v>0</v>
      </c>
      <c r="G3414" t="str" cm="1">
        <f t="array" ref="G3414" xml:space="preserve"> FindCountryName(F3414)</f>
        <v>None</v>
      </c>
      <c r="H3414" s="1">
        <v>45255.801481481481</v>
      </c>
      <c r="I3414" s="1">
        <v>45255.801481481481</v>
      </c>
      <c r="J3414" s="1">
        <v>39358.75037037037</v>
      </c>
      <c r="K3414" cm="1">
        <f t="array" ref="K3414" xml:space="preserve"> sentimentCalc(C3414)</f>
        <v>-4</v>
      </c>
      <c r="L3414" t="str" cm="1">
        <f t="array" ref="L3414" xml:space="preserve"> sentimentCategory(K3414)</f>
        <v>Negative</v>
      </c>
    </row>
    <row r="3415" spans="1:12">
      <c r="A3415" t="s">
        <v>171</v>
      </c>
      <c r="B3415" t="s">
        <v>170</v>
      </c>
      <c r="C3415" t="str" cm="1">
        <f t="array" ref="C3415" xml:space="preserve"> CleanText(B3415)</f>
        <v>i better see sokka trippin balls on cactus juice</v>
      </c>
      <c r="D3415">
        <v>2</v>
      </c>
      <c r="E3415">
        <v>0</v>
      </c>
      <c r="F3415" t="s">
        <v>0</v>
      </c>
      <c r="G3415" t="str" cm="1">
        <f t="array" ref="G3415" xml:space="preserve"> FindCountryName(F3415)</f>
        <v>None</v>
      </c>
      <c r="H3415" s="1">
        <v>45255.799837962964</v>
      </c>
      <c r="I3415" s="1">
        <v>45255.799837962964</v>
      </c>
      <c r="J3415" s="1">
        <v>44975.048067129632</v>
      </c>
      <c r="K3415" cm="1">
        <f t="array" ref="K3415" xml:space="preserve"> sentimentCalc(C3415)</f>
        <v>2</v>
      </c>
      <c r="L3415" t="str" cm="1">
        <f t="array" ref="L3415" xml:space="preserve"> sentimentCategory(K3415)</f>
        <v>Positive</v>
      </c>
    </row>
    <row r="3416" spans="1:12">
      <c r="A3416" t="s">
        <v>169</v>
      </c>
      <c r="B3416" t="s">
        <v>168</v>
      </c>
      <c r="C3416" t="str" cm="1">
        <f t="array" ref="C3416" xml:space="preserve"> CleanText(B3416)</f>
        <v>but why am i getting this freaky feelings that this is not the aang im looking forward to see so far im not seeing any playful and childish suggestions in this character _xDD14_</v>
      </c>
      <c r="D3416">
        <v>0</v>
      </c>
      <c r="E3416">
        <v>0</v>
      </c>
      <c r="F3416" t="s">
        <v>0</v>
      </c>
      <c r="G3416" t="str" cm="1">
        <f t="array" ref="G3416" xml:space="preserve"> FindCountryName(F3416)</f>
        <v>None</v>
      </c>
      <c r="H3416" s="1">
        <v>45255.799027777779</v>
      </c>
      <c r="I3416" s="1">
        <v>45255.799027777779</v>
      </c>
      <c r="J3416" s="1">
        <v>43488.832453703704</v>
      </c>
      <c r="K3416" cm="1">
        <f t="array" ref="K3416" xml:space="preserve"> sentimentCalc(C3416)</f>
        <v>0</v>
      </c>
      <c r="L3416" t="str" cm="1">
        <f t="array" ref="L3416" xml:space="preserve"> sentimentCategory(K3416)</f>
        <v>Neutral</v>
      </c>
    </row>
    <row r="3417" spans="1:12">
      <c r="A3417" t="s">
        <v>167</v>
      </c>
      <c r="B3417" t="s">
        <v>166</v>
      </c>
      <c r="C3417" t="str" cm="1">
        <f t="array" ref="C3417" xml:space="preserve"> CleanText(B3417)</f>
        <v>the actors kind of lame and not accurate enough</v>
      </c>
      <c r="D3417">
        <v>0</v>
      </c>
      <c r="E3417">
        <v>0</v>
      </c>
      <c r="F3417" t="s">
        <v>0</v>
      </c>
      <c r="G3417" t="str" cm="1">
        <f t="array" ref="G3417" xml:space="preserve"> FindCountryName(F3417)</f>
        <v>None</v>
      </c>
      <c r="H3417" s="1">
        <v>45255.792384259257</v>
      </c>
      <c r="I3417" s="1">
        <v>45255.792384259257</v>
      </c>
      <c r="J3417" s="1">
        <v>42183.713854166665</v>
      </c>
      <c r="K3417" cm="1">
        <f t="array" ref="K3417" xml:space="preserve"> sentimentCalc(C3417)</f>
        <v>0</v>
      </c>
      <c r="L3417" t="str" cm="1">
        <f t="array" ref="L3417" xml:space="preserve"> sentimentCategory(K3417)</f>
        <v>Neutral</v>
      </c>
    </row>
    <row r="3418" spans="1:12">
      <c r="A3418" t="s">
        <v>165</v>
      </c>
      <c r="B3418" t="s">
        <v>164</v>
      </c>
      <c r="C3418" t="str" cm="1">
        <f t="array" ref="C3418" xml:space="preserve"> CleanText(B3418)</f>
        <v>please dont f this one up</v>
      </c>
      <c r="D3418">
        <v>0</v>
      </c>
      <c r="E3418">
        <v>0</v>
      </c>
      <c r="F3418" t="s">
        <v>0</v>
      </c>
      <c r="G3418" t="str" cm="1">
        <f t="array" ref="G3418" xml:space="preserve"> FindCountryName(F3418)</f>
        <v>None</v>
      </c>
      <c r="H3418" s="1">
        <v>45255.767465277779</v>
      </c>
      <c r="I3418" s="1">
        <v>45255.767465277779</v>
      </c>
      <c r="J3418" s="1">
        <v>40605.014930555553</v>
      </c>
      <c r="K3418" cm="1">
        <f t="array" ref="K3418" xml:space="preserve"> sentimentCalc(C3418)</f>
        <v>1</v>
      </c>
      <c r="L3418" t="str" cm="1">
        <f t="array" ref="L3418" xml:space="preserve"> sentimentCategory(K3418)</f>
        <v>Positive</v>
      </c>
    </row>
    <row r="3419" spans="1:12">
      <c r="A3419" t="s">
        <v>86</v>
      </c>
      <c r="B3419" t="s">
        <v>163</v>
      </c>
      <c r="C3419" t="str" cm="1">
        <f t="array" ref="C3419" xml:space="preserve"> CleanText(B3419)</f>
        <v>yaaaasssssssomg i hope the remake every season</v>
      </c>
      <c r="D3419">
        <v>0</v>
      </c>
      <c r="E3419">
        <v>0</v>
      </c>
      <c r="F3419" t="s">
        <v>0</v>
      </c>
      <c r="G3419" t="str" cm="1">
        <f t="array" ref="G3419" xml:space="preserve"> FindCountryName(F3419)</f>
        <v>None</v>
      </c>
      <c r="H3419" s="1">
        <v>45255.762939814813</v>
      </c>
      <c r="I3419" s="1">
        <v>45255.762939814813</v>
      </c>
      <c r="J3419" s="1">
        <v>43371.610844907409</v>
      </c>
      <c r="K3419" cm="1">
        <f t="array" ref="K3419" xml:space="preserve"> sentimentCalc(C3419)</f>
        <v>2</v>
      </c>
      <c r="L3419" t="str" cm="1">
        <f t="array" ref="L3419" xml:space="preserve"> sentimentCategory(K3419)</f>
        <v>Positive</v>
      </c>
    </row>
    <row r="3420" spans="1:12">
      <c r="A3420" t="s">
        <v>162</v>
      </c>
      <c r="B3420" t="s">
        <v>161</v>
      </c>
      <c r="C3420" t="str" cm="1">
        <f t="array" ref="C3420" xml:space="preserve"> CleanText(B3420)</f>
        <v>oh god not again</v>
      </c>
      <c r="D3420">
        <v>0</v>
      </c>
      <c r="E3420">
        <v>0</v>
      </c>
      <c r="F3420" t="s">
        <v>0</v>
      </c>
      <c r="G3420" t="str" cm="1">
        <f t="array" ref="G3420" xml:space="preserve"> FindCountryName(F3420)</f>
        <v>None</v>
      </c>
      <c r="H3420" s="1">
        <v>45255.754305555558</v>
      </c>
      <c r="I3420" s="1">
        <v>45255.754305555558</v>
      </c>
      <c r="J3420" s="1">
        <v>41966.535428240742</v>
      </c>
      <c r="K3420" cm="1">
        <f t="array" ref="K3420" xml:space="preserve"> sentimentCalc(C3420)</f>
        <v>1</v>
      </c>
      <c r="L3420" t="str" cm="1">
        <f t="array" ref="L3420" xml:space="preserve"> sentimentCategory(K3420)</f>
        <v>Positive</v>
      </c>
    </row>
    <row r="3421" spans="1:12">
      <c r="A3421" t="s">
        <v>160</v>
      </c>
      <c r="B3421" t="s">
        <v>159</v>
      </c>
      <c r="C3421" t="str" cm="1">
        <f t="array" ref="C3421" xml:space="preserve"> CleanText(B3421)</f>
        <v>lets hope this is better than the last one</v>
      </c>
      <c r="D3421">
        <v>1</v>
      </c>
      <c r="E3421">
        <v>0</v>
      </c>
      <c r="F3421" t="s">
        <v>0</v>
      </c>
      <c r="G3421" t="str" cm="1">
        <f t="array" ref="G3421" xml:space="preserve"> FindCountryName(F3421)</f>
        <v>None</v>
      </c>
      <c r="H3421" s="1">
        <v>45255.743518518517</v>
      </c>
      <c r="I3421" s="1">
        <v>45255.743518518517</v>
      </c>
      <c r="J3421" s="1">
        <v>44929.141875000001</v>
      </c>
      <c r="K3421" cm="1">
        <f t="array" ref="K3421" xml:space="preserve"> sentimentCalc(C3421)</f>
        <v>4</v>
      </c>
      <c r="L3421" t="str" cm="1">
        <f t="array" ref="L3421" xml:space="preserve"> sentimentCategory(K3421)</f>
        <v>Positive</v>
      </c>
    </row>
    <row r="3422" spans="1:12">
      <c r="A3422" t="s">
        <v>158</v>
      </c>
      <c r="B3422" t="s">
        <v>157</v>
      </c>
      <c r="C3422" t="str" cm="1">
        <f t="array" ref="C3422" xml:space="preserve"> CleanText(B3422)</f>
        <v>well done netflix weeeell done</v>
      </c>
      <c r="D3422">
        <v>0</v>
      </c>
      <c r="E3422">
        <v>0</v>
      </c>
      <c r="F3422" t="s">
        <v>0</v>
      </c>
      <c r="G3422" t="str" cm="1">
        <f t="array" ref="G3422" xml:space="preserve"> FindCountryName(F3422)</f>
        <v>None</v>
      </c>
      <c r="H3422" s="1">
        <v>45255.736655092594</v>
      </c>
      <c r="I3422" s="1">
        <v>45255.736655092594</v>
      </c>
      <c r="J3422" s="1">
        <v>43949.303703703707</v>
      </c>
      <c r="K3422" cm="1">
        <f t="array" ref="K3422" xml:space="preserve"> sentimentCalc(C3422)</f>
        <v>0</v>
      </c>
      <c r="L3422" t="str" cm="1">
        <f t="array" ref="L3422" xml:space="preserve"> sentimentCategory(K3422)</f>
        <v>Neutral</v>
      </c>
    </row>
    <row r="3423" spans="1:12">
      <c r="A3423" t="s">
        <v>156</v>
      </c>
      <c r="B3423" t="s">
        <v>155</v>
      </c>
      <c r="C3423" t="str" cm="1">
        <f t="array" ref="C3423" xml:space="preserve"> CleanText(B3423)</f>
        <v>i love</v>
      </c>
      <c r="D3423">
        <v>0</v>
      </c>
      <c r="E3423">
        <v>0</v>
      </c>
      <c r="F3423" t="s">
        <v>0</v>
      </c>
      <c r="G3423" t="str" cm="1">
        <f t="array" ref="G3423" xml:space="preserve"> FindCountryName(F3423)</f>
        <v>None</v>
      </c>
      <c r="H3423" s="1">
        <v>45255.731539351851</v>
      </c>
      <c r="I3423" s="1">
        <v>45255.731539351851</v>
      </c>
      <c r="J3423" s="1">
        <v>39198.619837962964</v>
      </c>
      <c r="K3423" cm="1">
        <f t="array" ref="K3423" xml:space="preserve"> sentimentCalc(C3423)</f>
        <v>3</v>
      </c>
      <c r="L3423" t="str" cm="1">
        <f t="array" ref="L3423" xml:space="preserve"> sentimentCategory(K3423)</f>
        <v>Positive</v>
      </c>
    </row>
    <row r="3424" spans="1:12">
      <c r="A3424" t="s">
        <v>38</v>
      </c>
      <c r="B3424" t="s">
        <v>154</v>
      </c>
      <c r="C3424" t="str" cm="1">
        <f t="array" ref="C3424" xml:space="preserve"> CleanText(B3424)</f>
        <v>و     وح  س ع  صع   و   n</v>
      </c>
      <c r="D3424">
        <v>1</v>
      </c>
      <c r="E3424">
        <v>0</v>
      </c>
      <c r="F3424" t="s">
        <v>0</v>
      </c>
      <c r="G3424" t="str" cm="1">
        <f t="array" ref="G3424" xml:space="preserve"> FindCountryName(F3424)</f>
        <v>None</v>
      </c>
      <c r="H3424" s="1">
        <v>45255.729189814818</v>
      </c>
      <c r="I3424" s="1">
        <v>45255.729189814818</v>
      </c>
      <c r="J3424" s="1">
        <v>44913.090775462966</v>
      </c>
      <c r="K3424" cm="1">
        <f t="array" ref="K3424" xml:space="preserve"> sentimentCalc(C3424)</f>
        <v>0</v>
      </c>
      <c r="L3424" t="str" cm="1">
        <f t="array" ref="L3424" xml:space="preserve"> sentimentCategory(K3424)</f>
        <v>Neutral</v>
      </c>
    </row>
    <row r="3425" spans="1:12">
      <c r="A3425" t="s">
        <v>153</v>
      </c>
      <c r="B3425" t="s">
        <v>152</v>
      </c>
      <c r="C3425" t="str" cm="1">
        <f t="array" ref="C3425" xml:space="preserve"> CleanText(B3425)</f>
        <v>this is how the movie should have been</v>
      </c>
      <c r="D3425">
        <v>0</v>
      </c>
      <c r="E3425">
        <v>0</v>
      </c>
      <c r="F3425" t="s">
        <v>0</v>
      </c>
      <c r="G3425" t="str" cm="1">
        <f t="array" ref="G3425" xml:space="preserve"> FindCountryName(F3425)</f>
        <v>None</v>
      </c>
      <c r="H3425" s="1">
        <v>45255.721736111111</v>
      </c>
      <c r="I3425" s="1">
        <v>45255.721736111111</v>
      </c>
      <c r="J3425" s="1">
        <v>43110.778773148151</v>
      </c>
      <c r="K3425" cm="1">
        <f t="array" ref="K3425" xml:space="preserve"> sentimentCalc(C3425)</f>
        <v>0</v>
      </c>
      <c r="L3425" t="str" cm="1">
        <f t="array" ref="L3425" xml:space="preserve"> sentimentCategory(K3425)</f>
        <v>Neutral</v>
      </c>
    </row>
    <row r="3426" spans="1:12">
      <c r="A3426" t="s">
        <v>16</v>
      </c>
      <c r="B3426" t="s">
        <v>151</v>
      </c>
      <c r="C3426" t="str" cm="1">
        <f t="array" ref="C3426" xml:space="preserve"> CleanText(B3426)</f>
        <v>so far it looks a little less racist than the m night version</v>
      </c>
      <c r="D3426">
        <v>0</v>
      </c>
      <c r="E3426">
        <v>0</v>
      </c>
      <c r="F3426" t="s">
        <v>0</v>
      </c>
      <c r="G3426" t="str" cm="1">
        <f t="array" ref="G3426" xml:space="preserve"> FindCountryName(F3426)</f>
        <v>None</v>
      </c>
      <c r="H3426" s="1">
        <v>45255.717361111114</v>
      </c>
      <c r="I3426" s="1">
        <v>45255.717361111114</v>
      </c>
      <c r="J3426" s="1">
        <v>40262.69771990741</v>
      </c>
      <c r="K3426" cm="1">
        <f t="array" ref="K3426" xml:space="preserve"> sentimentCalc(C3426)</f>
        <v>-3</v>
      </c>
      <c r="L3426" t="str" cm="1">
        <f t="array" ref="L3426" xml:space="preserve"> sentimentCategory(K3426)</f>
        <v>Negative</v>
      </c>
    </row>
    <row r="3427" spans="1:12">
      <c r="A3427" t="s">
        <v>150</v>
      </c>
      <c r="B3427" t="s">
        <v>149</v>
      </c>
      <c r="C3427" t="str" cm="1">
        <f t="array" ref="C3427" xml:space="preserve"> CleanText(B3427)</f>
        <v>i airbend in the bath everyday no big deal</v>
      </c>
      <c r="D3427">
        <v>0</v>
      </c>
      <c r="E3427">
        <v>0</v>
      </c>
      <c r="F3427" t="s">
        <v>0</v>
      </c>
      <c r="G3427" t="str" cm="1">
        <f t="array" ref="G3427" xml:space="preserve"> FindCountryName(F3427)</f>
        <v>None</v>
      </c>
      <c r="H3427" s="1">
        <v>45255.717199074075</v>
      </c>
      <c r="I3427" s="1">
        <v>45255.717199074075</v>
      </c>
      <c r="J3427" s="1">
        <v>41720.69290509259</v>
      </c>
      <c r="K3427" cm="1">
        <f t="array" ref="K3427" xml:space="preserve"> sentimentCalc(C3427)</f>
        <v>0</v>
      </c>
      <c r="L3427" t="str" cm="1">
        <f t="array" ref="L3427" xml:space="preserve"> sentimentCategory(K3427)</f>
        <v>Neutral</v>
      </c>
    </row>
    <row r="3428" spans="1:12">
      <c r="A3428" t="s">
        <v>148</v>
      </c>
      <c r="B3428" t="s">
        <v>147</v>
      </c>
      <c r="C3428" t="str" cm="1">
        <f t="array" ref="C3428" xml:space="preserve"> CleanText(B3428)</f>
        <v>they gotta stop trying to make animes into liveaction</v>
      </c>
      <c r="D3428">
        <v>0</v>
      </c>
      <c r="E3428">
        <v>0</v>
      </c>
      <c r="F3428" t="s">
        <v>0</v>
      </c>
      <c r="G3428" t="str" cm="1">
        <f t="array" ref="G3428" xml:space="preserve"> FindCountryName(F3428)</f>
        <v>None</v>
      </c>
      <c r="H3428" s="1">
        <v>45255.696527777778</v>
      </c>
      <c r="I3428" s="1">
        <v>45255.696527777778</v>
      </c>
      <c r="J3428" s="1">
        <v>40910.291134259256</v>
      </c>
      <c r="K3428" cm="1">
        <f t="array" ref="K3428" xml:space="preserve"> sentimentCalc(C3428)</f>
        <v>-1</v>
      </c>
      <c r="L3428" t="str" cm="1">
        <f t="array" ref="L3428" xml:space="preserve"> sentimentCategory(K3428)</f>
        <v>Negative</v>
      </c>
    </row>
    <row r="3429" spans="1:12">
      <c r="A3429" t="s">
        <v>146</v>
      </c>
      <c r="B3429" t="s">
        <v>145</v>
      </c>
      <c r="C3429" t="str" cm="1">
        <f t="array" ref="C3429" xml:space="preserve"> CleanText(B3429)</f>
        <v>aang looks so small compared  to katara how they gonna do the future content</v>
      </c>
      <c r="D3429">
        <v>0</v>
      </c>
      <c r="E3429">
        <v>0</v>
      </c>
      <c r="F3429" t="s">
        <v>0</v>
      </c>
      <c r="G3429" t="str" cm="1">
        <f t="array" ref="G3429" xml:space="preserve"> FindCountryName(F3429)</f>
        <v>None</v>
      </c>
      <c r="H3429" s="1">
        <v>45255.687210648146</v>
      </c>
      <c r="I3429" s="1">
        <v>45255.687210648146</v>
      </c>
      <c r="J3429" s="1">
        <v>42823.766365740739</v>
      </c>
      <c r="K3429" cm="1">
        <f t="array" ref="K3429" xml:space="preserve"> sentimentCalc(C3429)</f>
        <v>0</v>
      </c>
      <c r="L3429" t="str" cm="1">
        <f t="array" ref="L3429" xml:space="preserve"> sentimentCategory(K3429)</f>
        <v>Neutral</v>
      </c>
    </row>
    <row r="3430" spans="1:12">
      <c r="A3430" t="s">
        <v>144</v>
      </c>
      <c r="B3430" t="s">
        <v>143</v>
      </c>
      <c r="C3430" t="str" cm="1">
        <f t="array" ref="C3430" xml:space="preserve"> CleanText(B3430)</f>
        <v>perfecto</v>
      </c>
      <c r="D3430">
        <v>0</v>
      </c>
      <c r="E3430">
        <v>0</v>
      </c>
      <c r="F3430" t="s">
        <v>0</v>
      </c>
      <c r="G3430" t="str" cm="1">
        <f t="array" ref="G3430" xml:space="preserve"> FindCountryName(F3430)</f>
        <v>None</v>
      </c>
      <c r="H3430" s="1">
        <v>45255.684282407405</v>
      </c>
      <c r="I3430" s="1">
        <v>45255.684282407405</v>
      </c>
      <c r="J3430" s="1">
        <v>42790.37872685185</v>
      </c>
      <c r="K3430" cm="1">
        <f t="array" ref="K3430" xml:space="preserve"> sentimentCalc(C3430)</f>
        <v>0</v>
      </c>
      <c r="L3430" t="str" cm="1">
        <f t="array" ref="L3430" xml:space="preserve"> sentimentCategory(K3430)</f>
        <v>Neutral</v>
      </c>
    </row>
    <row r="3431" spans="1:12">
      <c r="A3431" t="s">
        <v>30</v>
      </c>
      <c r="B3431" t="s">
        <v>142</v>
      </c>
      <c r="C3431" t="str" cm="1">
        <f t="array" ref="C3431" xml:space="preserve"> CleanText(B3431)</f>
        <v>already a vast improvement</v>
      </c>
      <c r="D3431">
        <v>0</v>
      </c>
      <c r="E3431">
        <v>0</v>
      </c>
      <c r="F3431" t="s">
        <v>0</v>
      </c>
      <c r="G3431" t="str" cm="1">
        <f t="array" ref="G3431" xml:space="preserve"> FindCountryName(F3431)</f>
        <v>None</v>
      </c>
      <c r="H3431" s="1">
        <v>45255.684108796297</v>
      </c>
      <c r="I3431" s="1">
        <v>45255.684108796297</v>
      </c>
      <c r="J3431" s="1">
        <v>42019.676215277781</v>
      </c>
      <c r="K3431" cm="1">
        <f t="array" ref="K3431" xml:space="preserve"> sentimentCalc(C3431)</f>
        <v>2</v>
      </c>
      <c r="L3431" t="str" cm="1">
        <f t="array" ref="L3431" xml:space="preserve"> sentimentCategory(K3431)</f>
        <v>Positive</v>
      </c>
    </row>
    <row r="3432" spans="1:12">
      <c r="A3432" t="s">
        <v>141</v>
      </c>
      <c r="B3432" t="s">
        <v>140</v>
      </c>
      <c r="C3432" t="str" cm="1">
        <f t="array" ref="C3432" xml:space="preserve"> CleanText(B3432)</f>
        <v>but why tho</v>
      </c>
      <c r="D3432">
        <v>0</v>
      </c>
      <c r="E3432">
        <v>0</v>
      </c>
      <c r="F3432" t="s">
        <v>0</v>
      </c>
      <c r="G3432" t="str" cm="1">
        <f t="array" ref="G3432" xml:space="preserve"> FindCountryName(F3432)</f>
        <v>None</v>
      </c>
      <c r="H3432" s="1">
        <v>45255.672546296293</v>
      </c>
      <c r="I3432" s="1">
        <v>45255.672546296293</v>
      </c>
      <c r="J3432" s="1">
        <v>41721.250150462962</v>
      </c>
      <c r="K3432" cm="1">
        <f t="array" ref="K3432" xml:space="preserve"> sentimentCalc(C3432)</f>
        <v>0</v>
      </c>
      <c r="L3432" t="str" cm="1">
        <f t="array" ref="L3432" xml:space="preserve"> sentimentCategory(K3432)</f>
        <v>Neutral</v>
      </c>
    </row>
    <row r="3433" spans="1:12">
      <c r="A3433" t="s">
        <v>139</v>
      </c>
      <c r="B3433" t="s">
        <v>138</v>
      </c>
      <c r="C3433" t="str" cm="1">
        <f t="array" ref="C3433" xml:space="preserve"> CleanText(B3433)</f>
        <v>good job netflix  keep it how it is original just like the story line if only disney did the same smh</v>
      </c>
      <c r="D3433">
        <v>0</v>
      </c>
      <c r="E3433">
        <v>0</v>
      </c>
      <c r="F3433" t="s">
        <v>0</v>
      </c>
      <c r="G3433" t="str" cm="1">
        <f t="array" ref="G3433" xml:space="preserve"> FindCountryName(F3433)</f>
        <v>None</v>
      </c>
      <c r="H3433" s="1">
        <v>45255.667453703703</v>
      </c>
      <c r="I3433" s="1">
        <v>45255.667453703703</v>
      </c>
      <c r="J3433" s="1">
        <v>42794.846342592595</v>
      </c>
      <c r="K3433" cm="1">
        <f t="array" ref="K3433" xml:space="preserve"> sentimentCalc(C3433)</f>
        <v>5</v>
      </c>
      <c r="L3433" t="str" cm="1">
        <f t="array" ref="L3433" xml:space="preserve"> sentimentCategory(K3433)</f>
        <v>Positive</v>
      </c>
    </row>
    <row r="3434" spans="1:12">
      <c r="A3434" t="s">
        <v>43</v>
      </c>
      <c r="B3434" t="s">
        <v>137</v>
      </c>
      <c r="C3434" t="str" cm="1">
        <f t="array" ref="C3434" xml:space="preserve"> CleanText(B3434)</f>
        <v>put a chick in it and make her gay</v>
      </c>
      <c r="D3434">
        <v>1</v>
      </c>
      <c r="E3434">
        <v>0</v>
      </c>
      <c r="F3434" t="s">
        <v>0</v>
      </c>
      <c r="G3434" t="str" cm="1">
        <f t="array" ref="G3434" xml:space="preserve"> FindCountryName(F3434)</f>
        <v>None</v>
      </c>
      <c r="H3434" s="1">
        <v>45255.660601851851</v>
      </c>
      <c r="I3434" s="1">
        <v>45255.660601851851</v>
      </c>
      <c r="J3434" s="1">
        <v>44528.56212962963</v>
      </c>
      <c r="K3434" cm="1">
        <f t="array" ref="K3434" xml:space="preserve"> sentimentCalc(C3434)</f>
        <v>0</v>
      </c>
      <c r="L3434" t="str" cm="1">
        <f t="array" ref="L3434" xml:space="preserve"> sentimentCategory(K3434)</f>
        <v>Neutral</v>
      </c>
    </row>
    <row r="3435" spans="1:12">
      <c r="A3435" t="s">
        <v>136</v>
      </c>
      <c r="B3435" t="s">
        <v>135</v>
      </c>
      <c r="C3435" t="str" cm="1">
        <f t="array" ref="C3435" xml:space="preserve"> CleanText(B3435)</f>
        <v>so were just supposed to pretend that the movie in 00 never came out _xDD14_</v>
      </c>
      <c r="D3435">
        <v>0</v>
      </c>
      <c r="E3435">
        <v>0</v>
      </c>
      <c r="F3435" t="s">
        <v>0</v>
      </c>
      <c r="G3435" t="str" cm="1">
        <f t="array" ref="G3435" xml:space="preserve"> FindCountryName(F3435)</f>
        <v>None</v>
      </c>
      <c r="H3435" s="1">
        <v>45255.660196759258</v>
      </c>
      <c r="I3435" s="1">
        <v>45255.660196759258</v>
      </c>
      <c r="J3435" s="1">
        <v>43259.847500000003</v>
      </c>
      <c r="K3435" cm="1">
        <f t="array" ref="K3435" xml:space="preserve"> sentimentCalc(C3435)</f>
        <v>-1</v>
      </c>
      <c r="L3435" t="str" cm="1">
        <f t="array" ref="L3435" xml:space="preserve"> sentimentCategory(K3435)</f>
        <v>Negative</v>
      </c>
    </row>
    <row r="3436" spans="1:12">
      <c r="A3436" t="s">
        <v>134</v>
      </c>
      <c r="B3436" t="s">
        <v>133</v>
      </c>
      <c r="C3436" t="str" cm="1">
        <f t="array" ref="C3436" xml:space="preserve"> CleanText(B3436)</f>
        <v>hopefully it would last longer than the cartoons</v>
      </c>
      <c r="D3436">
        <v>0</v>
      </c>
      <c r="E3436">
        <v>0</v>
      </c>
      <c r="F3436" t="s">
        <v>0</v>
      </c>
      <c r="G3436" t="str" cm="1">
        <f t="array" ref="G3436" xml:space="preserve"> FindCountryName(F3436)</f>
        <v>None</v>
      </c>
      <c r="H3436" s="1">
        <v>45255.642233796294</v>
      </c>
      <c r="I3436" s="1">
        <v>45255.642233796294</v>
      </c>
      <c r="J3436" s="1">
        <v>45168.26966435185</v>
      </c>
      <c r="K3436" cm="1">
        <f t="array" ref="K3436" xml:space="preserve"> sentimentCalc(C3436)</f>
        <v>2</v>
      </c>
      <c r="L3436" t="str" cm="1">
        <f t="array" ref="L3436" xml:space="preserve"> sentimentCategory(K3436)</f>
        <v>Positive</v>
      </c>
    </row>
    <row r="3437" spans="1:12">
      <c r="A3437" t="s">
        <v>132</v>
      </c>
      <c r="B3437" t="s">
        <v>131</v>
      </c>
      <c r="C3437" t="str" cm="1">
        <f t="array" ref="C3437" xml:space="preserve"> CleanText(B3437)</f>
        <v>wish they were brown</v>
      </c>
      <c r="D3437">
        <v>2</v>
      </c>
      <c r="E3437">
        <v>1</v>
      </c>
      <c r="F3437" t="s">
        <v>0</v>
      </c>
      <c r="G3437" t="str" cm="1">
        <f t="array" ref="G3437" xml:space="preserve"> FindCountryName(F3437)</f>
        <v>None</v>
      </c>
      <c r="H3437" s="1">
        <v>45255.639861111114</v>
      </c>
      <c r="I3437" s="1">
        <v>45255.639861111114</v>
      </c>
      <c r="J3437" s="1">
        <v>44351.792002314818</v>
      </c>
      <c r="K3437" cm="1">
        <f t="array" ref="K3437" xml:space="preserve"> sentimentCalc(C3437)</f>
        <v>1</v>
      </c>
      <c r="L3437" t="str" cm="1">
        <f t="array" ref="L3437" xml:space="preserve"> sentimentCategory(K3437)</f>
        <v>Positive</v>
      </c>
    </row>
    <row r="3438" spans="1:12">
      <c r="A3438" t="s">
        <v>130</v>
      </c>
      <c r="B3438" t="s">
        <v>129</v>
      </c>
      <c r="C3438" t="str" cm="1">
        <f t="array" ref="C3438" xml:space="preserve"> CleanText(B3438)</f>
        <v>please be good please be good please be good please be good please be good please be good please be good please be good please be good please be good please be good please be good please be good please be good please be good please be good please be good please be good please be good please be good please be good please be good please be good please be good</v>
      </c>
      <c r="D3438">
        <v>0</v>
      </c>
      <c r="E3438">
        <v>0</v>
      </c>
      <c r="F3438" t="s">
        <v>0</v>
      </c>
      <c r="G3438" t="str" cm="1">
        <f t="array" ref="G3438" xml:space="preserve"> FindCountryName(F3438)</f>
        <v>None</v>
      </c>
      <c r="H3438" s="1">
        <v>45255.636967592596</v>
      </c>
      <c r="I3438" s="1">
        <v>45255.636967592596</v>
      </c>
      <c r="J3438" s="1">
        <v>40612.825636574074</v>
      </c>
      <c r="K3438" cm="1">
        <f t="array" ref="K3438" xml:space="preserve"> sentimentCalc(C3438)</f>
        <v>96</v>
      </c>
      <c r="L3438" t="str" cm="1">
        <f t="array" ref="L3438" xml:space="preserve"> sentimentCategory(K3438)</f>
        <v>Positive</v>
      </c>
    </row>
    <row r="3439" spans="1:12">
      <c r="A3439" t="s">
        <v>128</v>
      </c>
      <c r="B3439" t="s">
        <v>127</v>
      </c>
      <c r="C3439" t="str" cm="1">
        <f t="array" ref="C3439" xml:space="preserve"> CleanText(B3439)</f>
        <v>finally</v>
      </c>
      <c r="D3439">
        <v>0</v>
      </c>
      <c r="E3439">
        <v>0</v>
      </c>
      <c r="F3439" t="s">
        <v>19</v>
      </c>
      <c r="G3439" t="str" cm="1">
        <f t="array" ref="G3439" xml:space="preserve"> FindCountryName(F3439)</f>
        <v>United States of America (the)</v>
      </c>
      <c r="H3439" s="1">
        <v>45255.630185185182</v>
      </c>
      <c r="I3439" s="1">
        <v>45255.630185185182</v>
      </c>
      <c r="J3439" s="1">
        <v>44849.673032407409</v>
      </c>
      <c r="K3439" cm="1">
        <f t="array" ref="K3439" xml:space="preserve"> sentimentCalc(C3439)</f>
        <v>0</v>
      </c>
      <c r="L3439" t="str" cm="1">
        <f t="array" ref="L3439" xml:space="preserve"> sentimentCategory(K3439)</f>
        <v>Neutral</v>
      </c>
    </row>
    <row r="3440" spans="1:12">
      <c r="A3440" t="s">
        <v>126</v>
      </c>
      <c r="B3440" t="s">
        <v>125</v>
      </c>
      <c r="C3440" t="str" cm="1">
        <f t="array" ref="C3440" xml:space="preserve"> CleanText(B3440)</f>
        <v>esse vai ser bom</v>
      </c>
      <c r="D3440">
        <v>1</v>
      </c>
      <c r="E3440">
        <v>0</v>
      </c>
      <c r="F3440" t="s">
        <v>124</v>
      </c>
      <c r="G3440" t="str" cm="1">
        <f t="array" ref="G3440" xml:space="preserve"> FindCountryName(F3440)</f>
        <v>Brazil</v>
      </c>
      <c r="H3440" s="1">
        <v>45255.624942129631</v>
      </c>
      <c r="I3440" s="1">
        <v>45255.624942129631</v>
      </c>
      <c r="J3440" s="1">
        <v>42816.464016203703</v>
      </c>
      <c r="K3440" cm="1">
        <f t="array" ref="K3440" xml:space="preserve"> sentimentCalc(C3440)</f>
        <v>0</v>
      </c>
      <c r="L3440" t="str" cm="1">
        <f t="array" ref="L3440" xml:space="preserve"> sentimentCategory(K3440)</f>
        <v>Neutral</v>
      </c>
    </row>
    <row r="3441" spans="1:12">
      <c r="A3441" t="s">
        <v>123</v>
      </c>
      <c r="B3441" t="s">
        <v>122</v>
      </c>
      <c r="C3441" t="str" cm="1">
        <f t="array" ref="C3441" xml:space="preserve"> CleanText(B3441)</f>
        <v>lets go  throw that other movie in the trash</v>
      </c>
      <c r="D3441">
        <v>0</v>
      </c>
      <c r="E3441">
        <v>0</v>
      </c>
      <c r="F3441" t="s">
        <v>0</v>
      </c>
      <c r="G3441" t="str" cm="1">
        <f t="array" ref="G3441" xml:space="preserve"> FindCountryName(F3441)</f>
        <v>None</v>
      </c>
      <c r="H3441" s="1">
        <v>45255.597141203703</v>
      </c>
      <c r="I3441" s="1">
        <v>45255.597141203703</v>
      </c>
      <c r="J3441" s="1">
        <v>45113.657754629632</v>
      </c>
      <c r="K3441" cm="1">
        <f t="array" ref="K3441" xml:space="preserve"> sentimentCalc(C3441)</f>
        <v>0</v>
      </c>
      <c r="L3441" t="str" cm="1">
        <f t="array" ref="L3441" xml:space="preserve"> sentimentCategory(K3441)</f>
        <v>Neutral</v>
      </c>
    </row>
    <row r="3442" spans="1:12">
      <c r="A3442" t="s">
        <v>121</v>
      </c>
      <c r="B3442" t="s">
        <v>120</v>
      </c>
      <c r="C3442" t="str" cm="1">
        <f t="array" ref="C3442" xml:space="preserve"> CleanText(B3442)</f>
        <v>yayy</v>
      </c>
      <c r="D3442">
        <v>0</v>
      </c>
      <c r="E3442">
        <v>0</v>
      </c>
      <c r="F3442" t="s">
        <v>0</v>
      </c>
      <c r="G3442" t="str" cm="1">
        <f t="array" ref="G3442" xml:space="preserve"> FindCountryName(F3442)</f>
        <v>None</v>
      </c>
      <c r="H3442" s="1">
        <v>45255.593333333331</v>
      </c>
      <c r="I3442" s="1">
        <v>45255.593333333331</v>
      </c>
      <c r="J3442" s="1">
        <v>45223.582280092596</v>
      </c>
      <c r="K3442" cm="1">
        <f t="array" ref="K3442" xml:space="preserve"> sentimentCalc(C3442)</f>
        <v>0</v>
      </c>
      <c r="L3442" t="str" cm="1">
        <f t="array" ref="L3442" xml:space="preserve"> sentimentCategory(K3442)</f>
        <v>Neutral</v>
      </c>
    </row>
    <row r="3443" spans="1:12">
      <c r="A3443" t="s">
        <v>119</v>
      </c>
      <c r="B3443" t="s">
        <v>118</v>
      </c>
      <c r="C3443" t="str" cm="1">
        <f t="array" ref="C3443" xml:space="preserve"> CleanText(B3443)</f>
        <v>there is a possibility that this will turn out to be shit because if im not mistaken original authors of the cartoon stopped working on this movie for a reason that their vision didnt pleased netflix higher ups</v>
      </c>
      <c r="D3443">
        <v>1</v>
      </c>
      <c r="E3443">
        <v>0</v>
      </c>
      <c r="F3443" t="s">
        <v>117</v>
      </c>
      <c r="G3443" t="str" cm="1">
        <f t="array" ref="G3443" xml:space="preserve"> FindCountryName(F3443)</f>
        <v>Kazakhstan</v>
      </c>
      <c r="H3443" s="1">
        <v>45255.591203703705</v>
      </c>
      <c r="I3443" s="1">
        <v>45255.591203703705</v>
      </c>
      <c r="J3443" s="1">
        <v>42198.323969907404</v>
      </c>
      <c r="K3443" cm="1">
        <f t="array" ref="K3443" xml:space="preserve"> sentimentCalc(C3443)</f>
        <v>1</v>
      </c>
      <c r="L3443" t="str" cm="1">
        <f t="array" ref="L3443" xml:space="preserve"> sentimentCategory(K3443)</f>
        <v>Positive</v>
      </c>
    </row>
    <row r="3444" spans="1:12">
      <c r="A3444" t="s">
        <v>116</v>
      </c>
      <c r="B3444" t="s">
        <v>115</v>
      </c>
      <c r="C3444" t="str" cm="1">
        <f t="array" ref="C3444" xml:space="preserve"> CleanText(B3444)</f>
        <v>yall better not mess this up cus i went to see the movie in like 00 and i was not happy with it  it was aweful  so far this trailer doesnt look too disappointing ngl sokka and katara is brown looking was hoping to see people with actual brown hue like tribal indian or indian indian sokka was always cute to me and i could picture him in real life and this aint how i pictured him with his f boy hair cut _xDE2D_</v>
      </c>
      <c r="D3444">
        <v>1</v>
      </c>
      <c r="E3444">
        <v>0</v>
      </c>
      <c r="F3444" t="s">
        <v>0</v>
      </c>
      <c r="G3444" t="str" cm="1">
        <f t="array" ref="G3444" xml:space="preserve"> FindCountryName(F3444)</f>
        <v>None</v>
      </c>
      <c r="H3444" s="1">
        <v>45255.585324074076</v>
      </c>
      <c r="I3444" s="1">
        <v>45255.585324074076</v>
      </c>
      <c r="J3444" s="1">
        <v>41784.879780092589</v>
      </c>
      <c r="K3444" cm="1">
        <f t="array" ref="K3444" xml:space="preserve"> sentimentCalc(C3444)</f>
        <v>8</v>
      </c>
      <c r="L3444" t="str" cm="1">
        <f t="array" ref="L3444" xml:space="preserve"> sentimentCategory(K3444)</f>
        <v>Positive</v>
      </c>
    </row>
    <row r="3445" spans="1:12">
      <c r="A3445" t="s">
        <v>28</v>
      </c>
      <c r="B3445" t="s">
        <v>114</v>
      </c>
      <c r="C3445" t="str" cm="1">
        <f t="array" ref="C3445" xml:space="preserve"> CleanText(B3445)</f>
        <v>im betting all my money on netflix will cancel this show after one season after ppl complain the main casts are all asian descendants  the usual excuse of not enough viewership</v>
      </c>
      <c r="D3445">
        <v>0</v>
      </c>
      <c r="E3445">
        <v>1</v>
      </c>
      <c r="F3445" t="s">
        <v>0</v>
      </c>
      <c r="G3445" t="str" cm="1">
        <f t="array" ref="G3445" xml:space="preserve"> FindCountryName(F3445)</f>
        <v>None</v>
      </c>
      <c r="H3445" s="1">
        <v>45255.566238425927</v>
      </c>
      <c r="I3445" s="1">
        <v>45255.566238425927</v>
      </c>
      <c r="J3445" s="1">
        <v>41241.974062499998</v>
      </c>
      <c r="K3445" cm="1">
        <f t="array" ref="K3445" xml:space="preserve"> sentimentCalc(C3445)</f>
        <v>-4</v>
      </c>
      <c r="L3445" t="str" cm="1">
        <f t="array" ref="L3445" xml:space="preserve"> sentimentCategory(K3445)</f>
        <v>Negative</v>
      </c>
    </row>
    <row r="3446" spans="1:12">
      <c r="A3446" t="s">
        <v>102</v>
      </c>
      <c r="B3446" t="s">
        <v>113</v>
      </c>
      <c r="C3446" t="str" cm="1">
        <f t="array" ref="C3446" xml:space="preserve"> CleanText(B3446)</f>
        <v>omg</v>
      </c>
      <c r="D3446">
        <v>0</v>
      </c>
      <c r="E3446">
        <v>0</v>
      </c>
      <c r="F3446" t="s">
        <v>112</v>
      </c>
      <c r="G3446" t="str" cm="1">
        <f t="array" ref="G3446" xml:space="preserve"> FindCountryName(F3446)</f>
        <v>Canada</v>
      </c>
      <c r="H3446" s="1">
        <v>45255.552615740744</v>
      </c>
      <c r="I3446" s="1">
        <v>45255.552615740744</v>
      </c>
      <c r="J3446" s="1">
        <v>42183.9999537037</v>
      </c>
      <c r="K3446" cm="1">
        <f t="array" ref="K3446" xml:space="preserve"> sentimentCalc(C3446)</f>
        <v>0</v>
      </c>
      <c r="L3446" t="str" cm="1">
        <f t="array" ref="L3446" xml:space="preserve"> sentimentCategory(K3446)</f>
        <v>Neutral</v>
      </c>
    </row>
    <row r="3447" spans="1:12">
      <c r="A3447" t="s">
        <v>23</v>
      </c>
      <c r="B3447" t="s">
        <v>111</v>
      </c>
      <c r="C3447" t="str" cm="1">
        <f t="array" ref="C3447" xml:space="preserve"> CleanText(B3447)</f>
        <v>yip yip</v>
      </c>
      <c r="D3447">
        <v>0</v>
      </c>
      <c r="E3447">
        <v>0</v>
      </c>
      <c r="F3447" t="s">
        <v>0</v>
      </c>
      <c r="G3447" t="str" cm="1">
        <f t="array" ref="G3447" xml:space="preserve"> FindCountryName(F3447)</f>
        <v>None</v>
      </c>
      <c r="H3447" s="1">
        <v>45255.547893518517</v>
      </c>
      <c r="I3447" s="1">
        <v>45255.547893518517</v>
      </c>
      <c r="J3447" s="1">
        <v>40249.724189814813</v>
      </c>
      <c r="K3447" cm="1">
        <f t="array" ref="K3447" xml:space="preserve"> sentimentCalc(C3447)</f>
        <v>0</v>
      </c>
      <c r="L3447" t="str" cm="1">
        <f t="array" ref="L3447" xml:space="preserve"> sentimentCategory(K3447)</f>
        <v>Neutral</v>
      </c>
    </row>
    <row r="3448" spans="1:12">
      <c r="A3448" t="s">
        <v>110</v>
      </c>
      <c r="B3448" t="s">
        <v>109</v>
      </c>
      <c r="C3448" t="str" cm="1">
        <f t="array" ref="C3448" xml:space="preserve"> CleanText(B3448)</f>
        <v>nobody seems to care but im sad they didnt give the water tribe actors blue contacts details like that would really make me happy_xDE05_</v>
      </c>
      <c r="D3448">
        <v>1</v>
      </c>
      <c r="E3448">
        <v>0</v>
      </c>
      <c r="F3448" t="s">
        <v>0</v>
      </c>
      <c r="G3448" t="str" cm="1">
        <f t="array" ref="G3448" xml:space="preserve"> FindCountryName(F3448)</f>
        <v>None</v>
      </c>
      <c r="H3448" s="1">
        <v>45255.54346064815</v>
      </c>
      <c r="I3448" s="1">
        <v>45255.54346064815</v>
      </c>
      <c r="J3448" s="1">
        <v>42155.36959490741</v>
      </c>
      <c r="K3448" cm="1">
        <f t="array" ref="K3448" xml:space="preserve"> sentimentCalc(C3448)</f>
        <v>2</v>
      </c>
      <c r="L3448" t="str" cm="1">
        <f t="array" ref="L3448" xml:space="preserve"> sentimentCategory(K3448)</f>
        <v>Positive</v>
      </c>
    </row>
    <row r="3449" spans="1:12">
      <c r="A3449" t="s">
        <v>108</v>
      </c>
      <c r="B3449" t="s">
        <v>107</v>
      </c>
      <c r="C3449" t="str" cm="1">
        <f t="array" ref="C3449" xml:space="preserve"> CleanText(B3449)</f>
        <v>cant be worse than the m night shymalan disaster</v>
      </c>
      <c r="D3449">
        <v>0</v>
      </c>
      <c r="E3449">
        <v>0</v>
      </c>
      <c r="F3449" t="s">
        <v>0</v>
      </c>
      <c r="G3449" t="str" cm="1">
        <f t="array" ref="G3449" xml:space="preserve"> FindCountryName(F3449)</f>
        <v>None</v>
      </c>
      <c r="H3449" s="1">
        <v>45255.531550925924</v>
      </c>
      <c r="I3449" s="1">
        <v>45255.531550925924</v>
      </c>
      <c r="J3449" s="1">
        <v>41077.690335648149</v>
      </c>
      <c r="K3449" cm="1">
        <f t="array" ref="K3449" xml:space="preserve"> sentimentCalc(C3449)</f>
        <v>-5</v>
      </c>
      <c r="L3449" t="str" cm="1">
        <f t="array" ref="L3449" xml:space="preserve"> sentimentCategory(K3449)</f>
        <v>Negative</v>
      </c>
    </row>
    <row r="3450" spans="1:12">
      <c r="A3450" t="s">
        <v>106</v>
      </c>
      <c r="B3450" t="s">
        <v>105</v>
      </c>
      <c r="C3450" t="str" cm="1">
        <f t="array" ref="C3450" xml:space="preserve"> CleanText(B3450)</f>
        <v>you guys better do this right like you did one piece</v>
      </c>
      <c r="D3450">
        <v>0</v>
      </c>
      <c r="E3450">
        <v>0</v>
      </c>
      <c r="F3450" t="s">
        <v>0</v>
      </c>
      <c r="G3450" t="str" cm="1">
        <f t="array" ref="G3450" xml:space="preserve"> FindCountryName(F3450)</f>
        <v>None</v>
      </c>
      <c r="H3450" s="1">
        <v>45255.530821759261</v>
      </c>
      <c r="I3450" s="1">
        <v>45255.530821759261</v>
      </c>
      <c r="J3450" s="1">
        <v>40939.629791666666</v>
      </c>
      <c r="K3450" cm="1">
        <f t="array" ref="K3450" xml:space="preserve"> sentimentCalc(C3450)</f>
        <v>4</v>
      </c>
      <c r="L3450" t="str" cm="1">
        <f t="array" ref="L3450" xml:space="preserve"> sentimentCategory(K3450)</f>
        <v>Positive</v>
      </c>
    </row>
    <row r="3451" spans="1:12">
      <c r="A3451" t="s">
        <v>104</v>
      </c>
      <c r="B3451" t="s">
        <v>103</v>
      </c>
      <c r="C3451" t="str" cm="1">
        <f t="array" ref="C3451" xml:space="preserve"> CleanText(B3451)</f>
        <v>looks dope</v>
      </c>
      <c r="D3451">
        <v>0</v>
      </c>
      <c r="E3451">
        <v>0</v>
      </c>
      <c r="F3451" t="s">
        <v>0</v>
      </c>
      <c r="G3451" t="str" cm="1">
        <f t="array" ref="G3451" xml:space="preserve"> FindCountryName(F3451)</f>
        <v>None</v>
      </c>
      <c r="H3451" s="1">
        <v>45255.527858796297</v>
      </c>
      <c r="I3451" s="1">
        <v>45255.527858796297</v>
      </c>
      <c r="J3451" s="1">
        <v>41115.044803240744</v>
      </c>
      <c r="K3451" cm="1">
        <f t="array" ref="K3451" xml:space="preserve"> sentimentCalc(C3451)</f>
        <v>0</v>
      </c>
      <c r="L3451" t="str" cm="1">
        <f t="array" ref="L3451" xml:space="preserve"> sentimentCategory(K3451)</f>
        <v>Neutral</v>
      </c>
    </row>
    <row r="3452" spans="1:12">
      <c r="A3452" t="s">
        <v>102</v>
      </c>
      <c r="B3452" t="s">
        <v>101</v>
      </c>
      <c r="C3452" t="str" cm="1">
        <f t="array" ref="C3452" xml:space="preserve"> CleanText(B3452)</f>
        <v>looks like they actually strayed true to the source for once its about god dam time</v>
      </c>
      <c r="D3452">
        <v>0</v>
      </c>
      <c r="E3452">
        <v>0</v>
      </c>
      <c r="F3452" t="s">
        <v>0</v>
      </c>
      <c r="G3452" t="str" cm="1">
        <f t="array" ref="G3452" xml:space="preserve"> FindCountryName(F3452)</f>
        <v>None</v>
      </c>
      <c r="H3452" s="1">
        <v>45255.512997685182</v>
      </c>
      <c r="I3452" s="1">
        <v>45255.512997685182</v>
      </c>
      <c r="J3452" s="1">
        <v>39410.907164351855</v>
      </c>
      <c r="K3452" cm="1">
        <f t="array" ref="K3452" xml:space="preserve"> sentimentCalc(C3452)</f>
        <v>5</v>
      </c>
      <c r="L3452" t="str" cm="1">
        <f t="array" ref="L3452" xml:space="preserve"> sentimentCategory(K3452)</f>
        <v>Positive</v>
      </c>
    </row>
    <row r="3453" spans="1:12">
      <c r="A3453" t="s">
        <v>100</v>
      </c>
      <c r="B3453" t="s">
        <v>99</v>
      </c>
      <c r="C3453" t="str" cm="1">
        <f t="array" ref="C3453" xml:space="preserve"> CleanText(B3453)</f>
        <v>i used to watch early morning airbender episodes and those were such stressfree days</v>
      </c>
      <c r="D3453">
        <v>0</v>
      </c>
      <c r="E3453">
        <v>0</v>
      </c>
      <c r="F3453" t="s">
        <v>98</v>
      </c>
      <c r="G3453" t="str" cm="1">
        <f t="array" ref="G3453" xml:space="preserve"> FindCountryName(F3453)</f>
        <v>India</v>
      </c>
      <c r="H3453" s="1">
        <v>45255.510925925926</v>
      </c>
      <c r="I3453" s="1">
        <v>45255.510925925926</v>
      </c>
      <c r="J3453" s="1">
        <v>44001.307129629633</v>
      </c>
      <c r="K3453" cm="1">
        <f t="array" ref="K3453" xml:space="preserve"> sentimentCalc(C3453)</f>
        <v>0</v>
      </c>
      <c r="L3453" t="str" cm="1">
        <f t="array" ref="L3453" xml:space="preserve"> sentimentCategory(K3453)</f>
        <v>Neutral</v>
      </c>
    </row>
    <row r="3454" spans="1:12">
      <c r="A3454" t="s">
        <v>97</v>
      </c>
      <c r="B3454" t="s">
        <v>96</v>
      </c>
      <c r="C3454" t="str" cm="1">
        <f t="array" ref="C3454" xml:space="preserve"> CleanText(B3454)</f>
        <v>the actor played the aang seems to be lacking of emotion im not sure if this will be a successful movie</v>
      </c>
      <c r="D3454">
        <v>1</v>
      </c>
      <c r="E3454">
        <v>1</v>
      </c>
      <c r="F3454" t="s">
        <v>0</v>
      </c>
      <c r="G3454" t="str" cm="1">
        <f t="array" ref="G3454" xml:space="preserve"> FindCountryName(F3454)</f>
        <v>None</v>
      </c>
      <c r="H3454" s="1">
        <v>45255.508333333331</v>
      </c>
      <c r="I3454" s="1">
        <v>45255.508333333331</v>
      </c>
      <c r="J3454" s="1">
        <v>41929.247789351852</v>
      </c>
      <c r="K3454" cm="1">
        <f t="array" ref="K3454" xml:space="preserve"> sentimentCalc(C3454)</f>
        <v>3</v>
      </c>
      <c r="L3454" t="str" cm="1">
        <f t="array" ref="L3454" xml:space="preserve"> sentimentCategory(K3454)</f>
        <v>Positive</v>
      </c>
    </row>
    <row r="3455" spans="1:12">
      <c r="A3455" t="s">
        <v>95</v>
      </c>
      <c r="B3455" t="s">
        <v>94</v>
      </c>
      <c r="C3455" t="str" cm="1">
        <f t="array" ref="C3455" xml:space="preserve"> CleanText(B3455)</f>
        <v>good</v>
      </c>
      <c r="D3455">
        <v>0</v>
      </c>
      <c r="E3455">
        <v>0</v>
      </c>
      <c r="F3455" t="s">
        <v>0</v>
      </c>
      <c r="G3455" t="str" cm="1">
        <f t="array" ref="G3455" xml:space="preserve"> FindCountryName(F3455)</f>
        <v>None</v>
      </c>
      <c r="H3455" s="1">
        <v>45255.487430555557</v>
      </c>
      <c r="I3455" s="1">
        <v>45255.487430555557</v>
      </c>
      <c r="J3455" s="1">
        <v>45096.675659722219</v>
      </c>
      <c r="K3455" cm="1">
        <f t="array" ref="K3455" xml:space="preserve"> sentimentCalc(C3455)</f>
        <v>3</v>
      </c>
      <c r="L3455" t="str" cm="1">
        <f t="array" ref="L3455" xml:space="preserve"> sentimentCategory(K3455)</f>
        <v>Positive</v>
      </c>
    </row>
    <row r="3456" spans="1:12">
      <c r="A3456" t="s">
        <v>93</v>
      </c>
      <c r="B3456" t="s">
        <v>92</v>
      </c>
      <c r="C3456" t="str" cm="1">
        <f t="array" ref="C3456" xml:space="preserve"> CleanText(B3456)</f>
        <v>mehhh</v>
      </c>
      <c r="D3456">
        <v>1</v>
      </c>
      <c r="E3456">
        <v>0</v>
      </c>
      <c r="F3456" t="s">
        <v>0</v>
      </c>
      <c r="G3456" t="str" cm="1">
        <f t="array" ref="G3456" xml:space="preserve"> FindCountryName(F3456)</f>
        <v>None</v>
      </c>
      <c r="H3456" s="1">
        <v>45255.4840625</v>
      </c>
      <c r="I3456" s="1">
        <v>45255.4840625</v>
      </c>
      <c r="J3456" s="1">
        <v>39032.779305555552</v>
      </c>
      <c r="K3456" cm="1">
        <f t="array" ref="K3456" xml:space="preserve"> sentimentCalc(C3456)</f>
        <v>0</v>
      </c>
      <c r="L3456" t="str" cm="1">
        <f t="array" ref="L3456" xml:space="preserve"> sentimentCategory(K3456)</f>
        <v>Neutral</v>
      </c>
    </row>
    <row r="3457" spans="1:12">
      <c r="A3457" t="s">
        <v>91</v>
      </c>
      <c r="B3457" t="s">
        <v>90</v>
      </c>
      <c r="C3457" t="str" cm="1">
        <f t="array" ref="C3457" xml:space="preserve"> CleanText(B3457)</f>
        <v>is this a movie or a series</v>
      </c>
      <c r="D3457">
        <v>0</v>
      </c>
      <c r="E3457">
        <v>1</v>
      </c>
      <c r="F3457" t="s">
        <v>0</v>
      </c>
      <c r="G3457" t="str" cm="1">
        <f t="array" ref="G3457" xml:space="preserve"> FindCountryName(F3457)</f>
        <v>None</v>
      </c>
      <c r="H3457" s="1">
        <v>45255.477789351855</v>
      </c>
      <c r="I3457" s="1">
        <v>45255.477789351855</v>
      </c>
      <c r="J3457" s="1">
        <v>41384.020925925928</v>
      </c>
      <c r="K3457" cm="1">
        <f t="array" ref="K3457" xml:space="preserve"> sentimentCalc(C3457)</f>
        <v>0</v>
      </c>
      <c r="L3457" t="str" cm="1">
        <f t="array" ref="L3457" xml:space="preserve"> sentimentCategory(K3457)</f>
        <v>Neutral</v>
      </c>
    </row>
    <row r="3458" spans="1:12">
      <c r="A3458" t="s">
        <v>88</v>
      </c>
      <c r="B3458" t="s">
        <v>89</v>
      </c>
      <c r="C3458" t="str" cm="1">
        <f t="array" ref="C3458" xml:space="preserve"> CleanText(B3458)</f>
        <v>is it really live action if the only thing thats not computer generated is the people the cgi literally everywhere is too much they might as have just edited the actors into the actual original cartoon covering the animated character and it would be the same</v>
      </c>
      <c r="D3458">
        <v>2</v>
      </c>
      <c r="E3458">
        <v>0</v>
      </c>
      <c r="F3458" t="s">
        <v>19</v>
      </c>
      <c r="G3458" t="str" cm="1">
        <f t="array" ref="G3458" xml:space="preserve"> FindCountryName(F3458)</f>
        <v>United States of America (the)</v>
      </c>
      <c r="H3458" s="1">
        <v>45255.450671296298</v>
      </c>
      <c r="I3458" s="1">
        <v>45255.450671296298</v>
      </c>
      <c r="J3458" s="1">
        <v>41099.073680555557</v>
      </c>
      <c r="K3458" cm="1">
        <f t="array" ref="K3458" xml:space="preserve"> sentimentCalc(C3458)</f>
        <v>0</v>
      </c>
      <c r="L3458" t="str" cm="1">
        <f t="array" ref="L3458" xml:space="preserve"> sentimentCategory(K3458)</f>
        <v>Neutral</v>
      </c>
    </row>
    <row r="3459" spans="1:12">
      <c r="A3459" t="s">
        <v>88</v>
      </c>
      <c r="B3459" t="s">
        <v>87</v>
      </c>
      <c r="C3459" t="str" cm="1">
        <f t="array" ref="C3459" xml:space="preserve"> CleanText(B3459)</f>
        <v>so im guessing half of season  will be ok maybe up till the point when the avatar creators left due to creative differences and its gonna go to shit exactly like the witcher where the show runners also didnt listen to either the ultra super fan henry cavil or also the writer of the witcher novels. whos thinking well even get cast changes season  of this show _xDE02_</v>
      </c>
      <c r="D3459">
        <v>0</v>
      </c>
      <c r="E3459">
        <v>0</v>
      </c>
      <c r="F3459" t="s">
        <v>19</v>
      </c>
      <c r="G3459" t="str" cm="1">
        <f t="array" ref="G3459" xml:space="preserve"> FindCountryName(F3459)</f>
        <v>United States of America (the)</v>
      </c>
      <c r="H3459" s="1">
        <v>45255.447430555556</v>
      </c>
      <c r="I3459" s="1">
        <v>45255.447430555556</v>
      </c>
      <c r="J3459" s="1">
        <v>41099.073680555557</v>
      </c>
      <c r="K3459" cm="1">
        <f t="array" ref="K3459" xml:space="preserve"> sentimentCalc(C3459)</f>
        <v>10</v>
      </c>
      <c r="L3459" t="str" cm="1">
        <f t="array" ref="L3459" xml:space="preserve"> sentimentCategory(K3459)</f>
        <v>Positive</v>
      </c>
    </row>
    <row r="3460" spans="1:12">
      <c r="A3460" t="s">
        <v>86</v>
      </c>
      <c r="B3460" t="s">
        <v>85</v>
      </c>
      <c r="C3460" t="str" cm="1">
        <f t="array" ref="C3460" xml:space="preserve"> CleanText(B3460)</f>
        <v>im not convinced at all</v>
      </c>
      <c r="D3460">
        <v>1</v>
      </c>
      <c r="E3460">
        <v>0</v>
      </c>
      <c r="F3460" t="s">
        <v>0</v>
      </c>
      <c r="G3460" t="str" cm="1">
        <f t="array" ref="G3460" xml:space="preserve"> FindCountryName(F3460)</f>
        <v>None</v>
      </c>
      <c r="H3460" s="1">
        <v>45255.447106481479</v>
      </c>
      <c r="I3460" s="1">
        <v>45255.447106481479</v>
      </c>
      <c r="J3460" s="1">
        <v>41990.679884259262</v>
      </c>
      <c r="K3460" cm="1">
        <f t="array" ref="K3460" xml:space="preserve"> sentimentCalc(C3460)</f>
        <v>1</v>
      </c>
      <c r="L3460" t="str" cm="1">
        <f t="array" ref="L3460" xml:space="preserve"> sentimentCategory(K3460)</f>
        <v>Positive</v>
      </c>
    </row>
    <row r="3461" spans="1:12">
      <c r="A3461" t="s">
        <v>84</v>
      </c>
      <c r="B3461" t="s">
        <v>83</v>
      </c>
      <c r="C3461" t="str" cm="1">
        <f t="array" ref="C3461" xml:space="preserve"> CleanText(B3461)</f>
        <v>mr kim</v>
      </c>
      <c r="D3461">
        <v>0</v>
      </c>
      <c r="E3461">
        <v>0</v>
      </c>
      <c r="F3461" t="s">
        <v>0</v>
      </c>
      <c r="G3461" t="str" cm="1">
        <f t="array" ref="G3461" xml:space="preserve"> FindCountryName(F3461)</f>
        <v>None</v>
      </c>
      <c r="H3461" s="1">
        <v>45255.446886574071</v>
      </c>
      <c r="I3461" s="1">
        <v>45255.446886574071</v>
      </c>
      <c r="J3461" s="1">
        <v>39146.070625</v>
      </c>
      <c r="K3461" cm="1">
        <f t="array" ref="K3461" xml:space="preserve"> sentimentCalc(C3461)</f>
        <v>0</v>
      </c>
      <c r="L3461" t="str" cm="1">
        <f t="array" ref="L3461" xml:space="preserve"> sentimentCategory(K3461)</f>
        <v>Neutral</v>
      </c>
    </row>
    <row r="3462" spans="1:12">
      <c r="A3462" t="s">
        <v>82</v>
      </c>
      <c r="B3462" t="s">
        <v>81</v>
      </c>
      <c r="C3462" t="str" cm="1">
        <f t="array" ref="C3462" xml:space="preserve"> CleanText(B3462)</f>
        <v>why cant they simply just leave things alone and use some creativity to come up with something else</v>
      </c>
      <c r="D3462">
        <v>0</v>
      </c>
      <c r="E3462">
        <v>0</v>
      </c>
      <c r="F3462" t="s">
        <v>0</v>
      </c>
      <c r="G3462" t="str" cm="1">
        <f t="array" ref="G3462" xml:space="preserve"> FindCountryName(F3462)</f>
        <v>None</v>
      </c>
      <c r="H3462" s="1">
        <v>45255.444641203707</v>
      </c>
      <c r="I3462" s="1">
        <v>45255.444641203707</v>
      </c>
      <c r="J3462" s="1">
        <v>42564.808356481481</v>
      </c>
      <c r="K3462" cm="1">
        <f t="array" ref="K3462" xml:space="preserve"> sentimentCalc(C3462)</f>
        <v>-3</v>
      </c>
      <c r="L3462" t="str" cm="1">
        <f t="array" ref="L3462" xml:space="preserve"> sentimentCategory(K3462)</f>
        <v>Negative</v>
      </c>
    </row>
    <row r="3463" spans="1:12">
      <c r="A3463" t="s">
        <v>80</v>
      </c>
      <c r="B3463" t="s">
        <v>79</v>
      </c>
      <c r="C3463" t="str" cm="1">
        <f t="array" ref="C3463" xml:space="preserve"> CleanText(B3463)</f>
        <v>man the shivers this trailer gave me this better be good</v>
      </c>
      <c r="D3463">
        <v>0</v>
      </c>
      <c r="E3463">
        <v>0</v>
      </c>
      <c r="F3463" t="s">
        <v>0</v>
      </c>
      <c r="G3463" t="str" cm="1">
        <f t="array" ref="G3463" xml:space="preserve"> FindCountryName(F3463)</f>
        <v>None</v>
      </c>
      <c r="H3463" s="1">
        <v>45255.442870370367</v>
      </c>
      <c r="I3463" s="1">
        <v>45255.442870370367</v>
      </c>
      <c r="J3463" s="1">
        <v>41103.802199074074</v>
      </c>
      <c r="K3463" cm="1">
        <f t="array" ref="K3463" xml:space="preserve"> sentimentCalc(C3463)</f>
        <v>5</v>
      </c>
      <c r="L3463" t="str" cm="1">
        <f t="array" ref="L3463" xml:space="preserve"> sentimentCategory(K3463)</f>
        <v>Positive</v>
      </c>
    </row>
    <row r="3464" spans="1:12">
      <c r="A3464" t="s">
        <v>78</v>
      </c>
      <c r="B3464" t="s">
        <v>77</v>
      </c>
      <c r="C3464" t="str" cm="1">
        <f t="array" ref="C3464" xml:space="preserve"> CleanText(B3464)</f>
        <v>another childhood classic gonna be ruined by the corporate content churner hopefully i am wrong but not gonna expect anything great</v>
      </c>
      <c r="D3464">
        <v>0</v>
      </c>
      <c r="E3464">
        <v>0</v>
      </c>
      <c r="F3464" t="s">
        <v>0</v>
      </c>
      <c r="G3464" t="str" cm="1">
        <f t="array" ref="G3464" xml:space="preserve"> FindCountryName(F3464)</f>
        <v>None</v>
      </c>
      <c r="H3464" s="1">
        <v>45255.441840277781</v>
      </c>
      <c r="I3464" s="1">
        <v>45255.441840277781</v>
      </c>
      <c r="J3464" s="1">
        <v>41318.545439814814</v>
      </c>
      <c r="K3464" cm="1">
        <f t="array" ref="K3464" xml:space="preserve"> sentimentCalc(C3464)</f>
        <v>1</v>
      </c>
      <c r="L3464" t="str" cm="1">
        <f t="array" ref="L3464" xml:space="preserve"> sentimentCategory(K3464)</f>
        <v>Positive</v>
      </c>
    </row>
    <row r="3465" spans="1:12">
      <c r="A3465" t="s">
        <v>76</v>
      </c>
      <c r="B3465" t="s">
        <v>75</v>
      </c>
      <c r="C3465" t="str" cm="1">
        <f t="array" ref="C3465" xml:space="preserve"> CleanText(B3465)</f>
        <v>i hope we can also see the cabbage man in live action</v>
      </c>
      <c r="D3465">
        <v>0</v>
      </c>
      <c r="E3465">
        <v>1</v>
      </c>
      <c r="F3465" t="s">
        <v>0</v>
      </c>
      <c r="G3465" t="str" cm="1">
        <f t="array" ref="G3465" xml:space="preserve"> FindCountryName(F3465)</f>
        <v>None</v>
      </c>
      <c r="H3465" s="1">
        <v>45255.435833333337</v>
      </c>
      <c r="I3465" s="1">
        <v>45255.435833333337</v>
      </c>
      <c r="J3465" s="1">
        <v>41986.616168981483</v>
      </c>
      <c r="K3465" cm="1">
        <f t="array" ref="K3465" xml:space="preserve"> sentimentCalc(C3465)</f>
        <v>2</v>
      </c>
      <c r="L3465" t="str" cm="1">
        <f t="array" ref="L3465" xml:space="preserve"> sentimentCategory(K3465)</f>
        <v>Positive</v>
      </c>
    </row>
    <row r="3466" spans="1:12">
      <c r="A3466" t="s">
        <v>74</v>
      </c>
      <c r="B3466" t="s">
        <v>73</v>
      </c>
      <c r="C3466" t="str" cm="1">
        <f t="array" ref="C3466" xml:space="preserve"> CleanText(B3466)</f>
        <v>this shite is tragic</v>
      </c>
      <c r="D3466">
        <v>0</v>
      </c>
      <c r="E3466">
        <v>0</v>
      </c>
      <c r="F3466" t="s">
        <v>0</v>
      </c>
      <c r="G3466" t="str" cm="1">
        <f t="array" ref="G3466" xml:space="preserve"> FindCountryName(F3466)</f>
        <v>None</v>
      </c>
      <c r="H3466" s="1">
        <v>45255.434652777774</v>
      </c>
      <c r="I3466" s="1">
        <v>45255.434652777774</v>
      </c>
      <c r="J3466" s="1">
        <v>41108.412430555552</v>
      </c>
      <c r="K3466" cm="1">
        <f t="array" ref="K3466" xml:space="preserve"> sentimentCalc(C3466)</f>
        <v>-2</v>
      </c>
      <c r="L3466" t="str" cm="1">
        <f t="array" ref="L3466" xml:space="preserve"> sentimentCategory(K3466)</f>
        <v>Negative</v>
      </c>
    </row>
    <row r="3467" spans="1:12">
      <c r="A3467" t="s">
        <v>72</v>
      </c>
      <c r="B3467" t="s">
        <v>71</v>
      </c>
      <c r="C3467" t="str" cm="1">
        <f t="array" ref="C3467" xml:space="preserve"> CleanText(B3467)</f>
        <v>keep m night shamilan or whatever that hacks name is far away from this</v>
      </c>
      <c r="D3467">
        <v>0</v>
      </c>
      <c r="E3467">
        <v>0</v>
      </c>
      <c r="F3467" t="s">
        <v>0</v>
      </c>
      <c r="G3467" t="str" cm="1">
        <f t="array" ref="G3467" xml:space="preserve"> FindCountryName(F3467)</f>
        <v>None</v>
      </c>
      <c r="H3467" s="1">
        <v>45255.434212962966</v>
      </c>
      <c r="I3467" s="1">
        <v>45255.434212962966</v>
      </c>
      <c r="J3467" s="1">
        <v>45237.389270833337</v>
      </c>
      <c r="K3467" cm="1">
        <f t="array" ref="K3467" xml:space="preserve"> sentimentCalc(C3467)</f>
        <v>0</v>
      </c>
      <c r="L3467" t="str" cm="1">
        <f t="array" ref="L3467" xml:space="preserve"> sentimentCategory(K3467)</f>
        <v>Neutral</v>
      </c>
    </row>
    <row r="3468" spans="1:12">
      <c r="A3468" t="s">
        <v>70</v>
      </c>
      <c r="B3468" t="s">
        <v>69</v>
      </c>
      <c r="C3468" t="str" cm="1">
        <f t="array" ref="C3468" xml:space="preserve"> CleanText(B3468)</f>
        <v>february 0</v>
      </c>
      <c r="D3468">
        <v>1</v>
      </c>
      <c r="E3468">
        <v>1</v>
      </c>
      <c r="F3468" t="s">
        <v>0</v>
      </c>
      <c r="G3468" t="str" cm="1">
        <f t="array" ref="G3468" xml:space="preserve"> FindCountryName(F3468)</f>
        <v>None</v>
      </c>
      <c r="H3468" s="1">
        <v>45255.428067129629</v>
      </c>
      <c r="I3468" s="1">
        <v>45255.428067129629</v>
      </c>
      <c r="J3468" s="1">
        <v>42959.545740740738</v>
      </c>
      <c r="K3468" cm="1">
        <f t="array" ref="K3468" xml:space="preserve"> sentimentCalc(C3468)</f>
        <v>0</v>
      </c>
      <c r="L3468" t="str" cm="1">
        <f t="array" ref="L3468" xml:space="preserve"> sentimentCategory(K3468)</f>
        <v>Neutral</v>
      </c>
    </row>
    <row r="3469" spans="1:12">
      <c r="A3469" t="s">
        <v>68</v>
      </c>
      <c r="B3469" t="s">
        <v>67</v>
      </c>
      <c r="C3469" t="str" cm="1">
        <f t="array" ref="C3469" xml:space="preserve"> CleanText(B3469)</f>
        <v>they better dont mess this up _xDEE4_</v>
      </c>
      <c r="D3469">
        <v>0</v>
      </c>
      <c r="E3469">
        <v>0</v>
      </c>
      <c r="F3469" t="s">
        <v>39</v>
      </c>
      <c r="G3469" t="str" cm="1">
        <f t="array" ref="G3469" xml:space="preserve"> FindCountryName(F3469)</f>
        <v>United Kingdom of Great Britain and Northern Ireland (the)</v>
      </c>
      <c r="H3469" s="1">
        <v>45255.421666666669</v>
      </c>
      <c r="I3469" s="1">
        <v>45255.421666666669</v>
      </c>
      <c r="J3469" s="1">
        <v>41390.553159722222</v>
      </c>
      <c r="K3469" cm="1">
        <f t="array" ref="K3469" xml:space="preserve"> sentimentCalc(C3469)</f>
        <v>0</v>
      </c>
      <c r="L3469" t="str" cm="1">
        <f t="array" ref="L3469" xml:space="preserve"> sentimentCategory(K3469)</f>
        <v>Neutral</v>
      </c>
    </row>
    <row r="3470" spans="1:12">
      <c r="A3470" t="s">
        <v>66</v>
      </c>
      <c r="B3470" t="s">
        <v>65</v>
      </c>
      <c r="C3470" t="str" cm="1">
        <f t="array" ref="C3470" xml:space="preserve"> CleanText(B3470)</f>
        <v>cast looks amazing</v>
      </c>
      <c r="D3470">
        <v>1</v>
      </c>
      <c r="E3470">
        <v>0</v>
      </c>
      <c r="F3470" t="s">
        <v>64</v>
      </c>
      <c r="G3470" t="str" cm="1">
        <f t="array" ref="G3470" xml:space="preserve"> FindCountryName(F3470)</f>
        <v>Philippines (the)</v>
      </c>
      <c r="H3470" s="1">
        <v>45255.392256944448</v>
      </c>
      <c r="I3470" s="1">
        <v>45255.392256944448</v>
      </c>
      <c r="J3470" s="1">
        <v>42812.129201388889</v>
      </c>
      <c r="K3470" cm="1">
        <f t="array" ref="K3470" xml:space="preserve"> sentimentCalc(C3470)</f>
        <v>4</v>
      </c>
      <c r="L3470" t="str" cm="1">
        <f t="array" ref="L3470" xml:space="preserve"> sentimentCategory(K3470)</f>
        <v>Positive</v>
      </c>
    </row>
    <row r="3471" spans="1:12">
      <c r="A3471" t="s">
        <v>28</v>
      </c>
      <c r="B3471" t="s">
        <v>63</v>
      </c>
      <c r="C3471" t="str" cm="1">
        <f t="array" ref="C3471" xml:space="preserve"> CleanText(B3471)</f>
        <v>release it now</v>
      </c>
      <c r="D3471">
        <v>0</v>
      </c>
      <c r="E3471">
        <v>0</v>
      </c>
      <c r="F3471" t="s">
        <v>0</v>
      </c>
      <c r="G3471" t="str" cm="1">
        <f t="array" ref="G3471" xml:space="preserve"> FindCountryName(F3471)</f>
        <v>None</v>
      </c>
      <c r="H3471" s="1">
        <v>45255.384062500001</v>
      </c>
      <c r="I3471" s="1">
        <v>45255.384062500001</v>
      </c>
      <c r="J3471" s="1">
        <v>44360.379479166666</v>
      </c>
      <c r="K3471" cm="1">
        <f t="array" ref="K3471" xml:space="preserve"> sentimentCalc(C3471)</f>
        <v>0</v>
      </c>
      <c r="L3471" t="str" cm="1">
        <f t="array" ref="L3471" xml:space="preserve"> sentimentCategory(K3471)</f>
        <v>Neutral</v>
      </c>
    </row>
    <row r="3472" spans="1:12">
      <c r="A3472" t="s">
        <v>62</v>
      </c>
      <c r="B3472" t="s">
        <v>61</v>
      </c>
      <c r="C3472" t="str" cm="1">
        <f t="array" ref="C3472" xml:space="preserve"> CleanText(B3472)</f>
        <v>its like the rebirth from the cartoon into reality with the same  underrated nostalgic chills</v>
      </c>
      <c r="D3472">
        <v>1</v>
      </c>
      <c r="E3472">
        <v>0</v>
      </c>
      <c r="F3472" t="s">
        <v>0</v>
      </c>
      <c r="G3472" t="str" cm="1">
        <f t="array" ref="G3472" xml:space="preserve"> FindCountryName(F3472)</f>
        <v>None</v>
      </c>
      <c r="H3472" s="1">
        <v>45255.362604166665</v>
      </c>
      <c r="I3472" s="1">
        <v>45255.362881944442</v>
      </c>
      <c r="J3472" s="1">
        <v>41909.562407407408</v>
      </c>
      <c r="K3472" cm="1">
        <f t="array" ref="K3472" xml:space="preserve"> sentimentCalc(C3472)</f>
        <v>2</v>
      </c>
      <c r="L3472" t="str" cm="1">
        <f t="array" ref="L3472" xml:space="preserve"> sentimentCategory(K3472)</f>
        <v>Positive</v>
      </c>
    </row>
    <row r="3473" spans="1:12">
      <c r="A3473" t="s">
        <v>60</v>
      </c>
      <c r="B3473" t="s">
        <v>59</v>
      </c>
      <c r="C3473" t="str" cm="1">
        <f t="array" ref="C3473" xml:space="preserve"> CleanText(B3473)</f>
        <v>hell yeah the legend of appa the yip yip</v>
      </c>
      <c r="D3473">
        <v>1</v>
      </c>
      <c r="E3473">
        <v>0</v>
      </c>
      <c r="F3473" t="s">
        <v>0</v>
      </c>
      <c r="G3473" t="str" cm="1">
        <f t="array" ref="G3473" xml:space="preserve"> FindCountryName(F3473)</f>
        <v>None</v>
      </c>
      <c r="H3473" s="1">
        <v>45255.355023148149</v>
      </c>
      <c r="I3473" s="1">
        <v>45255.355023148149</v>
      </c>
      <c r="J3473" s="1">
        <v>41556.894895833335</v>
      </c>
      <c r="K3473" cm="1">
        <f t="array" ref="K3473" xml:space="preserve"> sentimentCalc(C3473)</f>
        <v>-3</v>
      </c>
      <c r="L3473" t="str" cm="1">
        <f t="array" ref="L3473" xml:space="preserve"> sentimentCategory(K3473)</f>
        <v>Negative</v>
      </c>
    </row>
    <row r="3474" spans="1:12">
      <c r="A3474" t="s">
        <v>58</v>
      </c>
      <c r="B3474" t="s">
        <v>57</v>
      </c>
      <c r="C3474" t="str" cm="1">
        <f t="array" ref="C3474" xml:space="preserve"> CleanText(B3474)</f>
        <v>please dont be shit please dont be shit please dont be shit please dont be shit please dont be shit please dont be shit please dont be shit please dont be shit _xDE02_</v>
      </c>
      <c r="D3474">
        <v>0</v>
      </c>
      <c r="E3474">
        <v>0</v>
      </c>
      <c r="F3474" t="s">
        <v>0</v>
      </c>
      <c r="G3474" t="str" cm="1">
        <f t="array" ref="G3474" xml:space="preserve"> FindCountryName(F3474)</f>
        <v>None</v>
      </c>
      <c r="H3474" s="1">
        <v>45255.340069444443</v>
      </c>
      <c r="I3474" s="1">
        <v>45255.340069444443</v>
      </c>
      <c r="J3474" s="1">
        <v>44662.174895833334</v>
      </c>
      <c r="K3474" cm="1">
        <f t="array" ref="K3474" xml:space="preserve"> sentimentCalc(C3474)</f>
        <v>8</v>
      </c>
      <c r="L3474" t="str" cm="1">
        <f t="array" ref="L3474" xml:space="preserve"> sentimentCategory(K3474)</f>
        <v>Positive</v>
      </c>
    </row>
    <row r="3475" spans="1:12">
      <c r="A3475" t="s">
        <v>56</v>
      </c>
      <c r="B3475" t="s">
        <v>55</v>
      </c>
      <c r="C3475" t="str" cm="1">
        <f t="array" ref="C3475" xml:space="preserve"> CleanText(B3475)</f>
        <v>while this trailer is beautiful  the visuals are absolutely perfect it worries me that there are no real jokes or moments of dialogue avatar the last airbender pulled off being a very dramatic show while having moments of real fun  humour</v>
      </c>
      <c r="D3475">
        <v>1</v>
      </c>
      <c r="E3475">
        <v>1</v>
      </c>
      <c r="F3475" t="s">
        <v>0</v>
      </c>
      <c r="G3475" t="str" cm="1">
        <f t="array" ref="G3475" xml:space="preserve"> FindCountryName(F3475)</f>
        <v>None</v>
      </c>
      <c r="H3475" s="1">
        <v>45255.33452546296</v>
      </c>
      <c r="I3475" s="1">
        <v>45255.33452546296</v>
      </c>
      <c r="J3475" s="1">
        <v>41828.440011574072</v>
      </c>
      <c r="K3475" cm="1">
        <f t="array" ref="K3475" xml:space="preserve"> sentimentCalc(C3475)</f>
        <v>13</v>
      </c>
      <c r="L3475" t="str" cm="1">
        <f t="array" ref="L3475" xml:space="preserve"> sentimentCategory(K3475)</f>
        <v>Positive</v>
      </c>
    </row>
    <row r="3476" spans="1:12">
      <c r="A3476" t="s">
        <v>8</v>
      </c>
      <c r="B3476" t="s">
        <v>54</v>
      </c>
      <c r="C3476" t="str" cm="1">
        <f t="array" ref="C3476" xml:space="preserve"> CleanText(B3476)</f>
        <v>_xDE22_ okay this is more like it please get it right</v>
      </c>
      <c r="D3476">
        <v>0</v>
      </c>
      <c r="E3476">
        <v>0</v>
      </c>
      <c r="F3476" t="s">
        <v>0</v>
      </c>
      <c r="G3476" t="str" cm="1">
        <f t="array" ref="G3476" xml:space="preserve"> FindCountryName(F3476)</f>
        <v>None</v>
      </c>
      <c r="H3476" s="1">
        <v>45255.331388888888</v>
      </c>
      <c r="I3476" s="1">
        <v>45255.331388888888</v>
      </c>
      <c r="J3476" s="1">
        <v>43090.70175925926</v>
      </c>
      <c r="K3476" cm="1">
        <f t="array" ref="K3476" xml:space="preserve"> sentimentCalc(C3476)</f>
        <v>3</v>
      </c>
      <c r="L3476" t="str" cm="1">
        <f t="array" ref="L3476" xml:space="preserve"> sentimentCategory(K3476)</f>
        <v>Positive</v>
      </c>
    </row>
    <row r="3477" spans="1:12">
      <c r="A3477" t="s">
        <v>53</v>
      </c>
      <c r="B3477" t="s">
        <v>52</v>
      </c>
      <c r="C3477" t="str" cm="1">
        <f t="array" ref="C3477" xml:space="preserve"> CleanText(B3477)</f>
        <v>all i know is they better not pull shmit like cutting the release in  parts with a wait time this long</v>
      </c>
      <c r="D3477">
        <v>0</v>
      </c>
      <c r="E3477">
        <v>0</v>
      </c>
      <c r="F3477" t="s">
        <v>0</v>
      </c>
      <c r="G3477" t="str" cm="1">
        <f t="array" ref="G3477" xml:space="preserve"> FindCountryName(F3477)</f>
        <v>None</v>
      </c>
      <c r="H3477" s="1">
        <v>45255.323182870372</v>
      </c>
      <c r="I3477" s="1">
        <v>45255.323182870372</v>
      </c>
      <c r="J3477" s="1">
        <v>43169.920694444445</v>
      </c>
      <c r="K3477" cm="1">
        <f t="array" ref="K3477" xml:space="preserve"> sentimentCalc(C3477)</f>
        <v>3</v>
      </c>
      <c r="L3477" t="str" cm="1">
        <f t="array" ref="L3477" xml:space="preserve"> sentimentCategory(K3477)</f>
        <v>Positive</v>
      </c>
    </row>
    <row r="3478" spans="1:12">
      <c r="A3478" t="s">
        <v>51</v>
      </c>
      <c r="B3478" t="s">
        <v>50</v>
      </c>
      <c r="C3478" t="str" cm="1">
        <f t="array" ref="C3478" xml:space="preserve"> CleanText(B3478)</f>
        <v>too goofy ngl</v>
      </c>
      <c r="D3478">
        <v>0</v>
      </c>
      <c r="E3478">
        <v>0</v>
      </c>
      <c r="F3478" t="s">
        <v>0</v>
      </c>
      <c r="G3478" t="str" cm="1">
        <f t="array" ref="G3478" xml:space="preserve"> FindCountryName(F3478)</f>
        <v>None</v>
      </c>
      <c r="H3478" s="1">
        <v>45255.320231481484</v>
      </c>
      <c r="I3478" s="1">
        <v>45255.320231481484</v>
      </c>
      <c r="J3478" s="1">
        <v>43432.523831018516</v>
      </c>
      <c r="K3478" cm="1">
        <f t="array" ref="K3478" xml:space="preserve"> sentimentCalc(C3478)</f>
        <v>0</v>
      </c>
      <c r="L3478" t="str" cm="1">
        <f t="array" ref="L3478" xml:space="preserve"> sentimentCategory(K3478)</f>
        <v>Neutral</v>
      </c>
    </row>
    <row r="3479" spans="1:12">
      <c r="A3479" t="s">
        <v>49</v>
      </c>
      <c r="B3479" t="s">
        <v>48</v>
      </c>
      <c r="C3479" t="str" cm="1">
        <f t="array" ref="C3479" xml:space="preserve"> CleanText(B3479)</f>
        <v>looks better than the last live action of this so thats a start</v>
      </c>
      <c r="D3479">
        <v>0</v>
      </c>
      <c r="E3479">
        <v>0</v>
      </c>
      <c r="F3479" t="s">
        <v>0</v>
      </c>
      <c r="G3479" t="str" cm="1">
        <f t="array" ref="G3479" xml:space="preserve"> FindCountryName(F3479)</f>
        <v>None</v>
      </c>
      <c r="H3479" s="1">
        <v>45255.315208333333</v>
      </c>
      <c r="I3479" s="1">
        <v>45255.315208333333</v>
      </c>
      <c r="J3479" s="1">
        <v>40486.147627314815</v>
      </c>
      <c r="K3479" cm="1">
        <f t="array" ref="K3479" xml:space="preserve"> sentimentCalc(C3479)</f>
        <v>2</v>
      </c>
      <c r="L3479" t="str" cm="1">
        <f t="array" ref="L3479" xml:space="preserve"> sentimentCategory(K3479)</f>
        <v>Positive</v>
      </c>
    </row>
    <row r="3480" spans="1:12">
      <c r="A3480" t="s">
        <v>47</v>
      </c>
      <c r="B3480" t="s">
        <v>46</v>
      </c>
      <c r="C3480" t="str" cm="1">
        <f t="array" ref="C3480" xml:space="preserve"> CleanText(B3480)</f>
        <v>i like how it really pops with color like they really brought the cartoon to life</v>
      </c>
      <c r="D3480">
        <v>14</v>
      </c>
      <c r="E3480">
        <v>1</v>
      </c>
      <c r="F3480" t="s">
        <v>0</v>
      </c>
      <c r="G3480" t="str" cm="1">
        <f t="array" ref="G3480" xml:space="preserve"> FindCountryName(F3480)</f>
        <v>None</v>
      </c>
      <c r="H3480" s="1">
        <v>45255.289664351854</v>
      </c>
      <c r="I3480" s="1">
        <v>45255.289664351854</v>
      </c>
      <c r="J3480" s="1">
        <v>42383.717222222222</v>
      </c>
      <c r="K3480" cm="1">
        <f t="array" ref="K3480" xml:space="preserve"> sentimentCalc(C3480)</f>
        <v>4</v>
      </c>
      <c r="L3480" t="str" cm="1">
        <f t="array" ref="L3480" xml:space="preserve"> sentimentCategory(K3480)</f>
        <v>Positive</v>
      </c>
    </row>
    <row r="3481" spans="1:12">
      <c r="A3481" t="s">
        <v>45</v>
      </c>
      <c r="B3481" t="s">
        <v>44</v>
      </c>
      <c r="C3481" t="str" cm="1">
        <f t="array" ref="C3481" xml:space="preserve"> CleanText(B3481)</f>
        <v>wow finally something that gives me as much goosebumps as the cartoon</v>
      </c>
      <c r="D3481">
        <v>0</v>
      </c>
      <c r="E3481">
        <v>0</v>
      </c>
      <c r="F3481" t="s">
        <v>0</v>
      </c>
      <c r="G3481" t="str" cm="1">
        <f t="array" ref="G3481" xml:space="preserve"> FindCountryName(F3481)</f>
        <v>None</v>
      </c>
      <c r="H3481" s="1">
        <v>45255.26935185185</v>
      </c>
      <c r="I3481" s="1">
        <v>45255.26935185185</v>
      </c>
      <c r="J3481" s="1">
        <v>39377.113043981481</v>
      </c>
      <c r="K3481" cm="1">
        <f t="array" ref="K3481" xml:space="preserve"> sentimentCalc(C3481)</f>
        <v>4</v>
      </c>
      <c r="L3481" t="str" cm="1">
        <f t="array" ref="L3481" xml:space="preserve"> sentimentCategory(K3481)</f>
        <v>Positive</v>
      </c>
    </row>
    <row r="3482" spans="1:12">
      <c r="A3482" t="s">
        <v>43</v>
      </c>
      <c r="B3482" t="s">
        <v>42</v>
      </c>
      <c r="C3482" t="str" cm="1">
        <f t="array" ref="C3482" xml:space="preserve"> CleanText(B3482)</f>
        <v>its gonna flopp</v>
      </c>
      <c r="D3482">
        <v>0</v>
      </c>
      <c r="E3482">
        <v>0</v>
      </c>
      <c r="F3482" t="s">
        <v>0</v>
      </c>
      <c r="G3482" t="str" cm="1">
        <f t="array" ref="G3482" xml:space="preserve"> FindCountryName(F3482)</f>
        <v>None</v>
      </c>
      <c r="H3482" s="1">
        <v>45255.26902777778</v>
      </c>
      <c r="I3482" s="1">
        <v>45255.26902777778</v>
      </c>
      <c r="J3482" s="1">
        <v>41379.572777777779</v>
      </c>
      <c r="K3482" cm="1">
        <f t="array" ref="K3482" xml:space="preserve"> sentimentCalc(C3482)</f>
        <v>0</v>
      </c>
      <c r="L3482" t="str" cm="1">
        <f t="array" ref="L3482" xml:space="preserve"> sentimentCategory(K3482)</f>
        <v>Neutral</v>
      </c>
    </row>
    <row r="3483" spans="1:12">
      <c r="A3483" t="s">
        <v>41</v>
      </c>
      <c r="B3483" t="s">
        <v>40</v>
      </c>
      <c r="C3483" t="str" cm="1">
        <f t="array" ref="C3483" xml:space="preserve"> CleanText(B3483)</f>
        <v>omg i cant wait</v>
      </c>
      <c r="D3483">
        <v>0</v>
      </c>
      <c r="E3483">
        <v>0</v>
      </c>
      <c r="F3483" t="s">
        <v>39</v>
      </c>
      <c r="G3483" t="str" cm="1">
        <f t="array" ref="G3483" xml:space="preserve"> FindCountryName(F3483)</f>
        <v>United Kingdom of Great Britain and Northern Ireland (the)</v>
      </c>
      <c r="H3483" s="1">
        <v>45255.261365740742</v>
      </c>
      <c r="I3483" s="1">
        <v>45255.261365740742</v>
      </c>
      <c r="J3483" s="1">
        <v>40945.544016203705</v>
      </c>
      <c r="K3483" cm="1">
        <f t="array" ref="K3483" xml:space="preserve"> sentimentCalc(C3483)</f>
        <v>0</v>
      </c>
      <c r="L3483" t="str" cm="1">
        <f t="array" ref="L3483" xml:space="preserve"> sentimentCategory(K3483)</f>
        <v>Neutral</v>
      </c>
    </row>
    <row r="3484" spans="1:12">
      <c r="A3484" t="s">
        <v>38</v>
      </c>
      <c r="B3484" t="s">
        <v>37</v>
      </c>
      <c r="C3484" t="str" cm="1">
        <f t="array" ref="C3484" xml:space="preserve"> CleanText(B3484)</f>
        <v>appa saddle need a redesign man a new full leather saddle its too much</v>
      </c>
      <c r="D3484">
        <v>1</v>
      </c>
      <c r="E3484">
        <v>0</v>
      </c>
      <c r="F3484" t="s">
        <v>0</v>
      </c>
      <c r="G3484" t="str" cm="1">
        <f t="array" ref="G3484" xml:space="preserve"> FindCountryName(F3484)</f>
        <v>None</v>
      </c>
      <c r="H3484" s="1">
        <v>45255.259664351855</v>
      </c>
      <c r="I3484" s="1">
        <v>45255.259664351855</v>
      </c>
      <c r="J3484" s="1">
        <v>44129.277129629627</v>
      </c>
      <c r="K3484" cm="1">
        <f t="array" ref="K3484" xml:space="preserve"> sentimentCalc(C3484)</f>
        <v>0</v>
      </c>
      <c r="L3484" t="str" cm="1">
        <f t="array" ref="L3484" xml:space="preserve"> sentimentCategory(K3484)</f>
        <v>Neutral</v>
      </c>
    </row>
    <row r="3485" spans="1:12">
      <c r="A3485" t="s">
        <v>36</v>
      </c>
      <c r="B3485" t="s">
        <v>35</v>
      </c>
      <c r="C3485" t="str" cm="1">
        <f t="array" ref="C3485" xml:space="preserve"> CleanText(B3485)</f>
        <v>why waste money in the same part instead they can take  part of the last airbender movie</v>
      </c>
      <c r="D3485">
        <v>0</v>
      </c>
      <c r="E3485">
        <v>0</v>
      </c>
      <c r="F3485" t="s">
        <v>0</v>
      </c>
      <c r="G3485" t="str" cm="1">
        <f t="array" ref="G3485" xml:space="preserve"> FindCountryName(F3485)</f>
        <v>None</v>
      </c>
      <c r="H3485" s="1">
        <v>45255.234571759262</v>
      </c>
      <c r="I3485" s="1">
        <v>45255.234571759262</v>
      </c>
      <c r="J3485" s="1">
        <v>45153.235335648147</v>
      </c>
      <c r="K3485" cm="1">
        <f t="array" ref="K3485" xml:space="preserve"> sentimentCalc(C3485)</f>
        <v>-1</v>
      </c>
      <c r="L3485" t="str" cm="1">
        <f t="array" ref="L3485" xml:space="preserve"> sentimentCategory(K3485)</f>
        <v>Negative</v>
      </c>
    </row>
    <row r="3486" spans="1:12">
      <c r="A3486" t="s">
        <v>34</v>
      </c>
      <c r="B3486" t="s">
        <v>33</v>
      </c>
      <c r="C3486" t="str" cm="1">
        <f t="array" ref="C3486" xml:space="preserve"> CleanText(B3486)</f>
        <v>basta che non sia lennesima serie tv fantasy che cancellate a tradimento dopo  stagioni</v>
      </c>
      <c r="D3486">
        <v>0</v>
      </c>
      <c r="E3486">
        <v>0</v>
      </c>
      <c r="F3486" t="s">
        <v>0</v>
      </c>
      <c r="G3486" t="str" cm="1">
        <f t="array" ref="G3486" xml:space="preserve"> FindCountryName(F3486)</f>
        <v>None</v>
      </c>
      <c r="H3486" s="1">
        <v>45255.22383101852</v>
      </c>
      <c r="I3486" s="1">
        <v>45255.22383101852</v>
      </c>
      <c r="J3486" s="1">
        <v>39333.664849537039</v>
      </c>
      <c r="K3486" cm="1">
        <f t="array" ref="K3486" xml:space="preserve"> sentimentCalc(C3486)</f>
        <v>0</v>
      </c>
      <c r="L3486" t="str" cm="1">
        <f t="array" ref="L3486" xml:space="preserve"> sentimentCategory(K3486)</f>
        <v>Neutral</v>
      </c>
    </row>
    <row r="3487" spans="1:12">
      <c r="A3487" t="s">
        <v>32</v>
      </c>
      <c r="B3487" t="s">
        <v>31</v>
      </c>
      <c r="C3487" t="str" cm="1">
        <f t="array" ref="C3487" xml:space="preserve"> CleanText(B3487)</f>
        <v>n</v>
      </c>
      <c r="D3487">
        <v>1</v>
      </c>
      <c r="E3487">
        <v>0</v>
      </c>
      <c r="F3487" t="s">
        <v>0</v>
      </c>
      <c r="G3487" t="str" cm="1">
        <f t="array" ref="G3487" xml:space="preserve"> FindCountryName(F3487)</f>
        <v>None</v>
      </c>
      <c r="H3487" s="1">
        <v>45255.214467592596</v>
      </c>
      <c r="I3487" s="1">
        <v>45255.214467592596</v>
      </c>
      <c r="J3487" s="1">
        <v>44205.47828703704</v>
      </c>
      <c r="K3487" cm="1">
        <f t="array" ref="K3487" xml:space="preserve"> sentimentCalc(C3487)</f>
        <v>0</v>
      </c>
      <c r="L3487" t="str" cm="1">
        <f t="array" ref="L3487" xml:space="preserve"> sentimentCategory(K3487)</f>
        <v>Neutral</v>
      </c>
    </row>
    <row r="3488" spans="1:12">
      <c r="A3488" t="s">
        <v>30</v>
      </c>
      <c r="B3488" t="s">
        <v>29</v>
      </c>
      <c r="C3488" t="str" cm="1">
        <f t="array" ref="C3488" xml:space="preserve"> CleanText(B3488)</f>
        <v>second time around great visuals bad castingthey should just let it go if they cant get it right i am uninterested at this point</v>
      </c>
      <c r="D3488">
        <v>0</v>
      </c>
      <c r="E3488">
        <v>0</v>
      </c>
      <c r="F3488" t="s">
        <v>0</v>
      </c>
      <c r="G3488" t="str" cm="1">
        <f t="array" ref="G3488" xml:space="preserve"> FindCountryName(F3488)</f>
        <v>None</v>
      </c>
      <c r="H3488" s="1">
        <v>45255.185057870367</v>
      </c>
      <c r="I3488" s="1">
        <v>45255.185057870367</v>
      </c>
      <c r="J3488" s="1">
        <v>44975.143136574072</v>
      </c>
      <c r="K3488" cm="1">
        <f t="array" ref="K3488" xml:space="preserve"> sentimentCalc(C3488)</f>
        <v>0</v>
      </c>
      <c r="L3488" t="str" cm="1">
        <f t="array" ref="L3488" xml:space="preserve"> sentimentCategory(K3488)</f>
        <v>Neutral</v>
      </c>
    </row>
    <row r="3489" spans="1:14">
      <c r="A3489" t="s">
        <v>28</v>
      </c>
      <c r="B3489" t="s">
        <v>27</v>
      </c>
      <c r="C3489" t="str" cm="1">
        <f t="array" ref="C3489" xml:space="preserve"> CleanText(B3489)</f>
        <v>nahsorry yall not feelin it i like the animated series way more ill just go back to watching that sorry netflix i dont like it being real life actors the interactions with appa and momo are so clearly fake because those characters are full cgi</v>
      </c>
      <c r="D3489">
        <v>1</v>
      </c>
      <c r="E3489">
        <v>0</v>
      </c>
      <c r="F3489" t="s">
        <v>0</v>
      </c>
      <c r="G3489" t="str" cm="1">
        <f t="array" ref="G3489" xml:space="preserve"> FindCountryName(F3489)</f>
        <v>None</v>
      </c>
      <c r="H3489" s="1">
        <v>45255.15892361111</v>
      </c>
      <c r="I3489" s="1">
        <v>45255.15892361111</v>
      </c>
      <c r="J3489" s="1">
        <v>41255.557256944441</v>
      </c>
      <c r="K3489" cm="1">
        <f t="array" ref="K3489" xml:space="preserve"> sentimentCalc(C3489)</f>
        <v>-1</v>
      </c>
      <c r="L3489" t="str" cm="1">
        <f t="array" ref="L3489" xml:space="preserve"> sentimentCategory(K3489)</f>
        <v>Negative</v>
      </c>
    </row>
    <row r="3490" spans="1:14">
      <c r="A3490" t="s">
        <v>26</v>
      </c>
      <c r="B3490" t="s">
        <v>25</v>
      </c>
      <c r="C3490" t="str" cm="1">
        <f t="array" ref="C3490" xml:space="preserve"> CleanText(B3490)</f>
        <v>why sokka and katara not black like in the show</v>
      </c>
      <c r="D3490">
        <v>0</v>
      </c>
      <c r="E3490">
        <v>1</v>
      </c>
      <c r="F3490" t="s">
        <v>24</v>
      </c>
      <c r="G3490" t="str" cm="1">
        <f t="array" ref="G3490" xml:space="preserve"> FindCountryName(F3490)</f>
        <v>Israel</v>
      </c>
      <c r="H3490" s="1">
        <v>45255.151180555556</v>
      </c>
      <c r="I3490" s="1">
        <v>45255.151180555556</v>
      </c>
      <c r="J3490" s="1">
        <v>43161.703229166669</v>
      </c>
      <c r="K3490" cm="1">
        <f t="array" ref="K3490" xml:space="preserve"> sentimentCalc(C3490)</f>
        <v>2</v>
      </c>
      <c r="L3490" t="str" cm="1">
        <f t="array" ref="L3490" xml:space="preserve"> sentimentCategory(K3490)</f>
        <v>Positive</v>
      </c>
    </row>
    <row r="3491" spans="1:14">
      <c r="A3491" t="s">
        <v>23</v>
      </c>
      <c r="B3491" t="s">
        <v>22</v>
      </c>
      <c r="C3491" t="str" cm="1">
        <f t="array" ref="C3491" xml:space="preserve"> CleanText(B3491)</f>
        <v>angs facial expressions in the anime series is so animated that seeing this kid play the character is so disappointing i think they could have done a better casting</v>
      </c>
      <c r="D3491">
        <v>0</v>
      </c>
      <c r="E3491">
        <v>0</v>
      </c>
      <c r="F3491" t="s">
        <v>0</v>
      </c>
      <c r="G3491" t="str" cm="1">
        <f t="array" ref="G3491" xml:space="preserve"> FindCountryName(F3491)</f>
        <v>None</v>
      </c>
      <c r="H3491" s="1">
        <v>45255.137129629627</v>
      </c>
      <c r="I3491" s="1">
        <v>45255.137129629627</v>
      </c>
      <c r="J3491" s="1">
        <v>45239.090370370373</v>
      </c>
      <c r="K3491" cm="1">
        <f t="array" ref="K3491" xml:space="preserve"> sentimentCalc(C3491)</f>
        <v>0</v>
      </c>
      <c r="L3491" t="str" cm="1">
        <f t="array" ref="L3491" xml:space="preserve"> sentimentCategory(K3491)</f>
        <v>Neutral</v>
      </c>
    </row>
    <row r="3492" spans="1:14">
      <c r="A3492" t="s">
        <v>21</v>
      </c>
      <c r="B3492" t="s">
        <v>20</v>
      </c>
      <c r="C3492" t="str" cm="1">
        <f t="array" ref="C3492" xml:space="preserve"> CleanText(B3492)</f>
        <v>im going to withhold judgment until i see what the earthbending looks like</v>
      </c>
      <c r="D3492">
        <v>3</v>
      </c>
      <c r="E3492">
        <v>0</v>
      </c>
      <c r="F3492" t="s">
        <v>19</v>
      </c>
      <c r="G3492" t="str" cm="1">
        <f t="array" ref="G3492" xml:space="preserve"> FindCountryName(F3492)</f>
        <v>United States of America (the)</v>
      </c>
      <c r="H3492" s="1">
        <v>45255.133449074077</v>
      </c>
      <c r="I3492" s="1">
        <v>45255.133449074077</v>
      </c>
      <c r="J3492" s="1">
        <v>43448.666388888887</v>
      </c>
      <c r="K3492" cm="1">
        <f t="array" ref="K3492" xml:space="preserve"> sentimentCalc(C3492)</f>
        <v>2</v>
      </c>
      <c r="L3492" t="str" cm="1">
        <f t="array" ref="L3492" xml:space="preserve"> sentimentCategory(K3492)</f>
        <v>Positive</v>
      </c>
    </row>
    <row r="3493" spans="1:14">
      <c r="A3493" t="s">
        <v>18</v>
      </c>
      <c r="B3493" t="s">
        <v>17</v>
      </c>
      <c r="C3493" t="str" cm="1">
        <f t="array" ref="C3493" xml:space="preserve"> CleanText(B3493)</f>
        <v>thank youuuu netflix am i the only one that cant wait to see toph and some earth bending</v>
      </c>
      <c r="D3493">
        <v>0</v>
      </c>
      <c r="E3493">
        <v>0</v>
      </c>
      <c r="F3493" t="s">
        <v>0</v>
      </c>
      <c r="G3493" t="str" cm="1">
        <f t="array" ref="G3493" xml:space="preserve"> FindCountryName(F3493)</f>
        <v>None</v>
      </c>
      <c r="H3493" s="1">
        <v>45255.1325</v>
      </c>
      <c r="I3493" s="1">
        <v>45255.1325</v>
      </c>
      <c r="J3493" s="1">
        <v>40204.373715277776</v>
      </c>
      <c r="K3493" cm="1">
        <f t="array" ref="K3493" xml:space="preserve"> sentimentCalc(C3493)</f>
        <v>2</v>
      </c>
      <c r="L3493" t="str" cm="1">
        <f t="array" ref="L3493" xml:space="preserve"> sentimentCategory(K3493)</f>
        <v>Positive</v>
      </c>
    </row>
    <row r="3494" spans="1:14">
      <c r="A3494" t="s">
        <v>16</v>
      </c>
      <c r="B3494" t="s">
        <v>15</v>
      </c>
      <c r="C3494" t="str" cm="1">
        <f t="array" ref="C3494" xml:space="preserve"> CleanText(B3494)</f>
        <v>hope they give it more than 0 episodes</v>
      </c>
      <c r="D3494">
        <v>0</v>
      </c>
      <c r="E3494">
        <v>0</v>
      </c>
      <c r="F3494" t="s">
        <v>0</v>
      </c>
      <c r="G3494" t="str" cm="1">
        <f t="array" ref="G3494" xml:space="preserve"> FindCountryName(F3494)</f>
        <v>None</v>
      </c>
      <c r="H3494" s="1">
        <v>45255.129606481481</v>
      </c>
      <c r="I3494" s="1">
        <v>45255.129606481481</v>
      </c>
      <c r="J3494" s="1">
        <v>43447.934583333335</v>
      </c>
      <c r="K3494" cm="1">
        <f t="array" ref="K3494" xml:space="preserve"> sentimentCalc(C3494)</f>
        <v>2</v>
      </c>
      <c r="L3494" t="str" cm="1">
        <f t="array" ref="L3494" xml:space="preserve"> sentimentCategory(K3494)</f>
        <v>Positive</v>
      </c>
    </row>
    <row r="3495" spans="1:14">
      <c r="A3495" t="s">
        <v>14</v>
      </c>
      <c r="B3495" t="s">
        <v>13</v>
      </c>
      <c r="C3495" t="str" cm="1">
        <f t="array" ref="C3495" xml:space="preserve"> CleanText(B3495)</f>
        <v>finally _xDE0C_ after so many years of waiting</v>
      </c>
      <c r="D3495">
        <v>0</v>
      </c>
      <c r="E3495">
        <v>0</v>
      </c>
      <c r="F3495" t="s">
        <v>0</v>
      </c>
      <c r="G3495" t="str" cm="1">
        <f t="array" ref="G3495" xml:space="preserve"> FindCountryName(F3495)</f>
        <v>None</v>
      </c>
      <c r="H3495" s="1">
        <v>45255.128622685188</v>
      </c>
      <c r="I3495" s="1">
        <v>45255.128622685188</v>
      </c>
      <c r="J3495" s="1">
        <v>43879.326967592591</v>
      </c>
      <c r="K3495" cm="1">
        <f t="array" ref="K3495" xml:space="preserve"> sentimentCalc(C3495)</f>
        <v>0</v>
      </c>
      <c r="L3495" t="str" cm="1">
        <f t="array" ref="L3495" xml:space="preserve"> sentimentCategory(K3495)</f>
        <v>Neutral</v>
      </c>
    </row>
    <row r="3496" spans="1:14">
      <c r="A3496" t="s">
        <v>12</v>
      </c>
      <c r="B3496" t="s">
        <v>11</v>
      </c>
      <c r="C3496" t="str" cm="1">
        <f t="array" ref="C3496" xml:space="preserve"> CleanText(B3496)</f>
        <v>소 이 오 캐팅 됐 n</v>
      </c>
      <c r="D3496">
        <v>0</v>
      </c>
      <c r="E3496">
        <v>0</v>
      </c>
      <c r="F3496" t="s">
        <v>0</v>
      </c>
      <c r="G3496" t="str" cm="1">
        <f t="array" ref="G3496" xml:space="preserve"> FindCountryName(F3496)</f>
        <v>None</v>
      </c>
      <c r="H3496" s="1">
        <v>45255.120694444442</v>
      </c>
      <c r="I3496" s="1">
        <v>45255.120694444442</v>
      </c>
      <c r="J3496" s="1">
        <v>41129.556307870371</v>
      </c>
      <c r="K3496" cm="1">
        <f t="array" ref="K3496" xml:space="preserve"> sentimentCalc(C3496)</f>
        <v>0</v>
      </c>
      <c r="L3496" t="str" cm="1">
        <f t="array" ref="L3496" xml:space="preserve"> sentimentCategory(K3496)</f>
        <v>Neutral</v>
      </c>
    </row>
    <row r="3497" spans="1:14">
      <c r="A3497" t="s">
        <v>10</v>
      </c>
      <c r="B3497" t="s">
        <v>9</v>
      </c>
      <c r="C3497" t="str" cm="1">
        <f t="array" ref="C3497" xml:space="preserve"> CleanText(B3497)</f>
        <v>excited for it</v>
      </c>
      <c r="D3497">
        <v>0</v>
      </c>
      <c r="E3497">
        <v>0</v>
      </c>
      <c r="F3497" t="s">
        <v>0</v>
      </c>
      <c r="G3497" t="str" cm="1">
        <f t="array" ref="G3497" xml:space="preserve"> FindCountryName(F3497)</f>
        <v>None</v>
      </c>
      <c r="H3497" s="1">
        <v>45255.120266203703</v>
      </c>
      <c r="I3497" s="1">
        <v>45255.120266203703</v>
      </c>
      <c r="J3497" s="1">
        <v>45255.117893518516</v>
      </c>
      <c r="K3497" cm="1">
        <f t="array" ref="K3497" xml:space="preserve"> sentimentCalc(C3497)</f>
        <v>3</v>
      </c>
      <c r="L3497" t="str" cm="1">
        <f t="array" ref="L3497" xml:space="preserve"> sentimentCategory(K3497)</f>
        <v>Positive</v>
      </c>
    </row>
    <row r="3498" spans="1:14">
      <c r="A3498" t="s">
        <v>8</v>
      </c>
      <c r="B3498" t="s">
        <v>7</v>
      </c>
      <c r="C3498" t="str" cm="1">
        <f t="array" ref="C3498" xml:space="preserve"> CleanText(B3498)</f>
        <v>appa yip yip _xDE2D_</v>
      </c>
      <c r="D3498">
        <v>1</v>
      </c>
      <c r="E3498">
        <v>0</v>
      </c>
      <c r="F3498" t="s">
        <v>0</v>
      </c>
      <c r="G3498" t="str" cm="1">
        <f t="array" ref="G3498" xml:space="preserve"> FindCountryName(F3498)</f>
        <v>None</v>
      </c>
      <c r="H3498" s="1">
        <v>45255.116539351853</v>
      </c>
      <c r="I3498" s="1">
        <v>45255.116539351853</v>
      </c>
      <c r="J3498" s="1">
        <v>42311.12090277778</v>
      </c>
      <c r="K3498" cm="1">
        <f t="array" ref="K3498" xml:space="preserve"> sentimentCalc(C3498)</f>
        <v>0</v>
      </c>
      <c r="L3498" t="str" cm="1">
        <f t="array" ref="L3498" xml:space="preserve"> sentimentCategory(K3498)</f>
        <v>Neutral</v>
      </c>
    </row>
    <row r="3499" spans="1:14">
      <c r="A3499" t="s">
        <v>6</v>
      </c>
      <c r="B3499" t="s">
        <v>5</v>
      </c>
      <c r="C3499" t="str" cm="1">
        <f t="array" ref="C3499" xml:space="preserve"> CleanText(B3499)</f>
        <v>thought he was going to be black and gay</v>
      </c>
      <c r="D3499">
        <v>0</v>
      </c>
      <c r="E3499">
        <v>0</v>
      </c>
      <c r="F3499" t="s">
        <v>0</v>
      </c>
      <c r="G3499" t="str" cm="1">
        <f t="array" ref="G3499" xml:space="preserve"> FindCountryName(F3499)</f>
        <v>None</v>
      </c>
      <c r="H3499" s="1">
        <v>45255.108506944445</v>
      </c>
      <c r="I3499" s="1">
        <v>45255.108506944445</v>
      </c>
      <c r="J3499" s="1">
        <v>44679.184618055559</v>
      </c>
      <c r="K3499" cm="1">
        <f t="array" ref="K3499" xml:space="preserve"> sentimentCalc(C3499)</f>
        <v>0</v>
      </c>
      <c r="L3499" t="str" cm="1">
        <f t="array" ref="L3499" xml:space="preserve"> sentimentCategory(K3499)</f>
        <v>Neutral</v>
      </c>
    </row>
    <row r="3500" spans="1:14">
      <c r="A3500" t="s">
        <v>4</v>
      </c>
      <c r="B3500" t="s">
        <v>3</v>
      </c>
      <c r="C3500" t="str" cm="1">
        <f t="array" ref="C3500" xml:space="preserve"> CleanText(B3500)</f>
        <v>these goosebumps when the music started</v>
      </c>
      <c r="D3500">
        <v>0</v>
      </c>
      <c r="E3500">
        <v>0</v>
      </c>
      <c r="F3500" t="s">
        <v>0</v>
      </c>
      <c r="G3500" t="str" cm="1">
        <f t="array" ref="G3500" xml:space="preserve"> FindCountryName(F3500)</f>
        <v>None</v>
      </c>
      <c r="H3500" s="1">
        <v>45255.106712962966</v>
      </c>
      <c r="I3500" s="1">
        <v>45255.106712962966</v>
      </c>
      <c r="J3500" s="1">
        <v>41579.372511574074</v>
      </c>
      <c r="K3500" cm="1">
        <f t="array" ref="K3500" xml:space="preserve"> sentimentCalc(C3500)</f>
        <v>0</v>
      </c>
      <c r="L3500" t="str" cm="1">
        <f t="array" ref="L3500" xml:space="preserve"> sentimentCategory(K3500)</f>
        <v>Neutral</v>
      </c>
    </row>
    <row r="3501" spans="1:14">
      <c r="A3501" t="s">
        <v>2</v>
      </c>
      <c r="B3501" t="s">
        <v>1</v>
      </c>
      <c r="C3501" t="str" cm="1">
        <f t="array" ref="C3501" xml:space="preserve"> CleanText(B3501)</f>
        <v>looks promising</v>
      </c>
      <c r="D3501">
        <v>0</v>
      </c>
      <c r="E3501">
        <v>0</v>
      </c>
      <c r="F3501" t="s">
        <v>0</v>
      </c>
      <c r="G3501" t="str" cm="1">
        <f t="array" ref="G3501" xml:space="preserve"> FindCountryName(F3501)</f>
        <v>None</v>
      </c>
      <c r="H3501" s="1">
        <v>45255.101099537038</v>
      </c>
      <c r="I3501" s="1">
        <v>45255.101099537038</v>
      </c>
      <c r="J3501" s="1">
        <v>44647.880983796298</v>
      </c>
      <c r="K3501" cm="1">
        <f t="array" ref="K3501" xml:space="preserve"> sentimentCalc(C3501)</f>
        <v>0</v>
      </c>
      <c r="L3501" t="str" cm="1">
        <f t="array" ref="L3501" xml:space="preserve"> sentimentCategory(K3501)</f>
        <v>Neutral</v>
      </c>
    </row>
    <row r="3503" spans="1:14">
      <c r="L3503">
        <f xml:space="preserve"> COUNTIF($L$2:$L$3501, "Positive")</f>
        <v>1321</v>
      </c>
      <c r="M3503">
        <f xml:space="preserve"> COUNTIF($L$2:$L$3501, "Negative")</f>
        <v>519</v>
      </c>
      <c r="N3503">
        <f xml:space="preserve"> COUNTIF($L$2:$L$3501, "Neutral")</f>
        <v>1660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31747D-D3D3-2E4F-AEBA-5F4F8EBB47F9}">
  <sheetPr codeName="Sheet2"/>
  <dimension ref="A1:B2398"/>
  <sheetViews>
    <sheetView workbookViewId="0">
      <selection activeCell="D30" sqref="D30"/>
    </sheetView>
  </sheetViews>
  <sheetFormatPr defaultColWidth="11.5546875" defaultRowHeight="15"/>
  <sheetData>
    <row r="1" spans="1:2">
      <c r="A1" s="4" t="s">
        <v>4635</v>
      </c>
      <c r="B1" s="4">
        <v>-2</v>
      </c>
    </row>
    <row r="2" spans="1:2">
      <c r="A2" s="4" t="s">
        <v>4636</v>
      </c>
      <c r="B2" s="5">
        <v>-2</v>
      </c>
    </row>
    <row r="3" spans="1:2">
      <c r="A3" s="4" t="s">
        <v>4637</v>
      </c>
      <c r="B3" s="5">
        <v>-2</v>
      </c>
    </row>
    <row r="4" spans="1:2">
      <c r="A4" s="4" t="s">
        <v>4638</v>
      </c>
      <c r="B4" s="5">
        <v>-2</v>
      </c>
    </row>
    <row r="5" spans="1:2">
      <c r="A5" s="4" t="s">
        <v>4639</v>
      </c>
      <c r="B5" s="5">
        <v>-2</v>
      </c>
    </row>
    <row r="6" spans="1:2">
      <c r="A6" s="4" t="s">
        <v>4640</v>
      </c>
      <c r="B6" s="5">
        <v>-2</v>
      </c>
    </row>
    <row r="7" spans="1:2">
      <c r="A7" s="4" t="s">
        <v>4641</v>
      </c>
      <c r="B7" s="5">
        <v>-3</v>
      </c>
    </row>
    <row r="8" spans="1:2">
      <c r="A8" s="4" t="s">
        <v>4642</v>
      </c>
      <c r="B8" s="5">
        <v>-3</v>
      </c>
    </row>
    <row r="9" spans="1:2">
      <c r="A9" s="4" t="s">
        <v>4643</v>
      </c>
      <c r="B9" s="5">
        <v>-3</v>
      </c>
    </row>
    <row r="10" spans="1:2">
      <c r="A10" s="4" t="s">
        <v>4644</v>
      </c>
      <c r="B10" s="5">
        <v>-3</v>
      </c>
    </row>
    <row r="11" spans="1:2">
      <c r="A11" s="4" t="s">
        <v>4645</v>
      </c>
      <c r="B11" s="5">
        <v>2</v>
      </c>
    </row>
    <row r="12" spans="1:2">
      <c r="A12" s="4" t="s">
        <v>4646</v>
      </c>
      <c r="B12" s="5">
        <v>2</v>
      </c>
    </row>
    <row r="13" spans="1:2">
      <c r="A13" s="4" t="s">
        <v>4647</v>
      </c>
      <c r="B13" s="5">
        <v>1</v>
      </c>
    </row>
    <row r="14" spans="1:2">
      <c r="A14" s="4" t="s">
        <v>4648</v>
      </c>
      <c r="B14" s="5">
        <v>-1</v>
      </c>
    </row>
    <row r="15" spans="1:2">
      <c r="A15" s="4" t="s">
        <v>4649</v>
      </c>
      <c r="B15" s="5">
        <v>-1</v>
      </c>
    </row>
    <row r="16" spans="1:2">
      <c r="A16" s="4" t="s">
        <v>4650</v>
      </c>
      <c r="B16" s="5">
        <v>2</v>
      </c>
    </row>
    <row r="17" spans="1:2">
      <c r="A17" s="4" t="s">
        <v>4651</v>
      </c>
      <c r="B17" s="5">
        <v>2</v>
      </c>
    </row>
    <row r="18" spans="1:2">
      <c r="A18" s="4" t="s">
        <v>4652</v>
      </c>
      <c r="B18" s="5">
        <v>2</v>
      </c>
    </row>
    <row r="19" spans="1:2">
      <c r="A19" s="4" t="s">
        <v>4653</v>
      </c>
      <c r="B19" s="5">
        <v>2</v>
      </c>
    </row>
    <row r="20" spans="1:2">
      <c r="A20" s="4" t="s">
        <v>4654</v>
      </c>
      <c r="B20" s="5">
        <v>1</v>
      </c>
    </row>
    <row r="21" spans="1:2">
      <c r="A21" s="4" t="s">
        <v>4655</v>
      </c>
      <c r="B21" s="5">
        <v>-3</v>
      </c>
    </row>
    <row r="22" spans="1:2">
      <c r="A22" s="4" t="s">
        <v>4656</v>
      </c>
      <c r="B22" s="5">
        <v>-3</v>
      </c>
    </row>
    <row r="23" spans="1:2">
      <c r="A23" s="4" t="s">
        <v>4657</v>
      </c>
      <c r="B23" s="5">
        <v>-3</v>
      </c>
    </row>
    <row r="24" spans="1:2">
      <c r="A24" s="4" t="s">
        <v>4658</v>
      </c>
      <c r="B24" s="5">
        <v>-3</v>
      </c>
    </row>
    <row r="25" spans="1:2">
      <c r="A25" s="4" t="s">
        <v>4659</v>
      </c>
      <c r="B25" s="5">
        <v>1</v>
      </c>
    </row>
    <row r="26" spans="1:2">
      <c r="A26" s="4" t="s">
        <v>4660</v>
      </c>
      <c r="B26" s="5">
        <v>1</v>
      </c>
    </row>
    <row r="27" spans="1:2">
      <c r="A27" s="4" t="s">
        <v>4661</v>
      </c>
      <c r="B27" s="5">
        <v>1</v>
      </c>
    </row>
    <row r="28" spans="1:2">
      <c r="A28" s="4" t="s">
        <v>4662</v>
      </c>
      <c r="B28" s="5">
        <v>1</v>
      </c>
    </row>
    <row r="29" spans="1:2">
      <c r="A29" s="4" t="s">
        <v>4663</v>
      </c>
      <c r="B29" s="5">
        <v>-2</v>
      </c>
    </row>
    <row r="30" spans="1:2">
      <c r="A30" s="4" t="s">
        <v>4664</v>
      </c>
      <c r="B30" s="5">
        <v>-2</v>
      </c>
    </row>
    <row r="31" spans="1:2">
      <c r="A31" s="4" t="s">
        <v>4665</v>
      </c>
      <c r="B31" s="5">
        <v>-2</v>
      </c>
    </row>
    <row r="32" spans="1:2">
      <c r="A32" s="4" t="s">
        <v>4666</v>
      </c>
      <c r="B32" s="5">
        <v>-2</v>
      </c>
    </row>
    <row r="33" spans="1:2">
      <c r="A33" s="4" t="s">
        <v>4667</v>
      </c>
      <c r="B33" s="5">
        <v>2</v>
      </c>
    </row>
    <row r="34" spans="1:2">
      <c r="A34" s="4" t="s">
        <v>4668</v>
      </c>
      <c r="B34" s="5">
        <v>2</v>
      </c>
    </row>
    <row r="35" spans="1:2">
      <c r="A35" s="4" t="s">
        <v>4669</v>
      </c>
      <c r="B35" s="5">
        <v>2</v>
      </c>
    </row>
    <row r="36" spans="1:2">
      <c r="A36" s="4" t="s">
        <v>4670</v>
      </c>
      <c r="B36" s="5">
        <v>-2</v>
      </c>
    </row>
    <row r="37" spans="1:2">
      <c r="A37" s="4" t="s">
        <v>4671</v>
      </c>
      <c r="B37" s="5">
        <v>-2</v>
      </c>
    </row>
    <row r="38" spans="1:2">
      <c r="A38" s="4" t="s">
        <v>4672</v>
      </c>
      <c r="B38" s="5">
        <v>-2</v>
      </c>
    </row>
    <row r="39" spans="1:2">
      <c r="A39" s="4" t="s">
        <v>4673</v>
      </c>
      <c r="B39" s="5">
        <v>-2</v>
      </c>
    </row>
    <row r="40" spans="1:2">
      <c r="A40" s="4" t="s">
        <v>4674</v>
      </c>
      <c r="B40" s="5">
        <v>-2</v>
      </c>
    </row>
    <row r="41" spans="1:2">
      <c r="A41" s="4" t="s">
        <v>4675</v>
      </c>
      <c r="B41" s="5">
        <v>-2</v>
      </c>
    </row>
    <row r="42" spans="1:2">
      <c r="A42" s="4" t="s">
        <v>4676</v>
      </c>
      <c r="B42" s="5">
        <v>-2</v>
      </c>
    </row>
    <row r="43" spans="1:2">
      <c r="A43" s="4" t="s">
        <v>4677</v>
      </c>
      <c r="B43" s="5">
        <v>1</v>
      </c>
    </row>
    <row r="44" spans="1:2">
      <c r="A44" s="4" t="s">
        <v>4678</v>
      </c>
      <c r="B44" s="5">
        <v>-2</v>
      </c>
    </row>
    <row r="45" spans="1:2">
      <c r="A45" s="4" t="s">
        <v>4679</v>
      </c>
      <c r="B45" s="5">
        <v>2</v>
      </c>
    </row>
    <row r="46" spans="1:2">
      <c r="A46" s="4" t="s">
        <v>4680</v>
      </c>
      <c r="B46" s="5">
        <v>2</v>
      </c>
    </row>
    <row r="47" spans="1:2">
      <c r="A47" s="4" t="s">
        <v>4681</v>
      </c>
      <c r="B47" s="5">
        <v>2</v>
      </c>
    </row>
    <row r="48" spans="1:2">
      <c r="A48" s="4" t="s">
        <v>4682</v>
      </c>
      <c r="B48" s="5">
        <v>2</v>
      </c>
    </row>
    <row r="49" spans="1:2">
      <c r="A49" s="4" t="s">
        <v>4683</v>
      </c>
      <c r="B49" s="5">
        <v>-3</v>
      </c>
    </row>
    <row r="50" spans="1:2">
      <c r="A50" s="4" t="s">
        <v>4684</v>
      </c>
      <c r="B50" s="5">
        <v>1</v>
      </c>
    </row>
    <row r="51" spans="1:2">
      <c r="A51" s="4" t="s">
        <v>4685</v>
      </c>
      <c r="B51" s="5">
        <v>1</v>
      </c>
    </row>
    <row r="52" spans="1:2">
      <c r="A52" s="4" t="s">
        <v>4686</v>
      </c>
      <c r="B52" s="5">
        <v>3</v>
      </c>
    </row>
    <row r="53" spans="1:2">
      <c r="A53" s="4" t="s">
        <v>4687</v>
      </c>
      <c r="B53" s="5">
        <v>3</v>
      </c>
    </row>
    <row r="54" spans="1:2">
      <c r="A54" s="4" t="s">
        <v>4688</v>
      </c>
      <c r="B54" s="5">
        <v>3</v>
      </c>
    </row>
    <row r="55" spans="1:2">
      <c r="A55" s="4" t="s">
        <v>4689</v>
      </c>
      <c r="B55" s="5">
        <v>3</v>
      </c>
    </row>
    <row r="56" spans="1:2">
      <c r="A56" s="4" t="s">
        <v>4690</v>
      </c>
      <c r="B56" s="5">
        <v>-1</v>
      </c>
    </row>
    <row r="57" spans="1:2">
      <c r="A57" s="4" t="s">
        <v>4691</v>
      </c>
      <c r="B57" s="5">
        <v>-1</v>
      </c>
    </row>
    <row r="58" spans="1:2">
      <c r="A58" s="4" t="s">
        <v>4692</v>
      </c>
      <c r="B58" s="5">
        <v>-1</v>
      </c>
    </row>
    <row r="59" spans="1:2">
      <c r="A59" s="4" t="s">
        <v>4693</v>
      </c>
      <c r="B59" s="5">
        <v>-2</v>
      </c>
    </row>
    <row r="60" spans="1:2">
      <c r="A60" s="4" t="s">
        <v>4694</v>
      </c>
      <c r="B60" s="5">
        <v>-2</v>
      </c>
    </row>
    <row r="61" spans="1:2">
      <c r="A61" s="4" t="s">
        <v>4695</v>
      </c>
      <c r="B61" s="5">
        <v>1</v>
      </c>
    </row>
    <row r="62" spans="1:2">
      <c r="A62" s="4" t="s">
        <v>4696</v>
      </c>
      <c r="B62" s="5">
        <v>1</v>
      </c>
    </row>
    <row r="63" spans="1:2">
      <c r="A63" s="4" t="s">
        <v>4697</v>
      </c>
      <c r="B63" s="5">
        <v>3</v>
      </c>
    </row>
    <row r="64" spans="1:2">
      <c r="A64" s="4" t="s">
        <v>4698</v>
      </c>
      <c r="B64" s="5">
        <v>3</v>
      </c>
    </row>
    <row r="65" spans="1:2">
      <c r="A65" s="4" t="s">
        <v>4699</v>
      </c>
      <c r="B65" s="5">
        <v>3</v>
      </c>
    </row>
    <row r="66" spans="1:2">
      <c r="A66" s="4" t="s">
        <v>4700</v>
      </c>
      <c r="B66" s="5">
        <v>3</v>
      </c>
    </row>
    <row r="67" spans="1:2">
      <c r="A67" s="4" t="s">
        <v>4701</v>
      </c>
      <c r="B67" s="5">
        <v>1</v>
      </c>
    </row>
    <row r="68" spans="1:2">
      <c r="A68" s="4" t="s">
        <v>4702</v>
      </c>
      <c r="B68" s="5">
        <v>2</v>
      </c>
    </row>
    <row r="69" spans="1:2">
      <c r="A69" s="4" t="s">
        <v>4703</v>
      </c>
      <c r="B69" s="5">
        <v>2</v>
      </c>
    </row>
    <row r="70" spans="1:2">
      <c r="A70" s="4" t="s">
        <v>4704</v>
      </c>
      <c r="B70" s="5">
        <v>2</v>
      </c>
    </row>
    <row r="71" spans="1:2">
      <c r="A71" s="4" t="s">
        <v>4705</v>
      </c>
      <c r="B71" s="5">
        <v>2</v>
      </c>
    </row>
    <row r="72" spans="1:2">
      <c r="A72" s="4" t="s">
        <v>4706</v>
      </c>
      <c r="B72" s="5">
        <v>2</v>
      </c>
    </row>
    <row r="73" spans="1:2">
      <c r="A73" s="4" t="s">
        <v>4707</v>
      </c>
      <c r="B73" s="5">
        <v>-1</v>
      </c>
    </row>
    <row r="74" spans="1:2">
      <c r="A74" s="4" t="s">
        <v>4708</v>
      </c>
      <c r="B74" s="5">
        <v>3</v>
      </c>
    </row>
    <row r="75" spans="1:2">
      <c r="A75" s="4" t="s">
        <v>4709</v>
      </c>
      <c r="B75" s="5">
        <v>3</v>
      </c>
    </row>
    <row r="76" spans="1:2">
      <c r="A76" s="4" t="s">
        <v>4710</v>
      </c>
      <c r="B76" s="5">
        <v>-1</v>
      </c>
    </row>
    <row r="77" spans="1:2">
      <c r="A77" s="4" t="s">
        <v>4711</v>
      </c>
      <c r="B77" s="5">
        <v>-1</v>
      </c>
    </row>
    <row r="78" spans="1:2">
      <c r="A78" s="4" t="s">
        <v>4712</v>
      </c>
      <c r="B78" s="5">
        <v>-2</v>
      </c>
    </row>
    <row r="79" spans="1:2">
      <c r="A79" s="4" t="s">
        <v>4713</v>
      </c>
      <c r="B79" s="5">
        <v>-2</v>
      </c>
    </row>
    <row r="80" spans="1:2">
      <c r="A80" s="4" t="s">
        <v>4714</v>
      </c>
      <c r="B80" s="5">
        <v>-2</v>
      </c>
    </row>
    <row r="81" spans="1:2">
      <c r="A81" s="4" t="s">
        <v>4715</v>
      </c>
      <c r="B81" s="5">
        <v>-2</v>
      </c>
    </row>
    <row r="82" spans="1:2">
      <c r="A82" s="4" t="s">
        <v>4716</v>
      </c>
      <c r="B82" s="5">
        <v>-2</v>
      </c>
    </row>
    <row r="83" spans="1:2">
      <c r="A83" s="4" t="s">
        <v>4717</v>
      </c>
      <c r="B83" s="5">
        <v>-2</v>
      </c>
    </row>
    <row r="84" spans="1:2">
      <c r="A84" s="4" t="s">
        <v>4718</v>
      </c>
      <c r="B84" s="5">
        <v>-2</v>
      </c>
    </row>
    <row r="85" spans="1:2">
      <c r="A85" s="4" t="s">
        <v>4719</v>
      </c>
      <c r="B85" s="5">
        <v>-2</v>
      </c>
    </row>
    <row r="86" spans="1:2">
      <c r="A86" s="4" t="s">
        <v>4720</v>
      </c>
      <c r="B86" s="5">
        <v>-2</v>
      </c>
    </row>
    <row r="87" spans="1:2">
      <c r="A87" s="4" t="s">
        <v>4721</v>
      </c>
      <c r="B87" s="5">
        <v>-3</v>
      </c>
    </row>
    <row r="88" spans="1:2">
      <c r="A88" s="4" t="s">
        <v>4722</v>
      </c>
      <c r="B88" s="5">
        <v>-3</v>
      </c>
    </row>
    <row r="89" spans="1:2">
      <c r="A89" s="4" t="s">
        <v>4723</v>
      </c>
      <c r="B89" s="5">
        <v>-3</v>
      </c>
    </row>
    <row r="90" spans="1:2">
      <c r="A90" s="4" t="s">
        <v>4724</v>
      </c>
      <c r="B90" s="5">
        <v>-3</v>
      </c>
    </row>
    <row r="91" spans="1:2">
      <c r="A91" s="4" t="s">
        <v>4725</v>
      </c>
      <c r="B91" s="5">
        <v>-3</v>
      </c>
    </row>
    <row r="92" spans="1:2">
      <c r="A92" s="4" t="s">
        <v>4726</v>
      </c>
      <c r="B92" s="5">
        <v>-3</v>
      </c>
    </row>
    <row r="93" spans="1:2">
      <c r="A93" s="4" t="s">
        <v>4727</v>
      </c>
      <c r="B93" s="5">
        <v>-3</v>
      </c>
    </row>
    <row r="94" spans="1:2">
      <c r="A94" s="4" t="s">
        <v>4728</v>
      </c>
      <c r="B94" s="5">
        <v>-3</v>
      </c>
    </row>
    <row r="95" spans="1:2">
      <c r="A95" s="4" t="s">
        <v>4729</v>
      </c>
      <c r="B95" s="5">
        <v>1</v>
      </c>
    </row>
    <row r="96" spans="1:2">
      <c r="A96" s="4" t="s">
        <v>4730</v>
      </c>
      <c r="B96" s="5">
        <v>2</v>
      </c>
    </row>
    <row r="97" spans="1:2">
      <c r="A97" s="4" t="s">
        <v>4731</v>
      </c>
      <c r="B97" s="5">
        <v>1</v>
      </c>
    </row>
    <row r="98" spans="1:2">
      <c r="A98" s="4" t="s">
        <v>4732</v>
      </c>
      <c r="B98" s="5">
        <v>1</v>
      </c>
    </row>
    <row r="99" spans="1:2">
      <c r="A99" s="4" t="s">
        <v>4733</v>
      </c>
      <c r="B99" s="5">
        <v>1</v>
      </c>
    </row>
    <row r="100" spans="1:2">
      <c r="A100" s="4" t="s">
        <v>4734</v>
      </c>
      <c r="B100" s="5">
        <v>-2</v>
      </c>
    </row>
    <row r="101" spans="1:2">
      <c r="A101" s="4" t="s">
        <v>4735</v>
      </c>
      <c r="B101" s="5">
        <v>-2</v>
      </c>
    </row>
    <row r="102" spans="1:2">
      <c r="A102" s="4" t="s">
        <v>4736</v>
      </c>
      <c r="B102" s="5">
        <v>-2</v>
      </c>
    </row>
    <row r="103" spans="1:2">
      <c r="A103" s="4" t="s">
        <v>4737</v>
      </c>
      <c r="B103" s="5">
        <v>-2</v>
      </c>
    </row>
    <row r="104" spans="1:2">
      <c r="A104" s="4" t="s">
        <v>4738</v>
      </c>
      <c r="B104" s="5">
        <v>-1</v>
      </c>
    </row>
    <row r="105" spans="1:2">
      <c r="A105" s="4" t="s">
        <v>4739</v>
      </c>
      <c r="B105" s="5">
        <v>-1</v>
      </c>
    </row>
    <row r="106" spans="1:2">
      <c r="A106" s="4" t="s">
        <v>4740</v>
      </c>
      <c r="B106" s="5">
        <v>-2</v>
      </c>
    </row>
    <row r="107" spans="1:2">
      <c r="A107" s="4" t="s">
        <v>4741</v>
      </c>
      <c r="B107" s="5">
        <v>1</v>
      </c>
    </row>
    <row r="108" spans="1:2">
      <c r="A108" s="4" t="s">
        <v>4742</v>
      </c>
      <c r="B108" s="5">
        <v>-2</v>
      </c>
    </row>
    <row r="109" spans="1:2">
      <c r="A109" s="4" t="s">
        <v>4743</v>
      </c>
      <c r="B109" s="5">
        <v>1</v>
      </c>
    </row>
    <row r="110" spans="1:2">
      <c r="A110" s="4" t="s">
        <v>4744</v>
      </c>
      <c r="B110" s="5">
        <v>-2</v>
      </c>
    </row>
    <row r="111" spans="1:2">
      <c r="A111" s="4" t="s">
        <v>4745</v>
      </c>
      <c r="B111" s="5">
        <v>2</v>
      </c>
    </row>
    <row r="112" spans="1:2">
      <c r="A112" s="4" t="s">
        <v>4746</v>
      </c>
      <c r="B112" s="5">
        <v>2</v>
      </c>
    </row>
    <row r="113" spans="1:2">
      <c r="A113" s="4" t="s">
        <v>4747</v>
      </c>
      <c r="B113" s="5">
        <v>2</v>
      </c>
    </row>
    <row r="114" spans="1:2">
      <c r="A114" s="4" t="s">
        <v>4748</v>
      </c>
      <c r="B114" s="5">
        <v>4</v>
      </c>
    </row>
    <row r="115" spans="1:2">
      <c r="A115" s="4" t="s">
        <v>4749</v>
      </c>
      <c r="B115" s="5">
        <v>2</v>
      </c>
    </row>
    <row r="116" spans="1:2">
      <c r="A116" s="4" t="s">
        <v>4750</v>
      </c>
      <c r="B116" s="5">
        <v>-1</v>
      </c>
    </row>
    <row r="117" spans="1:2">
      <c r="A117" s="4" t="s">
        <v>4751</v>
      </c>
      <c r="B117" s="5">
        <v>3</v>
      </c>
    </row>
    <row r="118" spans="1:2">
      <c r="A118" s="4" t="s">
        <v>4752</v>
      </c>
      <c r="B118" s="5">
        <v>3</v>
      </c>
    </row>
    <row r="119" spans="1:2">
      <c r="A119" s="4" t="s">
        <v>4753</v>
      </c>
      <c r="B119" s="5">
        <v>3</v>
      </c>
    </row>
    <row r="120" spans="1:2">
      <c r="A120" s="4" t="s">
        <v>4754</v>
      </c>
      <c r="B120" s="5">
        <v>3</v>
      </c>
    </row>
    <row r="121" spans="1:2">
      <c r="A121" s="4" t="s">
        <v>4755</v>
      </c>
      <c r="B121" s="5">
        <v>-3</v>
      </c>
    </row>
    <row r="122" spans="1:2">
      <c r="A122" s="4" t="s">
        <v>4756</v>
      </c>
      <c r="B122" s="5">
        <v>-3</v>
      </c>
    </row>
    <row r="123" spans="1:2">
      <c r="A123" s="4" t="s">
        <v>4757</v>
      </c>
      <c r="B123" s="5">
        <v>-3</v>
      </c>
    </row>
    <row r="124" spans="1:2">
      <c r="A124" s="4" t="s">
        <v>4758</v>
      </c>
      <c r="B124" s="5">
        <v>-3</v>
      </c>
    </row>
    <row r="125" spans="1:2">
      <c r="A125" s="4" t="s">
        <v>4759</v>
      </c>
      <c r="B125" s="5">
        <v>-3</v>
      </c>
    </row>
    <row r="126" spans="1:2">
      <c r="A126" s="4" t="s">
        <v>4760</v>
      </c>
      <c r="B126" s="5">
        <v>-2</v>
      </c>
    </row>
    <row r="127" spans="1:2">
      <c r="A127" s="4" t="s">
        <v>4761</v>
      </c>
      <c r="B127" s="5">
        <v>-2</v>
      </c>
    </row>
    <row r="128" spans="1:2">
      <c r="A128" s="4" t="s">
        <v>4762</v>
      </c>
      <c r="B128" s="5">
        <v>-2</v>
      </c>
    </row>
    <row r="129" spans="1:2">
      <c r="A129" s="4" t="s">
        <v>4763</v>
      </c>
      <c r="B129" s="5">
        <v>-2</v>
      </c>
    </row>
    <row r="130" spans="1:2">
      <c r="A130" s="4" t="s">
        <v>4764</v>
      </c>
      <c r="B130" s="5">
        <v>-2</v>
      </c>
    </row>
    <row r="131" spans="1:2">
      <c r="A131" s="4" t="s">
        <v>4765</v>
      </c>
      <c r="B131" s="5">
        <v>-2</v>
      </c>
    </row>
    <row r="132" spans="1:2">
      <c r="A132" s="4" t="s">
        <v>4766</v>
      </c>
      <c r="B132" s="5">
        <v>-2</v>
      </c>
    </row>
    <row r="133" spans="1:2">
      <c r="A133" s="4" t="s">
        <v>4767</v>
      </c>
      <c r="B133" s="5">
        <v>-1</v>
      </c>
    </row>
    <row r="134" spans="1:2">
      <c r="A134" s="4" t="s">
        <v>4768</v>
      </c>
      <c r="B134" s="5">
        <v>1</v>
      </c>
    </row>
    <row r="135" spans="1:2">
      <c r="A135" s="4" t="s">
        <v>4769</v>
      </c>
      <c r="B135" s="5">
        <v>-2</v>
      </c>
    </row>
    <row r="136" spans="1:2">
      <c r="A136" s="4" t="s">
        <v>4770</v>
      </c>
      <c r="B136" s="5">
        <v>-2</v>
      </c>
    </row>
    <row r="137" spans="1:2">
      <c r="A137" s="4" t="s">
        <v>4771</v>
      </c>
      <c r="B137" s="5">
        <v>-3</v>
      </c>
    </row>
    <row r="138" spans="1:2">
      <c r="A138" s="4" t="s">
        <v>4772</v>
      </c>
      <c r="B138" s="5">
        <v>-3</v>
      </c>
    </row>
    <row r="139" spans="1:2">
      <c r="A139" s="4" t="s">
        <v>4773</v>
      </c>
      <c r="B139" s="5">
        <v>-3</v>
      </c>
    </row>
    <row r="140" spans="1:2">
      <c r="A140" s="4" t="s">
        <v>4774</v>
      </c>
      <c r="B140" s="5">
        <v>-2</v>
      </c>
    </row>
    <row r="141" spans="1:2">
      <c r="A141" s="4" t="s">
        <v>4775</v>
      </c>
      <c r="B141" s="5">
        <v>-1</v>
      </c>
    </row>
    <row r="142" spans="1:2">
      <c r="A142" s="4" t="s">
        <v>4776</v>
      </c>
      <c r="B142" s="5">
        <v>-1</v>
      </c>
    </row>
    <row r="143" spans="1:2">
      <c r="A143" s="4" t="s">
        <v>4777</v>
      </c>
      <c r="B143" s="5">
        <v>-1</v>
      </c>
    </row>
    <row r="144" spans="1:2">
      <c r="A144" s="4" t="s">
        <v>4778</v>
      </c>
      <c r="B144" s="5">
        <v>-1</v>
      </c>
    </row>
    <row r="145" spans="1:2">
      <c r="A145" s="4" t="s">
        <v>4779</v>
      </c>
      <c r="B145" s="5">
        <v>-1</v>
      </c>
    </row>
    <row r="146" spans="1:2">
      <c r="A146" s="4" t="s">
        <v>4780</v>
      </c>
      <c r="B146" s="5">
        <v>-1</v>
      </c>
    </row>
    <row r="147" spans="1:2">
      <c r="A147" s="4" t="s">
        <v>4781</v>
      </c>
      <c r="B147" s="5">
        <v>-1</v>
      </c>
    </row>
    <row r="148" spans="1:2">
      <c r="A148" s="4" t="s">
        <v>4782</v>
      </c>
      <c r="B148" s="5">
        <v>-1</v>
      </c>
    </row>
    <row r="149" spans="1:2">
      <c r="A149" s="4" t="s">
        <v>4783</v>
      </c>
      <c r="B149" s="5">
        <v>-1</v>
      </c>
    </row>
    <row r="150" spans="1:2">
      <c r="A150" s="4" t="s">
        <v>4784</v>
      </c>
      <c r="B150" s="5">
        <v>-2</v>
      </c>
    </row>
    <row r="151" spans="1:2">
      <c r="A151" s="4" t="s">
        <v>4785</v>
      </c>
      <c r="B151" s="5">
        <v>-2</v>
      </c>
    </row>
    <row r="152" spans="1:2">
      <c r="A152" s="4" t="s">
        <v>4786</v>
      </c>
      <c r="B152" s="5">
        <v>2</v>
      </c>
    </row>
    <row r="153" spans="1:2">
      <c r="A153" s="4" t="s">
        <v>4787</v>
      </c>
      <c r="B153" s="5">
        <v>2</v>
      </c>
    </row>
    <row r="154" spans="1:2">
      <c r="A154" s="4" t="s">
        <v>4788</v>
      </c>
      <c r="B154" s="5">
        <v>2</v>
      </c>
    </row>
    <row r="155" spans="1:2">
      <c r="A155" s="4" t="s">
        <v>4789</v>
      </c>
      <c r="B155" s="5">
        <v>2</v>
      </c>
    </row>
    <row r="156" spans="1:2">
      <c r="A156" s="4" t="s">
        <v>4790</v>
      </c>
      <c r="B156" s="5">
        <v>2</v>
      </c>
    </row>
    <row r="157" spans="1:2">
      <c r="A157" s="4" t="s">
        <v>4791</v>
      </c>
      <c r="B157" s="5">
        <v>2</v>
      </c>
    </row>
    <row r="158" spans="1:2">
      <c r="A158" s="4" t="s">
        <v>4792</v>
      </c>
      <c r="B158" s="5">
        <v>2</v>
      </c>
    </row>
    <row r="159" spans="1:2">
      <c r="A159" s="4" t="s">
        <v>4793</v>
      </c>
      <c r="B159" s="5">
        <v>2</v>
      </c>
    </row>
    <row r="160" spans="1:2">
      <c r="A160" s="4" t="s">
        <v>4794</v>
      </c>
      <c r="B160" s="5">
        <v>2</v>
      </c>
    </row>
    <row r="161" spans="1:2">
      <c r="A161" s="4" t="s">
        <v>4795</v>
      </c>
      <c r="B161" s="5">
        <v>2</v>
      </c>
    </row>
    <row r="162" spans="1:2">
      <c r="A162" s="4" t="s">
        <v>4796</v>
      </c>
      <c r="B162" s="5">
        <v>2</v>
      </c>
    </row>
    <row r="163" spans="1:2">
      <c r="A163" s="4" t="s">
        <v>4797</v>
      </c>
      <c r="B163" s="5">
        <v>2</v>
      </c>
    </row>
    <row r="164" spans="1:2">
      <c r="A164" s="4" t="s">
        <v>4798</v>
      </c>
      <c r="B164" s="5">
        <v>2</v>
      </c>
    </row>
    <row r="165" spans="1:2">
      <c r="A165" s="4" t="s">
        <v>4799</v>
      </c>
      <c r="B165" s="5">
        <v>2</v>
      </c>
    </row>
    <row r="166" spans="1:2">
      <c r="A166" s="4" t="s">
        <v>4800</v>
      </c>
      <c r="B166" s="5">
        <v>-2</v>
      </c>
    </row>
    <row r="167" spans="1:2">
      <c r="A167" s="4" t="s">
        <v>4801</v>
      </c>
      <c r="B167" s="5">
        <v>2</v>
      </c>
    </row>
    <row r="168" spans="1:2">
      <c r="A168" s="4" t="s">
        <v>4802</v>
      </c>
      <c r="B168" s="5">
        <v>2</v>
      </c>
    </row>
    <row r="169" spans="1:2">
      <c r="A169" s="4" t="s">
        <v>4803</v>
      </c>
      <c r="B169" s="5">
        <v>2</v>
      </c>
    </row>
    <row r="170" spans="1:2">
      <c r="A170" s="4" t="s">
        <v>4804</v>
      </c>
      <c r="B170" s="5">
        <v>1</v>
      </c>
    </row>
    <row r="171" spans="1:2">
      <c r="A171" s="4" t="s">
        <v>4805</v>
      </c>
      <c r="B171" s="5">
        <v>-2</v>
      </c>
    </row>
    <row r="172" spans="1:2">
      <c r="A172" s="4" t="s">
        <v>4806</v>
      </c>
      <c r="B172" s="5">
        <v>-3</v>
      </c>
    </row>
    <row r="173" spans="1:2">
      <c r="A173" s="4" t="s">
        <v>4807</v>
      </c>
      <c r="B173" s="5">
        <v>-2</v>
      </c>
    </row>
    <row r="174" spans="1:2">
      <c r="A174" s="4" t="s">
        <v>4808</v>
      </c>
      <c r="B174" s="5">
        <v>-2</v>
      </c>
    </row>
    <row r="175" spans="1:2">
      <c r="A175" s="4" t="s">
        <v>4809</v>
      </c>
      <c r="B175" s="5">
        <v>-2</v>
      </c>
    </row>
    <row r="176" spans="1:2">
      <c r="A176" s="4" t="s">
        <v>4810</v>
      </c>
      <c r="B176" s="5">
        <v>-2</v>
      </c>
    </row>
    <row r="177" spans="1:2">
      <c r="A177" s="4" t="s">
        <v>4811</v>
      </c>
      <c r="B177" s="5">
        <v>-4</v>
      </c>
    </row>
    <row r="178" spans="1:2">
      <c r="A178" s="4" t="s">
        <v>4812</v>
      </c>
      <c r="B178" s="5">
        <v>-3</v>
      </c>
    </row>
    <row r="179" spans="1:2">
      <c r="A179" s="4" t="s">
        <v>4813</v>
      </c>
      <c r="B179" s="5">
        <v>-3</v>
      </c>
    </row>
    <row r="180" spans="1:2">
      <c r="A180" s="4" t="s">
        <v>4814</v>
      </c>
      <c r="B180" s="5">
        <v>2</v>
      </c>
    </row>
    <row r="181" spans="1:2">
      <c r="A181" s="4" t="s">
        <v>4815</v>
      </c>
      <c r="B181" s="5">
        <v>2</v>
      </c>
    </row>
    <row r="182" spans="1:2">
      <c r="A182" s="4" t="s">
        <v>4816</v>
      </c>
      <c r="B182" s="5">
        <v>-4</v>
      </c>
    </row>
    <row r="183" spans="1:2">
      <c r="A183" s="4" t="s">
        <v>4817</v>
      </c>
      <c r="B183" s="5">
        <v>-4</v>
      </c>
    </row>
    <row r="184" spans="1:2">
      <c r="A184" s="4" t="s">
        <v>4818</v>
      </c>
      <c r="B184" s="5">
        <v>2</v>
      </c>
    </row>
    <row r="185" spans="1:2">
      <c r="A185" s="4" t="s">
        <v>4819</v>
      </c>
      <c r="B185" s="5">
        <v>3</v>
      </c>
    </row>
    <row r="186" spans="1:2">
      <c r="A186" s="4" t="s">
        <v>4820</v>
      </c>
      <c r="B186" s="5">
        <v>3</v>
      </c>
    </row>
    <row r="187" spans="1:2">
      <c r="A187" s="4" t="s">
        <v>4821</v>
      </c>
      <c r="B187" s="5">
        <v>3</v>
      </c>
    </row>
    <row r="188" spans="1:2">
      <c r="A188" s="4" t="s">
        <v>4822</v>
      </c>
      <c r="B188" s="5">
        <v>3</v>
      </c>
    </row>
    <row r="189" spans="1:2">
      <c r="A189" s="4" t="s">
        <v>4823</v>
      </c>
      <c r="B189" s="5">
        <v>3</v>
      </c>
    </row>
    <row r="190" spans="1:2">
      <c r="A190" s="4" t="s">
        <v>4824</v>
      </c>
      <c r="B190" s="5">
        <v>-1</v>
      </c>
    </row>
    <row r="191" spans="1:2">
      <c r="A191" s="4" t="s">
        <v>4825</v>
      </c>
      <c r="B191" s="5">
        <v>-1</v>
      </c>
    </row>
    <row r="192" spans="1:2">
      <c r="A192" s="4" t="s">
        <v>4826</v>
      </c>
      <c r="B192" s="5">
        <v>-1</v>
      </c>
    </row>
    <row r="193" spans="1:2">
      <c r="A193" s="4" t="s">
        <v>4827</v>
      </c>
      <c r="B193" s="5">
        <v>-1</v>
      </c>
    </row>
    <row r="194" spans="1:2">
      <c r="A194" s="4" t="s">
        <v>4828</v>
      </c>
      <c r="B194" s="5">
        <v>1</v>
      </c>
    </row>
    <row r="195" spans="1:2">
      <c r="A195" s="4" t="s">
        <v>4829</v>
      </c>
      <c r="B195" s="5">
        <v>1</v>
      </c>
    </row>
    <row r="196" spans="1:2">
      <c r="A196" s="4" t="s">
        <v>4830</v>
      </c>
      <c r="B196" s="5">
        <v>2</v>
      </c>
    </row>
    <row r="197" spans="1:2">
      <c r="A197" s="4" t="s">
        <v>4831</v>
      </c>
      <c r="B197" s="5">
        <v>2</v>
      </c>
    </row>
    <row r="198" spans="1:2">
      <c r="A198" s="4" t="s">
        <v>4832</v>
      </c>
      <c r="B198" s="5">
        <v>2</v>
      </c>
    </row>
    <row r="199" spans="1:2">
      <c r="A199" s="4" t="s">
        <v>4833</v>
      </c>
      <c r="B199" s="5">
        <v>1</v>
      </c>
    </row>
    <row r="200" spans="1:2">
      <c r="A200" s="4" t="s">
        <v>4834</v>
      </c>
      <c r="B200" s="5">
        <v>3</v>
      </c>
    </row>
    <row r="201" spans="1:2">
      <c r="A201" s="4" t="s">
        <v>4835</v>
      </c>
      <c r="B201" s="5">
        <v>1</v>
      </c>
    </row>
    <row r="202" spans="1:2">
      <c r="A202" s="4" t="s">
        <v>4836</v>
      </c>
      <c r="B202" s="5">
        <v>-1</v>
      </c>
    </row>
    <row r="203" spans="1:2">
      <c r="A203" s="4" t="s">
        <v>4837</v>
      </c>
      <c r="B203" s="5">
        <v>-1</v>
      </c>
    </row>
    <row r="204" spans="1:2">
      <c r="A204" s="4" t="s">
        <v>4838</v>
      </c>
      <c r="B204" s="5">
        <v>-1</v>
      </c>
    </row>
    <row r="205" spans="1:2">
      <c r="A205" s="4" t="s">
        <v>4839</v>
      </c>
      <c r="B205" s="5">
        <v>2</v>
      </c>
    </row>
    <row r="206" spans="1:2">
      <c r="A206" s="4" t="s">
        <v>4840</v>
      </c>
      <c r="B206" s="5">
        <v>-1</v>
      </c>
    </row>
    <row r="207" spans="1:2">
      <c r="A207" s="4" t="s">
        <v>4841</v>
      </c>
      <c r="B207" s="5">
        <v>-1</v>
      </c>
    </row>
    <row r="208" spans="1:2">
      <c r="A208" s="4" t="s">
        <v>4842</v>
      </c>
      <c r="B208" s="5">
        <v>-1</v>
      </c>
    </row>
    <row r="209" spans="1:2">
      <c r="A209" s="4" t="s">
        <v>4843</v>
      </c>
      <c r="B209" s="5">
        <v>-1</v>
      </c>
    </row>
    <row r="210" spans="1:2">
      <c r="A210" s="4" t="s">
        <v>4844</v>
      </c>
      <c r="B210" s="5">
        <v>-1</v>
      </c>
    </row>
    <row r="211" spans="1:2">
      <c r="A211" s="4" t="s">
        <v>4845</v>
      </c>
      <c r="B211" s="5">
        <v>-1</v>
      </c>
    </row>
    <row r="212" spans="1:2">
      <c r="A212" s="4" t="s">
        <v>4846</v>
      </c>
      <c r="B212" s="5">
        <v>3</v>
      </c>
    </row>
    <row r="213" spans="1:2">
      <c r="A213" s="4" t="s">
        <v>4847</v>
      </c>
      <c r="B213" s="5">
        <v>3</v>
      </c>
    </row>
    <row r="214" spans="1:2">
      <c r="A214" s="4" t="s">
        <v>4848</v>
      </c>
      <c r="B214" s="5">
        <v>3</v>
      </c>
    </row>
    <row r="215" spans="1:2">
      <c r="A215" s="4" t="s">
        <v>4849</v>
      </c>
      <c r="B215" s="5">
        <v>4</v>
      </c>
    </row>
    <row r="216" spans="1:2">
      <c r="A216" s="4" t="s">
        <v>4850</v>
      </c>
      <c r="B216" s="5">
        <v>-3</v>
      </c>
    </row>
    <row r="217" spans="1:2">
      <c r="A217" s="4" t="s">
        <v>4851</v>
      </c>
      <c r="B217" s="5">
        <v>-2</v>
      </c>
    </row>
    <row r="218" spans="1:2">
      <c r="A218" s="4" t="s">
        <v>4852</v>
      </c>
      <c r="B218" s="5">
        <v>-1</v>
      </c>
    </row>
    <row r="219" spans="1:2">
      <c r="A219" s="4" t="s">
        <v>4853</v>
      </c>
      <c r="B219" s="5">
        <v>-1</v>
      </c>
    </row>
    <row r="220" spans="1:2">
      <c r="A220" s="4" t="s">
        <v>4854</v>
      </c>
      <c r="B220" s="5">
        <v>1</v>
      </c>
    </row>
    <row r="221" spans="1:2">
      <c r="A221" s="4" t="s">
        <v>4855</v>
      </c>
      <c r="B221" s="5">
        <v>2</v>
      </c>
    </row>
    <row r="222" spans="1:2">
      <c r="A222" s="4" t="s">
        <v>4856</v>
      </c>
      <c r="B222" s="5">
        <v>1</v>
      </c>
    </row>
    <row r="223" spans="1:2">
      <c r="A223" s="4" t="s">
        <v>4857</v>
      </c>
      <c r="B223" s="5">
        <v>-3</v>
      </c>
    </row>
    <row r="224" spans="1:2">
      <c r="A224" s="4" t="s">
        <v>4858</v>
      </c>
      <c r="B224" s="5">
        <v>-3</v>
      </c>
    </row>
    <row r="225" spans="1:2">
      <c r="A225" s="4" t="s">
        <v>4859</v>
      </c>
      <c r="B225" s="5">
        <v>-3</v>
      </c>
    </row>
    <row r="226" spans="1:2">
      <c r="A226" s="4" t="s">
        <v>4860</v>
      </c>
      <c r="B226" s="5">
        <v>-2</v>
      </c>
    </row>
    <row r="227" spans="1:2">
      <c r="A227" s="4" t="s">
        <v>4861</v>
      </c>
      <c r="B227" s="5">
        <v>-2</v>
      </c>
    </row>
    <row r="228" spans="1:2">
      <c r="A228" s="4" t="s">
        <v>4862</v>
      </c>
      <c r="B228" s="5">
        <v>-2</v>
      </c>
    </row>
    <row r="229" spans="1:2">
      <c r="A229" s="4" t="s">
        <v>4863</v>
      </c>
      <c r="B229" s="5">
        <v>-2</v>
      </c>
    </row>
    <row r="230" spans="1:2">
      <c r="A230" s="4" t="s">
        <v>4864</v>
      </c>
      <c r="B230" s="5">
        <v>-2</v>
      </c>
    </row>
    <row r="231" spans="1:2">
      <c r="A231" s="4" t="s">
        <v>4865</v>
      </c>
      <c r="B231" s="5">
        <v>-1</v>
      </c>
    </row>
    <row r="232" spans="1:2">
      <c r="A232" s="4" t="s">
        <v>4866</v>
      </c>
      <c r="B232" s="5">
        <v>-3</v>
      </c>
    </row>
    <row r="233" spans="1:2">
      <c r="A233" s="4" t="s">
        <v>4867</v>
      </c>
      <c r="B233" s="5">
        <v>-3</v>
      </c>
    </row>
    <row r="234" spans="1:2">
      <c r="A234" s="4" t="s">
        <v>4868</v>
      </c>
      <c r="B234" s="5">
        <v>-2</v>
      </c>
    </row>
    <row r="235" spans="1:2">
      <c r="A235" s="4" t="s">
        <v>4869</v>
      </c>
      <c r="B235" s="5">
        <v>2</v>
      </c>
    </row>
    <row r="236" spans="1:2">
      <c r="A236" s="4" t="s">
        <v>4870</v>
      </c>
      <c r="B236" s="5">
        <v>-2</v>
      </c>
    </row>
    <row r="237" spans="1:2">
      <c r="A237" s="4" t="s">
        <v>4871</v>
      </c>
      <c r="B237" s="5">
        <v>-5</v>
      </c>
    </row>
    <row r="238" spans="1:2">
      <c r="A238" s="4" t="s">
        <v>4872</v>
      </c>
      <c r="B238" s="5">
        <v>-5</v>
      </c>
    </row>
    <row r="239" spans="1:2">
      <c r="A239" s="4" t="s">
        <v>4873</v>
      </c>
      <c r="B239" s="5">
        <v>-1</v>
      </c>
    </row>
    <row r="240" spans="1:2">
      <c r="A240" s="4" t="s">
        <v>4874</v>
      </c>
      <c r="B240" s="5">
        <v>-1</v>
      </c>
    </row>
    <row r="241" spans="1:2">
      <c r="A241" s="4" t="s">
        <v>4875</v>
      </c>
      <c r="B241" s="5">
        <v>-2</v>
      </c>
    </row>
    <row r="242" spans="1:2">
      <c r="A242" s="4" t="s">
        <v>4876</v>
      </c>
      <c r="B242" s="5">
        <v>3</v>
      </c>
    </row>
    <row r="243" spans="1:2">
      <c r="A243" s="4" t="s">
        <v>4877</v>
      </c>
      <c r="B243" s="5">
        <v>-1</v>
      </c>
    </row>
    <row r="244" spans="1:2">
      <c r="A244" s="4" t="s">
        <v>4878</v>
      </c>
      <c r="B244" s="5">
        <v>3</v>
      </c>
    </row>
    <row r="245" spans="1:2">
      <c r="A245" s="4" t="s">
        <v>4879</v>
      </c>
      <c r="B245" s="5">
        <v>3</v>
      </c>
    </row>
    <row r="246" spans="1:2">
      <c r="A246" s="4" t="s">
        <v>4880</v>
      </c>
      <c r="B246" s="5">
        <v>3</v>
      </c>
    </row>
    <row r="247" spans="1:2">
      <c r="A247" s="4" t="s">
        <v>4881</v>
      </c>
      <c r="B247" s="5">
        <v>3</v>
      </c>
    </row>
    <row r="248" spans="1:2">
      <c r="A248" s="4" t="s">
        <v>4882</v>
      </c>
      <c r="B248" s="5">
        <v>-2</v>
      </c>
    </row>
    <row r="249" spans="1:2">
      <c r="A249" s="4" t="s">
        <v>4883</v>
      </c>
      <c r="B249" s="5">
        <v>-2</v>
      </c>
    </row>
    <row r="250" spans="1:2">
      <c r="A250" s="4" t="s">
        <v>4884</v>
      </c>
      <c r="B250" s="5">
        <v>3</v>
      </c>
    </row>
    <row r="251" spans="1:2">
      <c r="A251" s="4" t="s">
        <v>4885</v>
      </c>
      <c r="B251" s="5">
        <v>2</v>
      </c>
    </row>
    <row r="252" spans="1:2">
      <c r="A252" s="4" t="s">
        <v>4886</v>
      </c>
      <c r="B252" s="5">
        <v>2</v>
      </c>
    </row>
    <row r="253" spans="1:2">
      <c r="A253" s="4" t="s">
        <v>4887</v>
      </c>
      <c r="B253" s="5">
        <v>2</v>
      </c>
    </row>
    <row r="254" spans="1:2">
      <c r="A254" s="4" t="s">
        <v>4888</v>
      </c>
      <c r="B254" s="5">
        <v>2</v>
      </c>
    </row>
    <row r="255" spans="1:2">
      <c r="A255" s="4" t="s">
        <v>4889</v>
      </c>
      <c r="B255" s="5">
        <v>-2</v>
      </c>
    </row>
    <row r="256" spans="1:2">
      <c r="A256" s="4" t="s">
        <v>4890</v>
      </c>
      <c r="B256" s="5">
        <v>-2</v>
      </c>
    </row>
    <row r="257" spans="1:2">
      <c r="A257" s="4" t="s">
        <v>4891</v>
      </c>
      <c r="B257" s="5">
        <v>-2</v>
      </c>
    </row>
    <row r="258" spans="1:2">
      <c r="A258" s="4" t="s">
        <v>4892</v>
      </c>
      <c r="B258" s="5">
        <v>-2</v>
      </c>
    </row>
    <row r="259" spans="1:2">
      <c r="A259" s="4" t="s">
        <v>4893</v>
      </c>
      <c r="B259" s="5">
        <v>3</v>
      </c>
    </row>
    <row r="260" spans="1:2">
      <c r="A260" s="4" t="s">
        <v>4894</v>
      </c>
      <c r="B260" s="5">
        <v>-3</v>
      </c>
    </row>
    <row r="261" spans="1:2">
      <c r="A261" s="4" t="s">
        <v>4895</v>
      </c>
      <c r="B261" s="5">
        <v>-3</v>
      </c>
    </row>
    <row r="262" spans="1:2">
      <c r="A262" s="4" t="s">
        <v>4896</v>
      </c>
      <c r="B262" s="5">
        <v>-3</v>
      </c>
    </row>
    <row r="263" spans="1:2">
      <c r="A263" s="4" t="s">
        <v>4897</v>
      </c>
      <c r="B263" s="5">
        <v>-3</v>
      </c>
    </row>
    <row r="264" spans="1:2">
      <c r="A264" s="4" t="s">
        <v>4898</v>
      </c>
      <c r="B264" s="5">
        <v>-3</v>
      </c>
    </row>
    <row r="265" spans="1:2">
      <c r="A265" s="4" t="s">
        <v>4899</v>
      </c>
      <c r="B265" s="5">
        <v>2</v>
      </c>
    </row>
    <row r="266" spans="1:2">
      <c r="A266" s="4" t="s">
        <v>4900</v>
      </c>
      <c r="B266" s="5">
        <v>-1</v>
      </c>
    </row>
    <row r="267" spans="1:2">
      <c r="A267" s="4" t="s">
        <v>4901</v>
      </c>
      <c r="B267" s="5">
        <v>-2</v>
      </c>
    </row>
    <row r="268" spans="1:2">
      <c r="A268" s="4" t="s">
        <v>4902</v>
      </c>
      <c r="B268" s="5">
        <v>1</v>
      </c>
    </row>
    <row r="269" spans="1:2">
      <c r="A269" s="4" t="s">
        <v>4903</v>
      </c>
      <c r="B269" s="5">
        <v>-5</v>
      </c>
    </row>
    <row r="270" spans="1:2">
      <c r="A270" s="4" t="s">
        <v>4904</v>
      </c>
      <c r="B270" s="5">
        <v>-5</v>
      </c>
    </row>
    <row r="271" spans="1:2">
      <c r="A271" s="4" t="s">
        <v>4905</v>
      </c>
      <c r="B271" s="5">
        <v>-2</v>
      </c>
    </row>
    <row r="272" spans="1:2">
      <c r="A272" s="4" t="s">
        <v>4906</v>
      </c>
      <c r="B272" s="5">
        <v>-2</v>
      </c>
    </row>
    <row r="273" spans="1:2">
      <c r="A273" s="4" t="s">
        <v>4907</v>
      </c>
      <c r="B273" s="5">
        <v>-2</v>
      </c>
    </row>
    <row r="274" spans="1:2">
      <c r="A274" s="4" t="s">
        <v>4908</v>
      </c>
      <c r="B274" s="5">
        <v>-2</v>
      </c>
    </row>
    <row r="275" spans="1:2">
      <c r="A275" s="4" t="s">
        <v>4909</v>
      </c>
      <c r="B275" s="5">
        <v>-2</v>
      </c>
    </row>
    <row r="276" spans="1:2">
      <c r="A276" s="4" t="s">
        <v>4910</v>
      </c>
      <c r="B276" s="5">
        <v>-2</v>
      </c>
    </row>
    <row r="277" spans="1:2">
      <c r="A277" s="4" t="s">
        <v>4911</v>
      </c>
      <c r="B277" s="5">
        <v>-2</v>
      </c>
    </row>
    <row r="278" spans="1:2">
      <c r="A278" s="4" t="s">
        <v>4912</v>
      </c>
      <c r="B278" s="5">
        <v>-2</v>
      </c>
    </row>
    <row r="279" spans="1:2">
      <c r="A279" s="4" t="s">
        <v>4913</v>
      </c>
      <c r="B279" s="5">
        <v>2</v>
      </c>
    </row>
    <row r="280" spans="1:2">
      <c r="A280" s="4" t="s">
        <v>4914</v>
      </c>
      <c r="B280" s="5">
        <v>2</v>
      </c>
    </row>
    <row r="281" spans="1:2">
      <c r="A281" s="4" t="s">
        <v>4915</v>
      </c>
      <c r="B281" s="5">
        <v>3</v>
      </c>
    </row>
    <row r="282" spans="1:2">
      <c r="A282" s="4" t="s">
        <v>4916</v>
      </c>
      <c r="B282" s="5">
        <v>-1</v>
      </c>
    </row>
    <row r="283" spans="1:2">
      <c r="A283" s="4" t="s">
        <v>4917</v>
      </c>
      <c r="B283" s="5">
        <v>3</v>
      </c>
    </row>
    <row r="284" spans="1:2">
      <c r="A284" s="4" t="s">
        <v>4918</v>
      </c>
      <c r="B284" s="5">
        <v>3</v>
      </c>
    </row>
    <row r="285" spans="1:2">
      <c r="A285" s="4" t="s">
        <v>4919</v>
      </c>
      <c r="B285" s="5">
        <v>2</v>
      </c>
    </row>
    <row r="286" spans="1:2">
      <c r="A286" s="4" t="s">
        <v>4920</v>
      </c>
      <c r="B286" s="5">
        <v>-1</v>
      </c>
    </row>
    <row r="287" spans="1:2">
      <c r="A287" s="4" t="s">
        <v>4921</v>
      </c>
      <c r="B287" s="5">
        <v>3</v>
      </c>
    </row>
    <row r="288" spans="1:2">
      <c r="A288" s="4" t="s">
        <v>4922</v>
      </c>
      <c r="B288" s="5">
        <v>-1</v>
      </c>
    </row>
    <row r="289" spans="1:2">
      <c r="A289" s="4" t="s">
        <v>4923</v>
      </c>
      <c r="B289" s="5">
        <v>-1</v>
      </c>
    </row>
    <row r="290" spans="1:2">
      <c r="A290" s="4" t="s">
        <v>4924</v>
      </c>
      <c r="B290" s="5">
        <v>-1</v>
      </c>
    </row>
    <row r="291" spans="1:2">
      <c r="A291" s="4" t="s">
        <v>4925</v>
      </c>
      <c r="B291" s="5">
        <v>-3</v>
      </c>
    </row>
    <row r="292" spans="1:2">
      <c r="A292" s="4" t="s">
        <v>4926</v>
      </c>
      <c r="B292" s="5">
        <v>-2</v>
      </c>
    </row>
    <row r="293" spans="1:2">
      <c r="A293" s="4" t="s">
        <v>4927</v>
      </c>
      <c r="B293" s="5">
        <v>-2</v>
      </c>
    </row>
    <row r="294" spans="1:2">
      <c r="A294" s="4" t="s">
        <v>4928</v>
      </c>
      <c r="B294" s="5">
        <v>2</v>
      </c>
    </row>
    <row r="295" spans="1:2">
      <c r="A295" s="4" t="s">
        <v>4929</v>
      </c>
      <c r="B295" s="5">
        <v>2</v>
      </c>
    </row>
    <row r="296" spans="1:2">
      <c r="A296" s="4" t="s">
        <v>4930</v>
      </c>
      <c r="B296" s="5">
        <v>-1</v>
      </c>
    </row>
    <row r="297" spans="1:2">
      <c r="A297" s="4" t="s">
        <v>4931</v>
      </c>
      <c r="B297" s="5">
        <v>1</v>
      </c>
    </row>
    <row r="298" spans="1:2">
      <c r="A298" s="4" t="s">
        <v>4932</v>
      </c>
      <c r="B298" s="5">
        <v>1</v>
      </c>
    </row>
    <row r="299" spans="1:2">
      <c r="A299" s="4" t="s">
        <v>4933</v>
      </c>
      <c r="B299" s="5">
        <v>1</v>
      </c>
    </row>
    <row r="300" spans="1:2">
      <c r="A300" s="4" t="s">
        <v>4934</v>
      </c>
      <c r="B300" s="5">
        <v>1</v>
      </c>
    </row>
    <row r="301" spans="1:2">
      <c r="A301" s="4" t="s">
        <v>4935</v>
      </c>
      <c r="B301" s="5">
        <v>-2</v>
      </c>
    </row>
    <row r="302" spans="1:2">
      <c r="A302" s="4" t="s">
        <v>4936</v>
      </c>
      <c r="B302" s="5">
        <v>-2</v>
      </c>
    </row>
    <row r="303" spans="1:2">
      <c r="A303" s="4" t="s">
        <v>4937</v>
      </c>
      <c r="B303" s="5">
        <v>-3</v>
      </c>
    </row>
    <row r="304" spans="1:2">
      <c r="A304" s="4" t="s">
        <v>4938</v>
      </c>
      <c r="B304" s="5">
        <v>-2</v>
      </c>
    </row>
    <row r="305" spans="1:2">
      <c r="A305" s="4" t="s">
        <v>4939</v>
      </c>
      <c r="B305" s="5">
        <v>-2</v>
      </c>
    </row>
    <row r="306" spans="1:2">
      <c r="A306" s="4" t="s">
        <v>4940</v>
      </c>
      <c r="B306" s="5">
        <v>-2</v>
      </c>
    </row>
    <row r="307" spans="1:2">
      <c r="A307" s="4" t="s">
        <v>4941</v>
      </c>
      <c r="B307" s="5">
        <v>-2</v>
      </c>
    </row>
    <row r="308" spans="1:2">
      <c r="A308" s="4" t="s">
        <v>4942</v>
      </c>
      <c r="B308" s="5">
        <v>-2</v>
      </c>
    </row>
    <row r="309" spans="1:2">
      <c r="A309" s="4" t="s">
        <v>4943</v>
      </c>
      <c r="B309" s="5">
        <v>-2</v>
      </c>
    </row>
    <row r="310" spans="1:2">
      <c r="A310" s="4" t="s">
        <v>4944</v>
      </c>
      <c r="B310" s="5">
        <v>-2</v>
      </c>
    </row>
    <row r="311" spans="1:2">
      <c r="A311" s="4" t="s">
        <v>4945</v>
      </c>
      <c r="B311" s="5">
        <v>-2</v>
      </c>
    </row>
    <row r="312" spans="1:2">
      <c r="A312" s="4" t="s">
        <v>4946</v>
      </c>
      <c r="B312" s="5">
        <v>-3</v>
      </c>
    </row>
    <row r="313" spans="1:2">
      <c r="A313" s="4" t="s">
        <v>4947</v>
      </c>
      <c r="B313" s="5">
        <v>2</v>
      </c>
    </row>
    <row r="314" spans="1:2">
      <c r="A314" s="4" t="s">
        <v>4948</v>
      </c>
      <c r="B314" s="5">
        <v>3</v>
      </c>
    </row>
    <row r="315" spans="1:2">
      <c r="A315" s="4" t="s">
        <v>4949</v>
      </c>
      <c r="B315" s="5">
        <v>5</v>
      </c>
    </row>
    <row r="316" spans="1:2">
      <c r="A316" s="4" t="s">
        <v>4950</v>
      </c>
      <c r="B316" s="5">
        <v>-3</v>
      </c>
    </row>
    <row r="317" spans="1:2">
      <c r="A317" s="4" t="s">
        <v>4951</v>
      </c>
      <c r="B317" s="5">
        <v>1</v>
      </c>
    </row>
    <row r="318" spans="1:2">
      <c r="A318" s="4" t="s">
        <v>4952</v>
      </c>
      <c r="B318" s="5">
        <v>2</v>
      </c>
    </row>
    <row r="319" spans="1:2">
      <c r="A319" s="4" t="s">
        <v>4953</v>
      </c>
      <c r="B319" s="5">
        <v>1</v>
      </c>
    </row>
    <row r="320" spans="1:2">
      <c r="A320" s="4" t="s">
        <v>4954</v>
      </c>
      <c r="B320" s="5">
        <v>4</v>
      </c>
    </row>
    <row r="321" spans="1:2">
      <c r="A321" s="4" t="s">
        <v>4955</v>
      </c>
      <c r="B321" s="5">
        <v>2</v>
      </c>
    </row>
    <row r="322" spans="1:2">
      <c r="A322" s="4" t="s">
        <v>4956</v>
      </c>
      <c r="B322" s="5">
        <v>-1</v>
      </c>
    </row>
    <row r="323" spans="1:2">
      <c r="A323" s="4" t="s">
        <v>4957</v>
      </c>
      <c r="B323" s="5">
        <v>-1</v>
      </c>
    </row>
    <row r="324" spans="1:2">
      <c r="A324" s="4" t="s">
        <v>4958</v>
      </c>
      <c r="B324" s="5">
        <v>-2</v>
      </c>
    </row>
    <row r="325" spans="1:2">
      <c r="A325" s="4" t="s">
        <v>4959</v>
      </c>
      <c r="B325" s="5">
        <v>-2</v>
      </c>
    </row>
    <row r="326" spans="1:2">
      <c r="A326" s="4" t="s">
        <v>4960</v>
      </c>
      <c r="B326" s="5">
        <v>-4</v>
      </c>
    </row>
    <row r="327" spans="1:2">
      <c r="A327" s="4" t="s">
        <v>4961</v>
      </c>
      <c r="B327" s="5">
        <v>-2</v>
      </c>
    </row>
    <row r="328" spans="1:2">
      <c r="A328" s="4" t="s">
        <v>4962</v>
      </c>
      <c r="B328" s="5">
        <v>-2</v>
      </c>
    </row>
    <row r="329" spans="1:2">
      <c r="A329" s="4" t="s">
        <v>4963</v>
      </c>
      <c r="B329" s="5">
        <v>-2</v>
      </c>
    </row>
    <row r="330" spans="1:2">
      <c r="A330" s="4" t="s">
        <v>4964</v>
      </c>
      <c r="B330" s="5">
        <v>2</v>
      </c>
    </row>
    <row r="331" spans="1:2">
      <c r="A331" s="4" t="s">
        <v>4965</v>
      </c>
      <c r="B331" s="5">
        <v>-2</v>
      </c>
    </row>
    <row r="332" spans="1:2">
      <c r="A332" s="4" t="s">
        <v>4966</v>
      </c>
      <c r="B332" s="5">
        <v>-2</v>
      </c>
    </row>
    <row r="333" spans="1:2">
      <c r="A333" s="4" t="s">
        <v>4967</v>
      </c>
      <c r="B333" s="5">
        <v>-2</v>
      </c>
    </row>
    <row r="334" spans="1:2">
      <c r="A334" s="4" t="s">
        <v>4968</v>
      </c>
      <c r="B334" s="5">
        <v>-2</v>
      </c>
    </row>
    <row r="335" spans="1:2">
      <c r="A335" s="4" t="s">
        <v>4969</v>
      </c>
      <c r="B335" s="5">
        <v>2</v>
      </c>
    </row>
    <row r="336" spans="1:2">
      <c r="A336" s="4" t="s">
        <v>4970</v>
      </c>
      <c r="B336" s="5">
        <v>2</v>
      </c>
    </row>
    <row r="337" spans="1:2">
      <c r="A337" s="4" t="s">
        <v>4971</v>
      </c>
      <c r="B337" s="5">
        <v>2</v>
      </c>
    </row>
    <row r="338" spans="1:2">
      <c r="A338" s="4" t="s">
        <v>4972</v>
      </c>
      <c r="B338" s="5">
        <v>2</v>
      </c>
    </row>
    <row r="339" spans="1:2">
      <c r="A339" s="4" t="s">
        <v>4973</v>
      </c>
      <c r="B339" s="5">
        <v>-1</v>
      </c>
    </row>
    <row r="340" spans="1:2">
      <c r="A340" s="4" t="s">
        <v>4974</v>
      </c>
      <c r="B340" s="5">
        <v>-1</v>
      </c>
    </row>
    <row r="341" spans="1:2">
      <c r="A341" s="4" t="s">
        <v>4975</v>
      </c>
      <c r="B341" s="5">
        <v>-1</v>
      </c>
    </row>
    <row r="342" spans="1:2">
      <c r="A342" s="4" t="s">
        <v>4976</v>
      </c>
      <c r="B342" s="5">
        <v>-1</v>
      </c>
    </row>
    <row r="343" spans="1:2">
      <c r="A343" s="4" t="s">
        <v>4977</v>
      </c>
      <c r="B343" s="5">
        <v>-1</v>
      </c>
    </row>
    <row r="344" spans="1:2">
      <c r="A344" s="4" t="s">
        <v>4978</v>
      </c>
      <c r="B344" s="5">
        <v>1</v>
      </c>
    </row>
    <row r="345" spans="1:2">
      <c r="A345" s="4" t="s">
        <v>4979</v>
      </c>
      <c r="B345" s="5">
        <v>3</v>
      </c>
    </row>
    <row r="346" spans="1:2">
      <c r="A346" s="4" t="s">
        <v>4980</v>
      </c>
      <c r="B346" s="5">
        <v>2</v>
      </c>
    </row>
    <row r="347" spans="1:2">
      <c r="A347" s="4" t="s">
        <v>4981</v>
      </c>
      <c r="B347" s="5">
        <v>1</v>
      </c>
    </row>
    <row r="348" spans="1:2">
      <c r="A348" s="4" t="s">
        <v>4982</v>
      </c>
      <c r="B348" s="5">
        <v>2</v>
      </c>
    </row>
    <row r="349" spans="1:2">
      <c r="A349" s="4" t="s">
        <v>4983</v>
      </c>
      <c r="B349" s="5">
        <v>2</v>
      </c>
    </row>
    <row r="350" spans="1:2">
      <c r="A350" s="4" t="s">
        <v>4984</v>
      </c>
      <c r="B350" s="5">
        <v>-2</v>
      </c>
    </row>
    <row r="351" spans="1:2">
      <c r="A351" s="4" t="s">
        <v>4985</v>
      </c>
      <c r="B351" s="5">
        <v>2</v>
      </c>
    </row>
    <row r="352" spans="1:2">
      <c r="A352" s="4" t="s">
        <v>4986</v>
      </c>
      <c r="B352" s="5">
        <v>-2</v>
      </c>
    </row>
    <row r="353" spans="1:2">
      <c r="A353" s="4" t="s">
        <v>4987</v>
      </c>
      <c r="B353" s="5">
        <v>-3</v>
      </c>
    </row>
    <row r="354" spans="1:2">
      <c r="A354" s="4" t="s">
        <v>4988</v>
      </c>
      <c r="B354" s="5">
        <v>-4</v>
      </c>
    </row>
    <row r="355" spans="1:2">
      <c r="A355" s="4" t="s">
        <v>4989</v>
      </c>
      <c r="B355" s="5">
        <v>-1</v>
      </c>
    </row>
    <row r="356" spans="1:2">
      <c r="A356" s="4" t="s">
        <v>4990</v>
      </c>
      <c r="B356" s="5">
        <v>3</v>
      </c>
    </row>
    <row r="357" spans="1:2">
      <c r="A357" s="4" t="s">
        <v>4991</v>
      </c>
      <c r="B357" s="5">
        <v>3</v>
      </c>
    </row>
    <row r="358" spans="1:2">
      <c r="A358" s="4" t="s">
        <v>4992</v>
      </c>
      <c r="B358" s="5">
        <v>3</v>
      </c>
    </row>
    <row r="359" spans="1:2">
      <c r="A359" s="4" t="s">
        <v>4993</v>
      </c>
      <c r="B359" s="5">
        <v>3</v>
      </c>
    </row>
    <row r="360" spans="1:2">
      <c r="A360" s="4" t="s">
        <v>4994</v>
      </c>
      <c r="B360" s="5">
        <v>-2</v>
      </c>
    </row>
    <row r="361" spans="1:2">
      <c r="A361" s="4" t="s">
        <v>4995</v>
      </c>
      <c r="B361" s="5">
        <v>-2</v>
      </c>
    </row>
    <row r="362" spans="1:2">
      <c r="A362" s="4" t="s">
        <v>4996</v>
      </c>
      <c r="B362" s="5">
        <v>-2</v>
      </c>
    </row>
    <row r="363" spans="1:2">
      <c r="A363" s="4" t="s">
        <v>4997</v>
      </c>
      <c r="B363" s="5">
        <v>1</v>
      </c>
    </row>
    <row r="364" spans="1:2">
      <c r="A364" s="4" t="s">
        <v>4998</v>
      </c>
      <c r="B364" s="5">
        <v>-2</v>
      </c>
    </row>
    <row r="365" spans="1:2">
      <c r="A365" s="4" t="s">
        <v>4999</v>
      </c>
      <c r="B365" s="5">
        <v>-2</v>
      </c>
    </row>
    <row r="366" spans="1:2">
      <c r="A366" s="4" t="s">
        <v>5000</v>
      </c>
      <c r="B366" s="5">
        <v>-1</v>
      </c>
    </row>
    <row r="367" spans="1:2">
      <c r="A367" s="4" t="s">
        <v>5001</v>
      </c>
      <c r="B367" s="5">
        <v>2</v>
      </c>
    </row>
    <row r="368" spans="1:2">
      <c r="A368" s="4" t="s">
        <v>5002</v>
      </c>
      <c r="B368" s="5">
        <v>2</v>
      </c>
    </row>
    <row r="369" spans="1:2">
      <c r="A369" s="4" t="s">
        <v>5003</v>
      </c>
      <c r="B369" s="5">
        <v>-2</v>
      </c>
    </row>
    <row r="370" spans="1:2">
      <c r="A370" s="4" t="s">
        <v>5004</v>
      </c>
      <c r="B370" s="5">
        <v>-2</v>
      </c>
    </row>
    <row r="371" spans="1:2">
      <c r="A371" s="4" t="s">
        <v>5005</v>
      </c>
      <c r="B371" s="5">
        <v>-3</v>
      </c>
    </row>
    <row r="372" spans="1:2">
      <c r="A372" s="4" t="s">
        <v>5006</v>
      </c>
      <c r="B372" s="5">
        <v>-2</v>
      </c>
    </row>
    <row r="373" spans="1:2">
      <c r="A373" s="4" t="s">
        <v>5007</v>
      </c>
      <c r="B373" s="5">
        <v>3</v>
      </c>
    </row>
    <row r="374" spans="1:2">
      <c r="A374" s="4" t="s">
        <v>5008</v>
      </c>
      <c r="B374" s="5">
        <v>3</v>
      </c>
    </row>
    <row r="375" spans="1:2">
      <c r="A375" s="4" t="s">
        <v>5009</v>
      </c>
      <c r="B375" s="5">
        <v>-3</v>
      </c>
    </row>
    <row r="376" spans="1:2">
      <c r="A376" s="4" t="s">
        <v>5010</v>
      </c>
      <c r="B376" s="5">
        <v>-3</v>
      </c>
    </row>
    <row r="377" spans="1:2">
      <c r="A377" s="4" t="s">
        <v>5011</v>
      </c>
      <c r="B377" s="5">
        <v>-3</v>
      </c>
    </row>
    <row r="378" spans="1:2">
      <c r="A378" s="4" t="s">
        <v>5012</v>
      </c>
      <c r="B378" s="5">
        <v>-3</v>
      </c>
    </row>
    <row r="379" spans="1:2">
      <c r="A379" s="4" t="s">
        <v>5013</v>
      </c>
      <c r="B379" s="5">
        <v>-3</v>
      </c>
    </row>
    <row r="380" spans="1:2">
      <c r="A380" s="4" t="s">
        <v>5014</v>
      </c>
      <c r="B380" s="5">
        <v>-3</v>
      </c>
    </row>
    <row r="381" spans="1:2">
      <c r="A381" s="4" t="s">
        <v>5015</v>
      </c>
      <c r="B381" s="5">
        <v>-3</v>
      </c>
    </row>
    <row r="382" spans="1:2">
      <c r="A382" s="4" t="s">
        <v>5016</v>
      </c>
      <c r="B382" s="5">
        <v>-3</v>
      </c>
    </row>
    <row r="383" spans="1:2">
      <c r="A383" s="4" t="s">
        <v>5017</v>
      </c>
      <c r="B383" s="5">
        <v>-3</v>
      </c>
    </row>
    <row r="384" spans="1:2">
      <c r="A384" s="4" t="s">
        <v>5018</v>
      </c>
      <c r="B384" s="5">
        <v>-3</v>
      </c>
    </row>
    <row r="385" spans="1:2">
      <c r="A385" s="4" t="s">
        <v>5019</v>
      </c>
      <c r="B385" s="5">
        <v>2</v>
      </c>
    </row>
    <row r="386" spans="1:2">
      <c r="A386" s="4" t="s">
        <v>5020</v>
      </c>
      <c r="B386" s="5">
        <v>2</v>
      </c>
    </row>
    <row r="387" spans="1:2">
      <c r="A387" s="4" t="s">
        <v>5021</v>
      </c>
      <c r="B387" s="5">
        <v>2</v>
      </c>
    </row>
    <row r="388" spans="1:2">
      <c r="A388" s="4" t="s">
        <v>5022</v>
      </c>
      <c r="B388" s="5">
        <v>2</v>
      </c>
    </row>
    <row r="389" spans="1:2">
      <c r="A389" s="4" t="s">
        <v>5023</v>
      </c>
      <c r="B389" s="5">
        <v>-2</v>
      </c>
    </row>
    <row r="390" spans="1:2">
      <c r="A390" s="4" t="s">
        <v>5024</v>
      </c>
      <c r="B390" s="5">
        <v>2</v>
      </c>
    </row>
    <row r="391" spans="1:2">
      <c r="A391" s="4" t="s">
        <v>5025</v>
      </c>
      <c r="B391" s="5">
        <v>3</v>
      </c>
    </row>
    <row r="392" spans="1:2">
      <c r="A392" s="4" t="s">
        <v>5026</v>
      </c>
      <c r="B392" s="5">
        <v>2</v>
      </c>
    </row>
    <row r="393" spans="1:2">
      <c r="A393" s="4" t="s">
        <v>5027</v>
      </c>
      <c r="B393" s="5">
        <v>2</v>
      </c>
    </row>
    <row r="394" spans="1:2">
      <c r="A394" s="4" t="s">
        <v>5028</v>
      </c>
      <c r="B394" s="5">
        <v>2</v>
      </c>
    </row>
    <row r="395" spans="1:2">
      <c r="A395" s="4" t="s">
        <v>5029</v>
      </c>
      <c r="B395" s="5">
        <v>2</v>
      </c>
    </row>
    <row r="396" spans="1:2">
      <c r="A396" s="4" t="s">
        <v>5030</v>
      </c>
      <c r="B396" s="5">
        <v>2</v>
      </c>
    </row>
    <row r="397" spans="1:2">
      <c r="A397" s="4" t="s">
        <v>5031</v>
      </c>
      <c r="B397" s="5">
        <v>-2</v>
      </c>
    </row>
    <row r="398" spans="1:2">
      <c r="A398" s="4" t="s">
        <v>5032</v>
      </c>
      <c r="B398" s="5">
        <v>-1</v>
      </c>
    </row>
    <row r="399" spans="1:2">
      <c r="A399" s="4" t="s">
        <v>5033</v>
      </c>
      <c r="B399" s="5">
        <v>-2</v>
      </c>
    </row>
    <row r="400" spans="1:2">
      <c r="A400" s="4" t="s">
        <v>5034</v>
      </c>
      <c r="B400" s="5">
        <v>-2</v>
      </c>
    </row>
    <row r="401" spans="1:2">
      <c r="A401" s="4" t="s">
        <v>5035</v>
      </c>
      <c r="B401" s="5">
        <v>-2</v>
      </c>
    </row>
    <row r="402" spans="1:2">
      <c r="A402" s="4" t="s">
        <v>5036</v>
      </c>
      <c r="B402" s="5">
        <v>-2</v>
      </c>
    </row>
    <row r="403" spans="1:2">
      <c r="A403" s="4" t="s">
        <v>5037</v>
      </c>
      <c r="B403" s="5">
        <v>2</v>
      </c>
    </row>
    <row r="404" spans="1:2">
      <c r="A404" s="4" t="s">
        <v>5038</v>
      </c>
      <c r="B404" s="5">
        <v>2</v>
      </c>
    </row>
    <row r="405" spans="1:2">
      <c r="A405" s="4" t="s">
        <v>5039</v>
      </c>
      <c r="B405" s="5">
        <v>-2</v>
      </c>
    </row>
    <row r="406" spans="1:2">
      <c r="A406" s="4" t="s">
        <v>5040</v>
      </c>
      <c r="B406" s="5">
        <v>3</v>
      </c>
    </row>
    <row r="407" spans="1:2">
      <c r="A407" s="4" t="s">
        <v>5041</v>
      </c>
      <c r="B407" s="5">
        <v>2</v>
      </c>
    </row>
    <row r="408" spans="1:2">
      <c r="A408" s="4" t="s">
        <v>5042</v>
      </c>
      <c r="B408" s="5">
        <v>2</v>
      </c>
    </row>
    <row r="409" spans="1:2">
      <c r="A409" s="4" t="s">
        <v>5043</v>
      </c>
      <c r="B409" s="5">
        <v>1</v>
      </c>
    </row>
    <row r="410" spans="1:2">
      <c r="A410" s="4" t="s">
        <v>5044</v>
      </c>
      <c r="B410" s="5">
        <v>1</v>
      </c>
    </row>
    <row r="411" spans="1:2">
      <c r="A411" s="4" t="s">
        <v>5045</v>
      </c>
      <c r="B411" s="5">
        <v>1</v>
      </c>
    </row>
    <row r="412" spans="1:2">
      <c r="A412" s="4" t="s">
        <v>5046</v>
      </c>
      <c r="B412" s="5">
        <v>1</v>
      </c>
    </row>
    <row r="413" spans="1:2">
      <c r="A413" s="4" t="s">
        <v>5047</v>
      </c>
      <c r="B413" s="5">
        <v>2</v>
      </c>
    </row>
    <row r="414" spans="1:2">
      <c r="A414" s="4" t="s">
        <v>5048</v>
      </c>
      <c r="B414" s="5">
        <v>-1</v>
      </c>
    </row>
    <row r="415" spans="1:2">
      <c r="A415" s="4" t="s">
        <v>5049</v>
      </c>
      <c r="B415" s="5">
        <v>-2</v>
      </c>
    </row>
    <row r="416" spans="1:2">
      <c r="A416" s="4" t="s">
        <v>5050</v>
      </c>
      <c r="B416" s="5">
        <v>-2</v>
      </c>
    </row>
    <row r="417" spans="1:2">
      <c r="A417" s="4" t="s">
        <v>5051</v>
      </c>
      <c r="B417" s="5">
        <v>-2</v>
      </c>
    </row>
    <row r="418" spans="1:2">
      <c r="A418" s="4" t="s">
        <v>5052</v>
      </c>
      <c r="B418" s="5">
        <v>-2</v>
      </c>
    </row>
    <row r="419" spans="1:2">
      <c r="A419" s="4" t="s">
        <v>5053</v>
      </c>
      <c r="B419" s="5">
        <v>-2</v>
      </c>
    </row>
    <row r="420" spans="1:2">
      <c r="A420" s="4" t="s">
        <v>5054</v>
      </c>
      <c r="B420" s="5">
        <v>-2</v>
      </c>
    </row>
    <row r="421" spans="1:2">
      <c r="A421" s="4" t="s">
        <v>5055</v>
      </c>
      <c r="B421" s="5">
        <v>-1</v>
      </c>
    </row>
    <row r="422" spans="1:2">
      <c r="A422" s="4" t="s">
        <v>5056</v>
      </c>
      <c r="B422" s="5">
        <v>-1</v>
      </c>
    </row>
    <row r="423" spans="1:2">
      <c r="A423" s="4" t="s">
        <v>5057</v>
      </c>
      <c r="B423" s="5">
        <v>-1</v>
      </c>
    </row>
    <row r="424" spans="1:2">
      <c r="A424" s="4" t="s">
        <v>5058</v>
      </c>
      <c r="B424" s="5">
        <v>-2</v>
      </c>
    </row>
    <row r="425" spans="1:2">
      <c r="A425" s="4" t="s">
        <v>5059</v>
      </c>
      <c r="B425" s="5">
        <v>-2</v>
      </c>
    </row>
    <row r="426" spans="1:2">
      <c r="A426" s="4" t="s">
        <v>5060</v>
      </c>
      <c r="B426" s="5">
        <v>-3</v>
      </c>
    </row>
    <row r="427" spans="1:2">
      <c r="A427" s="4" t="s">
        <v>5061</v>
      </c>
      <c r="B427" s="5">
        <v>-1</v>
      </c>
    </row>
    <row r="428" spans="1:2">
      <c r="A428" s="4" t="s">
        <v>5062</v>
      </c>
      <c r="B428" s="5">
        <v>-1</v>
      </c>
    </row>
    <row r="429" spans="1:2">
      <c r="A429" s="4" t="s">
        <v>5063</v>
      </c>
      <c r="B429" s="5">
        <v>1</v>
      </c>
    </row>
    <row r="430" spans="1:2">
      <c r="A430" s="4" t="s">
        <v>5064</v>
      </c>
      <c r="B430" s="5">
        <v>2</v>
      </c>
    </row>
    <row r="431" spans="1:2">
      <c r="A431" s="4" t="s">
        <v>5065</v>
      </c>
      <c r="B431" s="5">
        <v>2</v>
      </c>
    </row>
    <row r="432" spans="1:2">
      <c r="A432" s="4" t="s">
        <v>5066</v>
      </c>
      <c r="B432" s="5">
        <v>2</v>
      </c>
    </row>
    <row r="433" spans="1:2">
      <c r="A433" s="4" t="s">
        <v>5067</v>
      </c>
      <c r="B433" s="5">
        <v>2</v>
      </c>
    </row>
    <row r="434" spans="1:2">
      <c r="A434" s="4" t="s">
        <v>5068</v>
      </c>
      <c r="B434" s="5">
        <v>2</v>
      </c>
    </row>
    <row r="435" spans="1:2">
      <c r="A435" s="4" t="s">
        <v>5069</v>
      </c>
      <c r="B435" s="5">
        <v>2</v>
      </c>
    </row>
    <row r="436" spans="1:2">
      <c r="A436" s="4" t="s">
        <v>5070</v>
      </c>
      <c r="B436" s="5">
        <v>1</v>
      </c>
    </row>
    <row r="437" spans="1:2">
      <c r="A437" s="4" t="s">
        <v>5071</v>
      </c>
      <c r="B437" s="5">
        <v>2</v>
      </c>
    </row>
    <row r="438" spans="1:2">
      <c r="A438" s="4" t="s">
        <v>5072</v>
      </c>
      <c r="B438" s="5">
        <v>1</v>
      </c>
    </row>
    <row r="439" spans="1:2">
      <c r="A439" s="4" t="s">
        <v>5073</v>
      </c>
      <c r="B439" s="5">
        <v>1</v>
      </c>
    </row>
    <row r="440" spans="1:2">
      <c r="A440" s="4" t="s">
        <v>5074</v>
      </c>
      <c r="B440" s="5">
        <v>1</v>
      </c>
    </row>
    <row r="441" spans="1:2">
      <c r="A441" s="4" t="s">
        <v>5075</v>
      </c>
      <c r="B441" s="5">
        <v>2</v>
      </c>
    </row>
    <row r="442" spans="1:2">
      <c r="A442" s="4" t="s">
        <v>5076</v>
      </c>
      <c r="B442" s="5">
        <v>1</v>
      </c>
    </row>
    <row r="443" spans="1:2">
      <c r="A443" s="4" t="s">
        <v>5077</v>
      </c>
      <c r="B443" s="5">
        <v>2</v>
      </c>
    </row>
    <row r="444" spans="1:2">
      <c r="A444" s="4" t="s">
        <v>5078</v>
      </c>
      <c r="B444" s="5">
        <v>2</v>
      </c>
    </row>
    <row r="445" spans="1:2">
      <c r="A445" s="4" t="s">
        <v>5079</v>
      </c>
      <c r="B445" s="5">
        <v>-2</v>
      </c>
    </row>
    <row r="446" spans="1:2">
      <c r="A446" s="4" t="s">
        <v>5080</v>
      </c>
      <c r="B446" s="5">
        <v>-2</v>
      </c>
    </row>
    <row r="447" spans="1:2">
      <c r="A447" s="4" t="s">
        <v>5081</v>
      </c>
      <c r="B447" s="5">
        <v>-2</v>
      </c>
    </row>
    <row r="448" spans="1:2">
      <c r="A448" s="4" t="s">
        <v>5082</v>
      </c>
      <c r="B448" s="5">
        <v>-2</v>
      </c>
    </row>
    <row r="449" spans="1:2">
      <c r="A449" s="4" t="s">
        <v>5083</v>
      </c>
      <c r="B449" s="5">
        <v>2</v>
      </c>
    </row>
    <row r="450" spans="1:2">
      <c r="A450" s="4" t="s">
        <v>5084</v>
      </c>
      <c r="B450" s="5">
        <v>2</v>
      </c>
    </row>
    <row r="451" spans="1:2">
      <c r="A451" s="4" t="s">
        <v>5085</v>
      </c>
      <c r="B451" s="5">
        <v>2</v>
      </c>
    </row>
    <row r="452" spans="1:2">
      <c r="A452" s="4" t="s">
        <v>5086</v>
      </c>
      <c r="B452" s="5">
        <v>2</v>
      </c>
    </row>
    <row r="453" spans="1:2">
      <c r="A453" s="4" t="s">
        <v>5087</v>
      </c>
      <c r="B453" s="5">
        <v>2</v>
      </c>
    </row>
    <row r="454" spans="1:2">
      <c r="A454" s="4" t="s">
        <v>5088</v>
      </c>
      <c r="B454" s="5">
        <v>-2</v>
      </c>
    </row>
    <row r="455" spans="1:2">
      <c r="A455" s="4" t="s">
        <v>5089</v>
      </c>
      <c r="B455" s="5">
        <v>-2</v>
      </c>
    </row>
    <row r="456" spans="1:2">
      <c r="A456" s="4" t="s">
        <v>5090</v>
      </c>
      <c r="B456" s="5">
        <v>-2</v>
      </c>
    </row>
    <row r="457" spans="1:2">
      <c r="A457" s="4" t="s">
        <v>5091</v>
      </c>
      <c r="B457" s="5">
        <v>-2</v>
      </c>
    </row>
    <row r="458" spans="1:2">
      <c r="A458" s="4" t="s">
        <v>5092</v>
      </c>
      <c r="B458" s="5">
        <v>2</v>
      </c>
    </row>
    <row r="459" spans="1:2">
      <c r="A459" s="4" t="s">
        <v>5093</v>
      </c>
      <c r="B459" s="5">
        <v>2</v>
      </c>
    </row>
    <row r="460" spans="1:2">
      <c r="A460" s="4" t="s">
        <v>5094</v>
      </c>
      <c r="B460" s="5">
        <v>-2</v>
      </c>
    </row>
    <row r="461" spans="1:2">
      <c r="A461" s="4" t="s">
        <v>5095</v>
      </c>
      <c r="B461" s="5">
        <v>-2</v>
      </c>
    </row>
    <row r="462" spans="1:2">
      <c r="A462" s="4" t="s">
        <v>5096</v>
      </c>
      <c r="B462" s="5">
        <v>-2</v>
      </c>
    </row>
    <row r="463" spans="1:2">
      <c r="A463" s="4" t="s">
        <v>5097</v>
      </c>
      <c r="B463" s="5">
        <v>-2</v>
      </c>
    </row>
    <row r="464" spans="1:2">
      <c r="A464" s="4" t="s">
        <v>5098</v>
      </c>
      <c r="B464" s="5">
        <v>-2</v>
      </c>
    </row>
    <row r="465" spans="1:2">
      <c r="A465" s="4" t="s">
        <v>5099</v>
      </c>
      <c r="B465" s="5">
        <v>-2</v>
      </c>
    </row>
    <row r="466" spans="1:2">
      <c r="A466" s="4" t="s">
        <v>5100</v>
      </c>
      <c r="B466" s="5">
        <v>-2</v>
      </c>
    </row>
    <row r="467" spans="1:2">
      <c r="A467" s="4" t="s">
        <v>5101</v>
      </c>
      <c r="B467" s="5">
        <v>2</v>
      </c>
    </row>
    <row r="468" spans="1:2">
      <c r="A468" s="4" t="s">
        <v>5102</v>
      </c>
      <c r="B468" s="5">
        <v>2</v>
      </c>
    </row>
    <row r="469" spans="1:2">
      <c r="A469" s="4" t="s">
        <v>5103</v>
      </c>
      <c r="B469" s="5">
        <v>2</v>
      </c>
    </row>
    <row r="470" spans="1:2">
      <c r="A470" s="4" t="s">
        <v>5104</v>
      </c>
      <c r="B470" s="5">
        <v>2</v>
      </c>
    </row>
    <row r="471" spans="1:2">
      <c r="A471" s="4" t="s">
        <v>5105</v>
      </c>
      <c r="B471" s="5">
        <v>2</v>
      </c>
    </row>
    <row r="472" spans="1:2">
      <c r="A472" s="4" t="s">
        <v>5106</v>
      </c>
      <c r="B472" s="5">
        <v>2</v>
      </c>
    </row>
    <row r="473" spans="1:2">
      <c r="A473" s="4" t="s">
        <v>5107</v>
      </c>
      <c r="B473" s="5">
        <v>2</v>
      </c>
    </row>
    <row r="474" spans="1:2">
      <c r="A474" s="4" t="s">
        <v>5108</v>
      </c>
      <c r="B474" s="5">
        <v>-3</v>
      </c>
    </row>
    <row r="475" spans="1:2">
      <c r="A475" s="4" t="s">
        <v>5109</v>
      </c>
      <c r="B475" s="5">
        <v>-2</v>
      </c>
    </row>
    <row r="476" spans="1:2">
      <c r="A476" s="4" t="s">
        <v>5110</v>
      </c>
      <c r="B476" s="5">
        <v>-2</v>
      </c>
    </row>
    <row r="477" spans="1:2">
      <c r="A477" s="4" t="s">
        <v>5111</v>
      </c>
      <c r="B477" s="5">
        <v>-2</v>
      </c>
    </row>
    <row r="478" spans="1:2">
      <c r="A478" s="4" t="s">
        <v>5112</v>
      </c>
      <c r="B478" s="5">
        <v>-1</v>
      </c>
    </row>
    <row r="479" spans="1:2">
      <c r="A479" s="4" t="s">
        <v>5113</v>
      </c>
      <c r="B479" s="5">
        <v>-2</v>
      </c>
    </row>
    <row r="480" spans="1:2">
      <c r="A480" s="4" t="s">
        <v>5114</v>
      </c>
      <c r="B480" s="5">
        <v>-2</v>
      </c>
    </row>
    <row r="481" spans="1:2">
      <c r="A481" s="4" t="s">
        <v>5115</v>
      </c>
      <c r="B481" s="5">
        <v>-2</v>
      </c>
    </row>
    <row r="482" spans="1:2">
      <c r="A482" s="4" t="s">
        <v>5116</v>
      </c>
      <c r="B482" s="5">
        <v>-1</v>
      </c>
    </row>
    <row r="483" spans="1:2">
      <c r="A483" s="4" t="s">
        <v>5117</v>
      </c>
      <c r="B483" s="5">
        <v>-1</v>
      </c>
    </row>
    <row r="484" spans="1:2">
      <c r="A484" s="4" t="s">
        <v>5118</v>
      </c>
      <c r="B484" s="5">
        <v>-1</v>
      </c>
    </row>
    <row r="485" spans="1:2">
      <c r="A485" s="4" t="s">
        <v>5119</v>
      </c>
      <c r="B485" s="5">
        <v>-2</v>
      </c>
    </row>
    <row r="486" spans="1:2">
      <c r="A486" s="4" t="s">
        <v>5120</v>
      </c>
      <c r="B486" s="5">
        <v>-2</v>
      </c>
    </row>
    <row r="487" spans="1:2">
      <c r="A487" s="4" t="s">
        <v>5121</v>
      </c>
      <c r="B487" s="5">
        <v>-2</v>
      </c>
    </row>
    <row r="488" spans="1:2">
      <c r="A488" s="4" t="s">
        <v>5122</v>
      </c>
      <c r="B488" s="5">
        <v>-2</v>
      </c>
    </row>
    <row r="489" spans="1:2">
      <c r="A489" s="4" t="s">
        <v>5123</v>
      </c>
      <c r="B489" s="5">
        <v>1</v>
      </c>
    </row>
    <row r="490" spans="1:2">
      <c r="A490" s="4" t="s">
        <v>5124</v>
      </c>
      <c r="B490" s="5">
        <v>1</v>
      </c>
    </row>
    <row r="491" spans="1:2">
      <c r="A491" s="4" t="s">
        <v>5125</v>
      </c>
      <c r="B491" s="5">
        <v>1</v>
      </c>
    </row>
    <row r="492" spans="1:2">
      <c r="A492" s="4" t="s">
        <v>5126</v>
      </c>
      <c r="B492" s="5">
        <v>2</v>
      </c>
    </row>
    <row r="493" spans="1:2">
      <c r="A493" s="4" t="s">
        <v>5127</v>
      </c>
      <c r="B493" s="5">
        <v>1</v>
      </c>
    </row>
    <row r="494" spans="1:2">
      <c r="A494" s="4" t="s">
        <v>5128</v>
      </c>
      <c r="B494" s="5">
        <v>-2</v>
      </c>
    </row>
    <row r="495" spans="1:2">
      <c r="A495" s="4" t="s">
        <v>5129</v>
      </c>
      <c r="B495" s="5">
        <v>-1</v>
      </c>
    </row>
    <row r="496" spans="1:2">
      <c r="A496" s="4" t="s">
        <v>5130</v>
      </c>
      <c r="B496" s="5">
        <v>-2</v>
      </c>
    </row>
    <row r="497" spans="1:2">
      <c r="A497" s="4" t="s">
        <v>5131</v>
      </c>
      <c r="B497" s="5">
        <v>2</v>
      </c>
    </row>
    <row r="498" spans="1:2">
      <c r="A498" s="4" t="s">
        <v>5132</v>
      </c>
      <c r="B498" s="5">
        <v>2</v>
      </c>
    </row>
    <row r="499" spans="1:2">
      <c r="A499" s="4" t="s">
        <v>5133</v>
      </c>
      <c r="B499" s="5">
        <v>2</v>
      </c>
    </row>
    <row r="500" spans="1:2">
      <c r="A500" s="4" t="s">
        <v>5134</v>
      </c>
      <c r="B500" s="5">
        <v>2</v>
      </c>
    </row>
    <row r="501" spans="1:2">
      <c r="A501" s="4" t="s">
        <v>5135</v>
      </c>
      <c r="B501" s="5">
        <v>-2</v>
      </c>
    </row>
    <row r="502" spans="1:2">
      <c r="A502" s="4" t="s">
        <v>5136</v>
      </c>
      <c r="B502" s="5">
        <v>-2</v>
      </c>
    </row>
    <row r="503" spans="1:2">
      <c r="A503" s="4" t="s">
        <v>5137</v>
      </c>
      <c r="B503" s="5">
        <v>2</v>
      </c>
    </row>
    <row r="504" spans="1:2">
      <c r="A504" s="4" t="s">
        <v>5138</v>
      </c>
      <c r="B504" s="5">
        <v>-1</v>
      </c>
    </row>
    <row r="505" spans="1:2">
      <c r="A505" s="4" t="s">
        <v>5139</v>
      </c>
      <c r="B505" s="5">
        <v>-3</v>
      </c>
    </row>
    <row r="506" spans="1:2">
      <c r="A506" s="4" t="s">
        <v>5140</v>
      </c>
      <c r="B506" s="5">
        <v>-2</v>
      </c>
    </row>
    <row r="507" spans="1:2">
      <c r="A507" s="4" t="s">
        <v>5141</v>
      </c>
      <c r="B507" s="5">
        <v>-2</v>
      </c>
    </row>
    <row r="508" spans="1:2">
      <c r="A508" s="4" t="s">
        <v>5142</v>
      </c>
      <c r="B508" s="5">
        <v>-2</v>
      </c>
    </row>
    <row r="509" spans="1:2">
      <c r="A509" s="4" t="s">
        <v>5143</v>
      </c>
      <c r="B509" s="5">
        <v>-2</v>
      </c>
    </row>
    <row r="510" spans="1:2">
      <c r="A510" s="4" t="s">
        <v>5144</v>
      </c>
      <c r="B510" s="5">
        <v>2</v>
      </c>
    </row>
    <row r="511" spans="1:2">
      <c r="A511" s="4" t="s">
        <v>5145</v>
      </c>
      <c r="B511" s="5">
        <v>-2</v>
      </c>
    </row>
    <row r="512" spans="1:2">
      <c r="A512" s="4" t="s">
        <v>5146</v>
      </c>
      <c r="B512" s="5">
        <v>-2</v>
      </c>
    </row>
    <row r="513" spans="1:2">
      <c r="A513" s="4" t="s">
        <v>5147</v>
      </c>
      <c r="B513" s="5">
        <v>-2</v>
      </c>
    </row>
    <row r="514" spans="1:2">
      <c r="A514" s="4" t="s">
        <v>5148</v>
      </c>
      <c r="B514" s="5">
        <v>-3</v>
      </c>
    </row>
    <row r="515" spans="1:2">
      <c r="A515" s="4" t="s">
        <v>5149</v>
      </c>
      <c r="B515" s="5">
        <v>-3</v>
      </c>
    </row>
    <row r="516" spans="1:2">
      <c r="A516" s="4" t="s">
        <v>5150</v>
      </c>
      <c r="B516" s="5">
        <v>-3</v>
      </c>
    </row>
    <row r="517" spans="1:2">
      <c r="A517" s="4" t="s">
        <v>5151</v>
      </c>
      <c r="B517" s="5">
        <v>-3</v>
      </c>
    </row>
    <row r="518" spans="1:2">
      <c r="A518" s="4" t="s">
        <v>5152</v>
      </c>
      <c r="B518" s="5">
        <v>-2</v>
      </c>
    </row>
    <row r="519" spans="1:2">
      <c r="A519" s="4" t="s">
        <v>5153</v>
      </c>
      <c r="B519" s="5">
        <v>-2</v>
      </c>
    </row>
    <row r="520" spans="1:2">
      <c r="A520" s="4" t="s">
        <v>5154</v>
      </c>
      <c r="B520" s="5">
        <v>-2</v>
      </c>
    </row>
    <row r="521" spans="1:2">
      <c r="A521" s="4" t="s">
        <v>5155</v>
      </c>
      <c r="B521" s="5">
        <v>-2</v>
      </c>
    </row>
    <row r="522" spans="1:2">
      <c r="A522" s="4" t="s">
        <v>5156</v>
      </c>
      <c r="B522" s="5">
        <v>-2</v>
      </c>
    </row>
    <row r="523" spans="1:2">
      <c r="A523" s="4" t="s">
        <v>5157</v>
      </c>
      <c r="B523" s="5">
        <v>-2</v>
      </c>
    </row>
    <row r="524" spans="1:2">
      <c r="A524" s="4" t="s">
        <v>5158</v>
      </c>
      <c r="B524" s="5">
        <v>-2</v>
      </c>
    </row>
    <row r="525" spans="1:2">
      <c r="A525" s="4" t="s">
        <v>5159</v>
      </c>
      <c r="B525" s="5">
        <v>-3</v>
      </c>
    </row>
    <row r="526" spans="1:2">
      <c r="A526" s="4" t="s">
        <v>5160</v>
      </c>
      <c r="B526" s="5">
        <v>-3</v>
      </c>
    </row>
    <row r="527" spans="1:2">
      <c r="A527" s="4" t="s">
        <v>5161</v>
      </c>
      <c r="B527" s="5">
        <v>-1</v>
      </c>
    </row>
    <row r="528" spans="1:2">
      <c r="A528" s="4" t="s">
        <v>5162</v>
      </c>
      <c r="B528" s="5">
        <v>-2</v>
      </c>
    </row>
    <row r="529" spans="1:2">
      <c r="A529" s="4" t="s">
        <v>5163</v>
      </c>
      <c r="B529" s="5">
        <v>-1</v>
      </c>
    </row>
    <row r="530" spans="1:2">
      <c r="A530" s="4" t="s">
        <v>5164</v>
      </c>
      <c r="B530" s="5">
        <v>-1</v>
      </c>
    </row>
    <row r="531" spans="1:2">
      <c r="A531" s="4" t="s">
        <v>5165</v>
      </c>
      <c r="B531" s="5">
        <v>-1</v>
      </c>
    </row>
    <row r="532" spans="1:2">
      <c r="A532" s="4" t="s">
        <v>5166</v>
      </c>
      <c r="B532" s="5">
        <v>-2</v>
      </c>
    </row>
    <row r="533" spans="1:2">
      <c r="A533" s="4" t="s">
        <v>5167</v>
      </c>
      <c r="B533" s="5">
        <v>1</v>
      </c>
    </row>
    <row r="534" spans="1:2">
      <c r="A534" s="4" t="s">
        <v>5168</v>
      </c>
      <c r="B534" s="5">
        <v>-1</v>
      </c>
    </row>
    <row r="535" spans="1:2">
      <c r="A535" s="4" t="s">
        <v>5169</v>
      </c>
      <c r="B535" s="5">
        <v>-1</v>
      </c>
    </row>
    <row r="536" spans="1:2">
      <c r="A536" s="4" t="s">
        <v>5170</v>
      </c>
      <c r="B536" s="5">
        <v>2</v>
      </c>
    </row>
    <row r="537" spans="1:2">
      <c r="A537" s="4" t="s">
        <v>5171</v>
      </c>
      <c r="B537" s="5">
        <v>-1</v>
      </c>
    </row>
    <row r="538" spans="1:2">
      <c r="A538" s="4" t="s">
        <v>5172</v>
      </c>
      <c r="B538" s="5">
        <v>-1</v>
      </c>
    </row>
    <row r="539" spans="1:2">
      <c r="A539" s="4" t="s">
        <v>5173</v>
      </c>
      <c r="B539" s="5">
        <v>-2</v>
      </c>
    </row>
    <row r="540" spans="1:2">
      <c r="A540" s="4" t="s">
        <v>5174</v>
      </c>
      <c r="B540" s="5">
        <v>-2</v>
      </c>
    </row>
    <row r="541" spans="1:2">
      <c r="A541" s="4" t="s">
        <v>5175</v>
      </c>
      <c r="B541" s="5">
        <v>-2</v>
      </c>
    </row>
    <row r="542" spans="1:2">
      <c r="A542" s="4" t="s">
        <v>5176</v>
      </c>
      <c r="B542" s="5">
        <v>-3</v>
      </c>
    </row>
    <row r="543" spans="1:2">
      <c r="A543" s="4" t="s">
        <v>5177</v>
      </c>
      <c r="B543" s="5">
        <v>-3</v>
      </c>
    </row>
    <row r="544" spans="1:2">
      <c r="A544" s="4" t="s">
        <v>5178</v>
      </c>
      <c r="B544" s="5">
        <v>-4</v>
      </c>
    </row>
    <row r="545" spans="1:2">
      <c r="A545" s="4" t="s">
        <v>5179</v>
      </c>
      <c r="B545" s="5">
        <v>-4</v>
      </c>
    </row>
    <row r="546" spans="1:2">
      <c r="A546" s="4" t="s">
        <v>5180</v>
      </c>
      <c r="B546" s="5">
        <v>-4</v>
      </c>
    </row>
    <row r="547" spans="1:2">
      <c r="A547" s="4" t="s">
        <v>5181</v>
      </c>
      <c r="B547" s="5">
        <v>-2</v>
      </c>
    </row>
    <row r="548" spans="1:2">
      <c r="A548" s="4" t="s">
        <v>5182</v>
      </c>
      <c r="B548" s="5">
        <v>2</v>
      </c>
    </row>
    <row r="549" spans="1:2">
      <c r="A549" s="4" t="s">
        <v>5183</v>
      </c>
      <c r="B549" s="5">
        <v>2</v>
      </c>
    </row>
    <row r="550" spans="1:2">
      <c r="A550" s="4" t="s">
        <v>5184</v>
      </c>
      <c r="B550" s="5">
        <v>-2</v>
      </c>
    </row>
    <row r="551" spans="1:2">
      <c r="A551" s="4" t="s">
        <v>5185</v>
      </c>
      <c r="B551" s="5">
        <v>-1</v>
      </c>
    </row>
    <row r="552" spans="1:2">
      <c r="A552" s="4" t="s">
        <v>5186</v>
      </c>
      <c r="B552" s="5">
        <v>2</v>
      </c>
    </row>
    <row r="553" spans="1:2">
      <c r="A553" s="4" t="s">
        <v>5187</v>
      </c>
      <c r="B553" s="5">
        <v>-3</v>
      </c>
    </row>
    <row r="554" spans="1:2">
      <c r="A554" s="4" t="s">
        <v>5188</v>
      </c>
      <c r="B554" s="5">
        <v>-2</v>
      </c>
    </row>
    <row r="555" spans="1:2">
      <c r="A555" s="4" t="s">
        <v>5189</v>
      </c>
      <c r="B555" s="5">
        <v>-1</v>
      </c>
    </row>
    <row r="556" spans="1:2">
      <c r="A556" s="4" t="s">
        <v>5190</v>
      </c>
      <c r="B556" s="5">
        <v>2</v>
      </c>
    </row>
    <row r="557" spans="1:2">
      <c r="A557" s="4" t="s">
        <v>5191</v>
      </c>
      <c r="B557" s="5">
        <v>3</v>
      </c>
    </row>
    <row r="558" spans="1:2">
      <c r="A558" s="4" t="s">
        <v>5192</v>
      </c>
      <c r="B558" s="5">
        <v>-2</v>
      </c>
    </row>
    <row r="559" spans="1:2">
      <c r="A559" s="4" t="s">
        <v>5193</v>
      </c>
      <c r="B559" s="5">
        <v>2</v>
      </c>
    </row>
    <row r="560" spans="1:2">
      <c r="A560" s="4" t="s">
        <v>5194</v>
      </c>
      <c r="B560" s="5">
        <v>-2</v>
      </c>
    </row>
    <row r="561" spans="1:2">
      <c r="A561" s="4" t="s">
        <v>5195</v>
      </c>
      <c r="B561" s="5">
        <v>-3</v>
      </c>
    </row>
    <row r="562" spans="1:2">
      <c r="A562" s="4" t="s">
        <v>5196</v>
      </c>
      <c r="B562" s="5">
        <v>-3</v>
      </c>
    </row>
    <row r="563" spans="1:2">
      <c r="A563" s="4" t="s">
        <v>5197</v>
      </c>
      <c r="B563" s="5">
        <v>-3</v>
      </c>
    </row>
    <row r="564" spans="1:2">
      <c r="A564" s="4" t="s">
        <v>5198</v>
      </c>
      <c r="B564" s="5">
        <v>-3</v>
      </c>
    </row>
    <row r="565" spans="1:2">
      <c r="A565" s="4" t="s">
        <v>5199</v>
      </c>
      <c r="B565" s="5">
        <v>-3</v>
      </c>
    </row>
    <row r="566" spans="1:2">
      <c r="A566" s="4" t="s">
        <v>5200</v>
      </c>
      <c r="B566" s="5">
        <v>-3</v>
      </c>
    </row>
    <row r="567" spans="1:2">
      <c r="A567" s="4" t="s">
        <v>5201</v>
      </c>
      <c r="B567" s="5">
        <v>-3</v>
      </c>
    </row>
    <row r="568" spans="1:2">
      <c r="A568" s="4" t="s">
        <v>5202</v>
      </c>
      <c r="B568" s="5">
        <v>1</v>
      </c>
    </row>
    <row r="569" spans="1:2">
      <c r="A569" s="4" t="s">
        <v>5203</v>
      </c>
      <c r="B569" s="5">
        <v>2</v>
      </c>
    </row>
    <row r="570" spans="1:2">
      <c r="A570" s="4" t="s">
        <v>5204</v>
      </c>
      <c r="B570" s="5">
        <v>-2</v>
      </c>
    </row>
    <row r="571" spans="1:2">
      <c r="A571" s="4" t="s">
        <v>5205</v>
      </c>
      <c r="B571" s="5">
        <v>-3</v>
      </c>
    </row>
    <row r="572" spans="1:2">
      <c r="A572" s="4" t="s">
        <v>5206</v>
      </c>
      <c r="B572" s="5">
        <v>-3</v>
      </c>
    </row>
    <row r="573" spans="1:2">
      <c r="A573" s="4" t="s">
        <v>5207</v>
      </c>
      <c r="B573" s="5">
        <v>2</v>
      </c>
    </row>
    <row r="574" spans="1:2">
      <c r="A574" s="4" t="s">
        <v>5208</v>
      </c>
      <c r="B574" s="5">
        <v>2</v>
      </c>
    </row>
    <row r="575" spans="1:2">
      <c r="A575" s="4" t="s">
        <v>5209</v>
      </c>
      <c r="B575" s="5">
        <v>-2</v>
      </c>
    </row>
    <row r="576" spans="1:2">
      <c r="A576" s="4" t="s">
        <v>5210</v>
      </c>
      <c r="B576" s="5">
        <v>-1</v>
      </c>
    </row>
    <row r="577" spans="1:2">
      <c r="A577" s="4" t="s">
        <v>5211</v>
      </c>
      <c r="B577" s="5">
        <v>-1</v>
      </c>
    </row>
    <row r="578" spans="1:2">
      <c r="A578" s="4" t="s">
        <v>5212</v>
      </c>
      <c r="B578" s="5">
        <v>-1</v>
      </c>
    </row>
    <row r="579" spans="1:2">
      <c r="A579" s="4" t="s">
        <v>5213</v>
      </c>
      <c r="B579" s="5">
        <v>-2</v>
      </c>
    </row>
    <row r="580" spans="1:2">
      <c r="A580" s="4" t="s">
        <v>5214</v>
      </c>
      <c r="B580" s="5">
        <v>-2</v>
      </c>
    </row>
    <row r="581" spans="1:2">
      <c r="A581" s="4" t="s">
        <v>5215</v>
      </c>
      <c r="B581" s="5">
        <v>-2</v>
      </c>
    </row>
    <row r="582" spans="1:2">
      <c r="A582" s="4" t="s">
        <v>5216</v>
      </c>
      <c r="B582" s="5">
        <v>-2</v>
      </c>
    </row>
    <row r="583" spans="1:2">
      <c r="A583" s="4" t="s">
        <v>5217</v>
      </c>
      <c r="B583" s="5">
        <v>-2</v>
      </c>
    </row>
    <row r="584" spans="1:2">
      <c r="A584" s="4" t="s">
        <v>5218</v>
      </c>
      <c r="B584" s="5">
        <v>-2</v>
      </c>
    </row>
    <row r="585" spans="1:2">
      <c r="A585" s="4" t="s">
        <v>5219</v>
      </c>
      <c r="B585" s="5">
        <v>-2</v>
      </c>
    </row>
    <row r="586" spans="1:2">
      <c r="A586" s="4" t="s">
        <v>5220</v>
      </c>
      <c r="B586" s="5">
        <v>-2</v>
      </c>
    </row>
    <row r="587" spans="1:2">
      <c r="A587" s="4" t="s">
        <v>5221</v>
      </c>
      <c r="B587" s="5">
        <v>-2</v>
      </c>
    </row>
    <row r="588" spans="1:2">
      <c r="A588" s="4" t="s">
        <v>5222</v>
      </c>
      <c r="B588" s="5">
        <v>-2</v>
      </c>
    </row>
    <row r="589" spans="1:2">
      <c r="A589" s="4" t="s">
        <v>5223</v>
      </c>
      <c r="B589" s="5">
        <v>-2</v>
      </c>
    </row>
    <row r="590" spans="1:2">
      <c r="A590" s="4" t="s">
        <v>5224</v>
      </c>
      <c r="B590" s="5">
        <v>-2</v>
      </c>
    </row>
    <row r="591" spans="1:2">
      <c r="A591" s="4" t="s">
        <v>5225</v>
      </c>
      <c r="B591" s="5">
        <v>-1</v>
      </c>
    </row>
    <row r="592" spans="1:2">
      <c r="A592" s="4" t="s">
        <v>5226</v>
      </c>
      <c r="B592" s="5">
        <v>-1</v>
      </c>
    </row>
    <row r="593" spans="1:2">
      <c r="A593" s="4" t="s">
        <v>5227</v>
      </c>
      <c r="B593" s="5">
        <v>3</v>
      </c>
    </row>
    <row r="594" spans="1:2">
      <c r="A594" s="4" t="s">
        <v>5228</v>
      </c>
      <c r="B594" s="5">
        <v>3</v>
      </c>
    </row>
    <row r="595" spans="1:2">
      <c r="A595" s="4" t="s">
        <v>5229</v>
      </c>
      <c r="B595" s="5">
        <v>3</v>
      </c>
    </row>
    <row r="596" spans="1:2">
      <c r="A596" s="4" t="s">
        <v>5230</v>
      </c>
      <c r="B596" s="5">
        <v>3</v>
      </c>
    </row>
    <row r="597" spans="1:2">
      <c r="A597" s="4" t="s">
        <v>5231</v>
      </c>
      <c r="B597" s="5">
        <v>-1</v>
      </c>
    </row>
    <row r="598" spans="1:2">
      <c r="A598" s="4" t="s">
        <v>5232</v>
      </c>
      <c r="B598" s="5">
        <v>-1</v>
      </c>
    </row>
    <row r="599" spans="1:2">
      <c r="A599" s="4" t="s">
        <v>5233</v>
      </c>
      <c r="B599" s="5">
        <v>-1</v>
      </c>
    </row>
    <row r="600" spans="1:2">
      <c r="A600" s="4" t="s">
        <v>5234</v>
      </c>
      <c r="B600" s="5">
        <v>-1</v>
      </c>
    </row>
    <row r="601" spans="1:2">
      <c r="A601" s="4" t="s">
        <v>5235</v>
      </c>
      <c r="B601" s="5">
        <v>-1</v>
      </c>
    </row>
    <row r="602" spans="1:2">
      <c r="A602" s="4" t="s">
        <v>5236</v>
      </c>
      <c r="B602" s="5">
        <v>-2</v>
      </c>
    </row>
    <row r="603" spans="1:2">
      <c r="A603" s="4" t="s">
        <v>5237</v>
      </c>
      <c r="B603" s="5">
        <v>-2</v>
      </c>
    </row>
    <row r="604" spans="1:2">
      <c r="A604" s="4" t="s">
        <v>5238</v>
      </c>
      <c r="B604" s="5">
        <v>-2</v>
      </c>
    </row>
    <row r="605" spans="1:2">
      <c r="A605" s="4" t="s">
        <v>5239</v>
      </c>
      <c r="B605" s="5">
        <v>-2</v>
      </c>
    </row>
    <row r="606" spans="1:2">
      <c r="A606" s="4" t="s">
        <v>5240</v>
      </c>
      <c r="B606" s="5">
        <v>-2</v>
      </c>
    </row>
    <row r="607" spans="1:2">
      <c r="A607" s="4" t="s">
        <v>5241</v>
      </c>
      <c r="B607" s="5">
        <v>-2</v>
      </c>
    </row>
    <row r="608" spans="1:2">
      <c r="A608" s="4" t="s">
        <v>5242</v>
      </c>
      <c r="B608" s="5">
        <v>-2</v>
      </c>
    </row>
    <row r="609" spans="1:2">
      <c r="A609" s="4" t="s">
        <v>5243</v>
      </c>
      <c r="B609" s="5">
        <v>-2</v>
      </c>
    </row>
    <row r="610" spans="1:2">
      <c r="A610" s="4" t="s">
        <v>5244</v>
      </c>
      <c r="B610" s="5">
        <v>-2</v>
      </c>
    </row>
    <row r="611" spans="1:2">
      <c r="A611" s="4" t="s">
        <v>5245</v>
      </c>
      <c r="B611" s="5">
        <v>-2</v>
      </c>
    </row>
    <row r="612" spans="1:2">
      <c r="A612" s="4" t="s">
        <v>5246</v>
      </c>
      <c r="B612" s="5">
        <v>-2</v>
      </c>
    </row>
    <row r="613" spans="1:2">
      <c r="A613" s="4" t="s">
        <v>5247</v>
      </c>
      <c r="B613" s="5">
        <v>-2</v>
      </c>
    </row>
    <row r="614" spans="1:2">
      <c r="A614" s="4" t="s">
        <v>5248</v>
      </c>
      <c r="B614" s="5">
        <v>-2</v>
      </c>
    </row>
    <row r="615" spans="1:2">
      <c r="A615" s="4" t="s">
        <v>5249</v>
      </c>
      <c r="B615" s="5">
        <v>-2</v>
      </c>
    </row>
    <row r="616" spans="1:2">
      <c r="A616" s="4" t="s">
        <v>5250</v>
      </c>
      <c r="B616" s="5">
        <v>-2</v>
      </c>
    </row>
    <row r="617" spans="1:2">
      <c r="A617" s="4" t="s">
        <v>5251</v>
      </c>
      <c r="B617" s="5">
        <v>-2</v>
      </c>
    </row>
    <row r="618" spans="1:2">
      <c r="A618" s="4" t="s">
        <v>5252</v>
      </c>
      <c r="B618" s="5">
        <v>-2</v>
      </c>
    </row>
    <row r="619" spans="1:2">
      <c r="A619" s="4" t="s">
        <v>5253</v>
      </c>
      <c r="B619" s="5">
        <v>-2</v>
      </c>
    </row>
    <row r="620" spans="1:2">
      <c r="A620" s="4" t="s">
        <v>5254</v>
      </c>
      <c r="B620" s="5">
        <v>-2</v>
      </c>
    </row>
    <row r="621" spans="1:2">
      <c r="A621" s="4" t="s">
        <v>5255</v>
      </c>
      <c r="B621" s="5">
        <v>2</v>
      </c>
    </row>
    <row r="622" spans="1:2">
      <c r="A622" s="4" t="s">
        <v>5256</v>
      </c>
      <c r="B622" s="5">
        <v>1</v>
      </c>
    </row>
    <row r="623" spans="1:2">
      <c r="A623" s="4" t="s">
        <v>5257</v>
      </c>
      <c r="B623" s="5">
        <v>2</v>
      </c>
    </row>
    <row r="624" spans="1:2">
      <c r="A624" s="4" t="s">
        <v>5258</v>
      </c>
      <c r="B624" s="5">
        <v>2</v>
      </c>
    </row>
    <row r="625" spans="1:2">
      <c r="A625" s="4" t="s">
        <v>5259</v>
      </c>
      <c r="B625" s="5">
        <v>-3</v>
      </c>
    </row>
    <row r="626" spans="1:2">
      <c r="A626" s="4" t="s">
        <v>5260</v>
      </c>
      <c r="B626" s="5">
        <v>-3</v>
      </c>
    </row>
    <row r="627" spans="1:2">
      <c r="A627" s="4" t="s">
        <v>5261</v>
      </c>
      <c r="B627" s="5">
        <v>-3</v>
      </c>
    </row>
    <row r="628" spans="1:2">
      <c r="A628" s="4" t="s">
        <v>5262</v>
      </c>
      <c r="B628" s="5">
        <v>-3</v>
      </c>
    </row>
    <row r="629" spans="1:2">
      <c r="A629" s="4" t="s">
        <v>5263</v>
      </c>
      <c r="B629" s="5">
        <v>-3</v>
      </c>
    </row>
    <row r="630" spans="1:2">
      <c r="A630" s="4" t="s">
        <v>5264</v>
      </c>
      <c r="B630" s="5">
        <v>-3</v>
      </c>
    </row>
    <row r="631" spans="1:2">
      <c r="A631" s="4" t="s">
        <v>5265</v>
      </c>
      <c r="B631" s="5">
        <v>-3</v>
      </c>
    </row>
    <row r="632" spans="1:2">
      <c r="A632" s="4" t="s">
        <v>5266</v>
      </c>
      <c r="B632" s="5">
        <v>-3</v>
      </c>
    </row>
    <row r="633" spans="1:2">
      <c r="A633" s="4" t="s">
        <v>5267</v>
      </c>
      <c r="B633" s="5">
        <v>-3</v>
      </c>
    </row>
    <row r="634" spans="1:2">
      <c r="A634" s="4" t="s">
        <v>5268</v>
      </c>
      <c r="B634" s="5">
        <v>-3</v>
      </c>
    </row>
    <row r="635" spans="1:2">
      <c r="A635" s="4" t="s">
        <v>5269</v>
      </c>
      <c r="B635" s="5">
        <v>-3</v>
      </c>
    </row>
    <row r="636" spans="1:2">
      <c r="A636" s="4" t="s">
        <v>5270</v>
      </c>
      <c r="B636" s="5">
        <v>-3</v>
      </c>
    </row>
    <row r="637" spans="1:2">
      <c r="A637" s="4" t="s">
        <v>5271</v>
      </c>
      <c r="B637" s="5">
        <v>-1</v>
      </c>
    </row>
    <row r="638" spans="1:2">
      <c r="A638" s="4" t="s">
        <v>5272</v>
      </c>
      <c r="B638" s="5">
        <v>-2</v>
      </c>
    </row>
    <row r="639" spans="1:2">
      <c r="A639" s="4" t="s">
        <v>5273</v>
      </c>
      <c r="B639" s="5">
        <v>-2</v>
      </c>
    </row>
    <row r="640" spans="1:2">
      <c r="A640" s="4" t="s">
        <v>5274</v>
      </c>
      <c r="B640" s="5">
        <v>-2</v>
      </c>
    </row>
    <row r="641" spans="1:2">
      <c r="A641" s="4" t="s">
        <v>5275</v>
      </c>
      <c r="B641" s="5">
        <v>2</v>
      </c>
    </row>
    <row r="642" spans="1:2">
      <c r="A642" s="4" t="s">
        <v>5276</v>
      </c>
      <c r="B642" s="5">
        <v>-2</v>
      </c>
    </row>
    <row r="643" spans="1:2">
      <c r="A643" s="4" t="s">
        <v>5277</v>
      </c>
      <c r="B643" s="5">
        <v>-2</v>
      </c>
    </row>
    <row r="644" spans="1:2">
      <c r="A644" s="4" t="s">
        <v>5278</v>
      </c>
      <c r="B644" s="5">
        <v>-2</v>
      </c>
    </row>
    <row r="645" spans="1:2">
      <c r="A645" s="4" t="s">
        <v>5279</v>
      </c>
      <c r="B645" s="5">
        <v>3</v>
      </c>
    </row>
    <row r="646" spans="1:2">
      <c r="A646" s="4" t="s">
        <v>5280</v>
      </c>
      <c r="B646" s="5">
        <v>1</v>
      </c>
    </row>
    <row r="647" spans="1:2">
      <c r="A647" s="4" t="s">
        <v>5281</v>
      </c>
      <c r="B647" s="5">
        <v>-4</v>
      </c>
    </row>
    <row r="648" spans="1:2">
      <c r="A648" s="4" t="s">
        <v>5282</v>
      </c>
      <c r="B648" s="5">
        <v>-4</v>
      </c>
    </row>
    <row r="649" spans="1:2">
      <c r="A649" s="4" t="s">
        <v>5283</v>
      </c>
      <c r="B649" s="5">
        <v>-3</v>
      </c>
    </row>
    <row r="650" spans="1:2">
      <c r="A650" s="4" t="s">
        <v>5284</v>
      </c>
      <c r="B650" s="5">
        <v>-3</v>
      </c>
    </row>
    <row r="651" spans="1:2">
      <c r="A651" s="4" t="s">
        <v>5285</v>
      </c>
      <c r="B651" s="5">
        <v>-1</v>
      </c>
    </row>
    <row r="652" spans="1:2">
      <c r="A652" s="4" t="s">
        <v>5286</v>
      </c>
      <c r="B652" s="5">
        <v>-2</v>
      </c>
    </row>
    <row r="653" spans="1:2">
      <c r="A653" s="4" t="s">
        <v>5287</v>
      </c>
      <c r="B653" s="5">
        <v>-1</v>
      </c>
    </row>
    <row r="654" spans="1:2">
      <c r="A654" s="4" t="s">
        <v>5288</v>
      </c>
      <c r="B654" s="5">
        <v>-3</v>
      </c>
    </row>
    <row r="655" spans="1:2">
      <c r="A655" s="4" t="s">
        <v>5289</v>
      </c>
      <c r="B655" s="5">
        <v>-3</v>
      </c>
    </row>
    <row r="656" spans="1:2">
      <c r="A656" s="4" t="s">
        <v>5290</v>
      </c>
      <c r="B656" s="5">
        <v>-3</v>
      </c>
    </row>
    <row r="657" spans="1:2">
      <c r="A657" s="4" t="s">
        <v>5291</v>
      </c>
      <c r="B657" s="5">
        <v>-2</v>
      </c>
    </row>
    <row r="658" spans="1:2">
      <c r="A658" s="4" t="s">
        <v>5292</v>
      </c>
      <c r="B658" s="5">
        <v>-2</v>
      </c>
    </row>
    <row r="659" spans="1:2">
      <c r="A659" s="4" t="s">
        <v>5293</v>
      </c>
      <c r="B659" s="5">
        <v>-2</v>
      </c>
    </row>
    <row r="660" spans="1:2">
      <c r="A660" s="4" t="s">
        <v>5294</v>
      </c>
      <c r="B660" s="5">
        <v>-2</v>
      </c>
    </row>
    <row r="661" spans="1:2">
      <c r="A661" s="4" t="s">
        <v>5295</v>
      </c>
      <c r="B661" s="5">
        <v>-1</v>
      </c>
    </row>
    <row r="662" spans="1:2">
      <c r="A662" s="4" t="s">
        <v>5296</v>
      </c>
      <c r="B662" s="5">
        <v>-2</v>
      </c>
    </row>
    <row r="663" spans="1:2">
      <c r="A663" s="4" t="s">
        <v>5297</v>
      </c>
      <c r="B663" s="5">
        <v>-2</v>
      </c>
    </row>
    <row r="664" spans="1:2">
      <c r="A664" s="4" t="s">
        <v>5298</v>
      </c>
      <c r="B664" s="5">
        <v>-1</v>
      </c>
    </row>
    <row r="665" spans="1:2">
      <c r="A665" s="4" t="s">
        <v>5299</v>
      </c>
      <c r="B665" s="5">
        <v>-1</v>
      </c>
    </row>
    <row r="666" spans="1:2">
      <c r="A666" s="4" t="s">
        <v>5300</v>
      </c>
      <c r="B666" s="5">
        <v>-1</v>
      </c>
    </row>
    <row r="667" spans="1:2">
      <c r="A667" s="4" t="s">
        <v>5301</v>
      </c>
      <c r="B667" s="5">
        <v>-2</v>
      </c>
    </row>
    <row r="668" spans="1:2">
      <c r="A668" s="4" t="s">
        <v>5302</v>
      </c>
      <c r="B668" s="5">
        <v>-2</v>
      </c>
    </row>
    <row r="669" spans="1:2">
      <c r="A669" s="4" t="s">
        <v>5303</v>
      </c>
      <c r="B669" s="5">
        <v>-2</v>
      </c>
    </row>
    <row r="670" spans="1:2">
      <c r="A670" s="4" t="s">
        <v>5304</v>
      </c>
      <c r="B670" s="5">
        <v>-2</v>
      </c>
    </row>
    <row r="671" spans="1:2">
      <c r="A671" s="4" t="s">
        <v>5305</v>
      </c>
      <c r="B671" s="5">
        <v>-2</v>
      </c>
    </row>
    <row r="672" spans="1:2">
      <c r="A672" s="4" t="s">
        <v>5306</v>
      </c>
      <c r="B672" s="5">
        <v>-2</v>
      </c>
    </row>
    <row r="673" spans="1:2">
      <c r="A673" s="4" t="s">
        <v>5307</v>
      </c>
      <c r="B673" s="5">
        <v>-2</v>
      </c>
    </row>
    <row r="674" spans="1:2">
      <c r="A674" s="4" t="s">
        <v>5308</v>
      </c>
      <c r="B674" s="5">
        <v>-2</v>
      </c>
    </row>
    <row r="675" spans="1:2">
      <c r="A675" s="4" t="s">
        <v>5309</v>
      </c>
      <c r="B675" s="5">
        <v>-3</v>
      </c>
    </row>
    <row r="676" spans="1:2">
      <c r="A676" s="4" t="s">
        <v>5310</v>
      </c>
      <c r="B676" s="5">
        <v>-2</v>
      </c>
    </row>
    <row r="677" spans="1:2">
      <c r="A677" s="4" t="s">
        <v>5311</v>
      </c>
      <c r="B677" s="5">
        <v>-1</v>
      </c>
    </row>
    <row r="678" spans="1:2">
      <c r="A678" s="4" t="s">
        <v>5312</v>
      </c>
      <c r="B678" s="5">
        <v>-1</v>
      </c>
    </row>
    <row r="679" spans="1:2">
      <c r="A679" s="4" t="s">
        <v>5313</v>
      </c>
      <c r="B679" s="5">
        <v>-1</v>
      </c>
    </row>
    <row r="680" spans="1:2">
      <c r="A680" s="4" t="s">
        <v>5314</v>
      </c>
      <c r="B680" s="5">
        <v>-1</v>
      </c>
    </row>
    <row r="681" spans="1:2">
      <c r="A681" s="4" t="s">
        <v>5315</v>
      </c>
      <c r="B681" s="5">
        <v>-2</v>
      </c>
    </row>
    <row r="682" spans="1:2">
      <c r="A682" s="4" t="s">
        <v>5316</v>
      </c>
      <c r="B682" s="5">
        <v>-2</v>
      </c>
    </row>
    <row r="683" spans="1:2">
      <c r="A683" s="4" t="s">
        <v>5317</v>
      </c>
      <c r="B683" s="5">
        <v>-2</v>
      </c>
    </row>
    <row r="684" spans="1:2">
      <c r="A684" s="4" t="s">
        <v>5318</v>
      </c>
      <c r="B684" s="5">
        <v>-2</v>
      </c>
    </row>
    <row r="685" spans="1:2">
      <c r="A685" s="4" t="s">
        <v>5319</v>
      </c>
      <c r="B685" s="5">
        <v>-1</v>
      </c>
    </row>
    <row r="686" spans="1:2">
      <c r="A686" s="4" t="s">
        <v>5320</v>
      </c>
      <c r="B686" s="5">
        <v>-2</v>
      </c>
    </row>
    <row r="687" spans="1:2">
      <c r="A687" s="4" t="s">
        <v>5321</v>
      </c>
      <c r="B687" s="5">
        <v>-2</v>
      </c>
    </row>
    <row r="688" spans="1:2">
      <c r="A688" s="4" t="s">
        <v>5322</v>
      </c>
      <c r="B688" s="5">
        <v>-2</v>
      </c>
    </row>
    <row r="689" spans="1:2">
      <c r="A689" s="4" t="s">
        <v>5323</v>
      </c>
      <c r="B689" s="5">
        <v>-2</v>
      </c>
    </row>
    <row r="690" spans="1:2">
      <c r="A690" s="4" t="s">
        <v>5324</v>
      </c>
      <c r="B690" s="5">
        <v>-2</v>
      </c>
    </row>
    <row r="691" spans="1:2">
      <c r="A691" s="4" t="s">
        <v>5325</v>
      </c>
      <c r="B691" s="5">
        <v>-1</v>
      </c>
    </row>
    <row r="692" spans="1:2">
      <c r="A692" s="4" t="s">
        <v>5326</v>
      </c>
      <c r="B692" s="5">
        <v>-1</v>
      </c>
    </row>
    <row r="693" spans="1:2">
      <c r="A693" s="4" t="s">
        <v>5327</v>
      </c>
      <c r="B693" s="5">
        <v>-1</v>
      </c>
    </row>
    <row r="694" spans="1:2">
      <c r="A694" s="4" t="s">
        <v>5328</v>
      </c>
      <c r="B694" s="5">
        <v>-1</v>
      </c>
    </row>
    <row r="695" spans="1:2">
      <c r="A695" s="4" t="s">
        <v>5329</v>
      </c>
      <c r="B695" s="5">
        <v>-3</v>
      </c>
    </row>
    <row r="696" spans="1:2">
      <c r="A696" s="4" t="s">
        <v>5330</v>
      </c>
      <c r="B696" s="5">
        <v>-3</v>
      </c>
    </row>
    <row r="697" spans="1:2">
      <c r="A697" s="4" t="s">
        <v>5331</v>
      </c>
      <c r="B697" s="5">
        <v>-3</v>
      </c>
    </row>
    <row r="698" spans="1:2">
      <c r="A698" s="4" t="s">
        <v>5332</v>
      </c>
      <c r="B698" s="5">
        <v>-2</v>
      </c>
    </row>
    <row r="699" spans="1:2">
      <c r="A699" s="4" t="s">
        <v>5333</v>
      </c>
      <c r="B699" s="5">
        <v>-2</v>
      </c>
    </row>
    <row r="700" spans="1:2">
      <c r="A700" s="4" t="s">
        <v>5334</v>
      </c>
      <c r="B700" s="5">
        <v>-2</v>
      </c>
    </row>
    <row r="701" spans="1:2">
      <c r="A701" s="4" t="s">
        <v>5335</v>
      </c>
      <c r="B701" s="5">
        <v>-2</v>
      </c>
    </row>
    <row r="702" spans="1:2">
      <c r="A702" s="4" t="s">
        <v>5336</v>
      </c>
      <c r="B702" s="5">
        <v>-2</v>
      </c>
    </row>
    <row r="703" spans="1:2">
      <c r="A703" s="4" t="s">
        <v>5337</v>
      </c>
      <c r="B703" s="5">
        <v>-2</v>
      </c>
    </row>
    <row r="704" spans="1:2">
      <c r="A704" s="4" t="s">
        <v>5338</v>
      </c>
      <c r="B704" s="5">
        <v>-2</v>
      </c>
    </row>
    <row r="705" spans="1:2">
      <c r="A705" s="4" t="s">
        <v>5339</v>
      </c>
      <c r="B705" s="5">
        <v>-2</v>
      </c>
    </row>
    <row r="706" spans="1:2">
      <c r="A706" s="4" t="s">
        <v>5340</v>
      </c>
      <c r="B706" s="5">
        <v>-2</v>
      </c>
    </row>
    <row r="707" spans="1:2">
      <c r="A707" s="4" t="s">
        <v>5341</v>
      </c>
      <c r="B707" s="5">
        <v>-2</v>
      </c>
    </row>
    <row r="708" spans="1:2">
      <c r="A708" s="4" t="s">
        <v>5342</v>
      </c>
      <c r="B708" s="5">
        <v>-2</v>
      </c>
    </row>
    <row r="709" spans="1:2">
      <c r="A709" s="4" t="s">
        <v>5343</v>
      </c>
      <c r="B709" s="5">
        <v>-2</v>
      </c>
    </row>
    <row r="710" spans="1:2">
      <c r="A710" s="4" t="s">
        <v>5344</v>
      </c>
      <c r="B710" s="5">
        <v>-2</v>
      </c>
    </row>
    <row r="711" spans="1:2">
      <c r="A711" s="4" t="s">
        <v>5345</v>
      </c>
      <c r="B711" s="5">
        <v>-2</v>
      </c>
    </row>
    <row r="712" spans="1:2">
      <c r="A712" s="4" t="s">
        <v>5346</v>
      </c>
      <c r="B712" s="5">
        <v>-2</v>
      </c>
    </row>
    <row r="713" spans="1:2">
      <c r="A713" s="4" t="s">
        <v>5347</v>
      </c>
      <c r="B713" s="5">
        <v>-2</v>
      </c>
    </row>
    <row r="714" spans="1:2">
      <c r="A714" s="4" t="s">
        <v>5348</v>
      </c>
      <c r="B714" s="5">
        <v>-2</v>
      </c>
    </row>
    <row r="715" spans="1:2">
      <c r="A715" s="4" t="s">
        <v>5349</v>
      </c>
      <c r="B715" s="5">
        <v>-2</v>
      </c>
    </row>
    <row r="716" spans="1:2">
      <c r="A716" s="4" t="s">
        <v>5350</v>
      </c>
      <c r="B716" s="5">
        <v>-2</v>
      </c>
    </row>
    <row r="717" spans="1:2">
      <c r="A717" s="4" t="s">
        <v>5351</v>
      </c>
      <c r="B717" s="5">
        <v>-2</v>
      </c>
    </row>
    <row r="718" spans="1:2">
      <c r="A718" s="4" t="s">
        <v>5352</v>
      </c>
      <c r="B718" s="5">
        <v>-2</v>
      </c>
    </row>
    <row r="719" spans="1:2">
      <c r="A719" s="4" t="s">
        <v>5353</v>
      </c>
      <c r="B719" s="5">
        <v>-2</v>
      </c>
    </row>
    <row r="720" spans="1:2">
      <c r="A720" s="4" t="s">
        <v>5354</v>
      </c>
      <c r="B720" s="5">
        <v>-2</v>
      </c>
    </row>
    <row r="721" spans="1:2">
      <c r="A721" s="4" t="s">
        <v>5355</v>
      </c>
      <c r="B721" s="5">
        <v>-2</v>
      </c>
    </row>
    <row r="722" spans="1:2">
      <c r="A722" s="4" t="s">
        <v>5356</v>
      </c>
      <c r="B722" s="5">
        <v>-2</v>
      </c>
    </row>
    <row r="723" spans="1:2">
      <c r="A723" s="4" t="s">
        <v>5357</v>
      </c>
      <c r="B723" s="5">
        <v>-2</v>
      </c>
    </row>
    <row r="724" spans="1:2">
      <c r="A724" s="4" t="s">
        <v>5358</v>
      </c>
      <c r="B724" s="5">
        <v>-2</v>
      </c>
    </row>
    <row r="725" spans="1:2">
      <c r="A725" s="4" t="s">
        <v>5359</v>
      </c>
      <c r="B725" s="5">
        <v>-2</v>
      </c>
    </row>
    <row r="726" spans="1:2">
      <c r="A726" s="4" t="s">
        <v>5360</v>
      </c>
      <c r="B726" s="5">
        <v>-2</v>
      </c>
    </row>
    <row r="727" spans="1:2">
      <c r="A727" s="4" t="s">
        <v>5361</v>
      </c>
      <c r="B727" s="5">
        <v>-2</v>
      </c>
    </row>
    <row r="728" spans="1:2">
      <c r="A728" s="4" t="s">
        <v>5362</v>
      </c>
      <c r="B728" s="5">
        <v>-2</v>
      </c>
    </row>
    <row r="729" spans="1:2">
      <c r="A729" s="4" t="s">
        <v>5363</v>
      </c>
      <c r="B729" s="5">
        <v>-2</v>
      </c>
    </row>
    <row r="730" spans="1:2">
      <c r="A730" s="4" t="s">
        <v>5364</v>
      </c>
      <c r="B730" s="5">
        <v>-2</v>
      </c>
    </row>
    <row r="731" spans="1:2">
      <c r="A731" s="4" t="s">
        <v>5365</v>
      </c>
      <c r="B731" s="5">
        <v>-2</v>
      </c>
    </row>
    <row r="732" spans="1:2">
      <c r="A732" s="4" t="s">
        <v>5366</v>
      </c>
      <c r="B732" s="5">
        <v>-2</v>
      </c>
    </row>
    <row r="733" spans="1:2">
      <c r="A733" s="4" t="s">
        <v>5367</v>
      </c>
      <c r="B733" s="5">
        <v>-2</v>
      </c>
    </row>
    <row r="734" spans="1:2">
      <c r="A734" s="4" t="s">
        <v>5368</v>
      </c>
      <c r="B734" s="5">
        <v>-2</v>
      </c>
    </row>
    <row r="735" spans="1:2">
      <c r="A735" s="4" t="s">
        <v>5369</v>
      </c>
      <c r="B735" s="5">
        <v>-2</v>
      </c>
    </row>
    <row r="736" spans="1:2">
      <c r="A736" s="4" t="s">
        <v>5370</v>
      </c>
      <c r="B736" s="5">
        <v>-2</v>
      </c>
    </row>
    <row r="737" spans="1:2">
      <c r="A737" s="4" t="s">
        <v>5371</v>
      </c>
      <c r="B737" s="5">
        <v>-2</v>
      </c>
    </row>
    <row r="738" spans="1:2">
      <c r="A738" s="4" t="s">
        <v>5372</v>
      </c>
      <c r="B738" s="5">
        <v>-2</v>
      </c>
    </row>
    <row r="739" spans="1:2">
      <c r="A739" s="4" t="s">
        <v>5373</v>
      </c>
      <c r="B739" s="5">
        <v>-2</v>
      </c>
    </row>
    <row r="740" spans="1:2">
      <c r="A740" s="4" t="s">
        <v>5374</v>
      </c>
      <c r="B740" s="5">
        <v>-2</v>
      </c>
    </row>
    <row r="741" spans="1:2">
      <c r="A741" s="4" t="s">
        <v>5375</v>
      </c>
      <c r="B741" s="5">
        <v>-2</v>
      </c>
    </row>
    <row r="742" spans="1:2">
      <c r="A742" s="4" t="s">
        <v>5376</v>
      </c>
      <c r="B742" s="5">
        <v>-3</v>
      </c>
    </row>
    <row r="743" spans="1:2">
      <c r="A743" s="4" t="s">
        <v>5377</v>
      </c>
      <c r="B743" s="5">
        <v>-3</v>
      </c>
    </row>
    <row r="744" spans="1:2">
      <c r="A744" s="4" t="s">
        <v>5378</v>
      </c>
      <c r="B744" s="5">
        <v>-2</v>
      </c>
    </row>
    <row r="745" spans="1:2">
      <c r="A745" s="4" t="s">
        <v>5379</v>
      </c>
      <c r="B745" s="5">
        <v>-2</v>
      </c>
    </row>
    <row r="746" spans="1:2">
      <c r="A746" s="4" t="s">
        <v>5380</v>
      </c>
      <c r="B746" s="5">
        <v>-2</v>
      </c>
    </row>
    <row r="747" spans="1:2">
      <c r="A747" s="4" t="s">
        <v>5381</v>
      </c>
      <c r="B747" s="5">
        <v>-2</v>
      </c>
    </row>
    <row r="748" spans="1:2">
      <c r="A748" s="4" t="s">
        <v>5382</v>
      </c>
      <c r="B748" s="5">
        <v>-2</v>
      </c>
    </row>
    <row r="749" spans="1:2">
      <c r="A749" s="4" t="s">
        <v>5383</v>
      </c>
      <c r="B749" s="5">
        <v>-1</v>
      </c>
    </row>
    <row r="750" spans="1:2">
      <c r="A750" s="4" t="s">
        <v>5384</v>
      </c>
      <c r="B750" s="5">
        <v>-2</v>
      </c>
    </row>
    <row r="751" spans="1:2">
      <c r="A751" s="4" t="s">
        <v>5385</v>
      </c>
      <c r="B751" s="5">
        <v>-2</v>
      </c>
    </row>
    <row r="752" spans="1:2">
      <c r="A752" s="4" t="s">
        <v>5386</v>
      </c>
      <c r="B752" s="5">
        <v>-2</v>
      </c>
    </row>
    <row r="753" spans="1:2">
      <c r="A753" s="4" t="s">
        <v>5387</v>
      </c>
      <c r="B753" s="5">
        <v>-2</v>
      </c>
    </row>
    <row r="754" spans="1:2">
      <c r="A754" s="4" t="s">
        <v>5388</v>
      </c>
      <c r="B754" s="5">
        <v>-2</v>
      </c>
    </row>
    <row r="755" spans="1:2">
      <c r="A755" s="4" t="s">
        <v>5389</v>
      </c>
      <c r="B755" s="5">
        <v>-1</v>
      </c>
    </row>
    <row r="756" spans="1:2">
      <c r="A756" s="4" t="s">
        <v>5390</v>
      </c>
      <c r="B756" s="5">
        <v>-1</v>
      </c>
    </row>
    <row r="757" spans="1:2">
      <c r="A757" s="4" t="s">
        <v>5391</v>
      </c>
      <c r="B757" s="5">
        <v>-1</v>
      </c>
    </row>
    <row r="758" spans="1:2">
      <c r="A758" s="4" t="s">
        <v>5392</v>
      </c>
      <c r="B758" s="5">
        <v>-1</v>
      </c>
    </row>
    <row r="759" spans="1:2">
      <c r="A759" s="4" t="s">
        <v>5393</v>
      </c>
      <c r="B759" s="5">
        <v>-1</v>
      </c>
    </row>
    <row r="760" spans="1:2">
      <c r="A760" s="4" t="s">
        <v>5394</v>
      </c>
      <c r="B760" s="5">
        <v>-2</v>
      </c>
    </row>
    <row r="761" spans="1:2">
      <c r="A761" s="4" t="s">
        <v>5395</v>
      </c>
      <c r="B761" s="5">
        <v>-2</v>
      </c>
    </row>
    <row r="762" spans="1:2">
      <c r="A762" s="4" t="s">
        <v>5396</v>
      </c>
      <c r="B762" s="5">
        <v>-2</v>
      </c>
    </row>
    <row r="763" spans="1:2">
      <c r="A763" s="4" t="s">
        <v>5397</v>
      </c>
      <c r="B763" s="5">
        <v>-1</v>
      </c>
    </row>
    <row r="764" spans="1:2">
      <c r="A764" s="4" t="s">
        <v>5398</v>
      </c>
      <c r="B764" s="5">
        <v>-1</v>
      </c>
    </row>
    <row r="765" spans="1:2">
      <c r="A765" s="4" t="s">
        <v>5399</v>
      </c>
      <c r="B765" s="5">
        <v>-1</v>
      </c>
    </row>
    <row r="766" spans="1:2">
      <c r="A766" s="4" t="s">
        <v>5400</v>
      </c>
      <c r="B766" s="5">
        <v>-2</v>
      </c>
    </row>
    <row r="767" spans="1:2">
      <c r="A767" s="4" t="s">
        <v>5401</v>
      </c>
      <c r="B767" s="5">
        <v>-2</v>
      </c>
    </row>
    <row r="768" spans="1:2">
      <c r="A768" s="4" t="s">
        <v>5402</v>
      </c>
      <c r="B768" s="5">
        <v>-2</v>
      </c>
    </row>
    <row r="769" spans="1:2">
      <c r="A769" s="4" t="s">
        <v>5403</v>
      </c>
      <c r="B769" s="5">
        <v>-3</v>
      </c>
    </row>
    <row r="770" spans="1:2">
      <c r="A770" s="4" t="s">
        <v>5404</v>
      </c>
      <c r="B770" s="5">
        <v>-2</v>
      </c>
    </row>
    <row r="771" spans="1:2">
      <c r="A771" s="4" t="s">
        <v>5405</v>
      </c>
      <c r="B771" s="5">
        <v>1</v>
      </c>
    </row>
    <row r="772" spans="1:2">
      <c r="A772" s="4" t="s">
        <v>5406</v>
      </c>
      <c r="B772" s="5">
        <v>1</v>
      </c>
    </row>
    <row r="773" spans="1:2">
      <c r="A773" s="4" t="s">
        <v>5407</v>
      </c>
      <c r="B773" s="5">
        <v>-2</v>
      </c>
    </row>
    <row r="774" spans="1:2">
      <c r="A774" s="4" t="s">
        <v>5408</v>
      </c>
      <c r="B774" s="5">
        <v>-2</v>
      </c>
    </row>
    <row r="775" spans="1:2">
      <c r="A775" s="4" t="s">
        <v>5409</v>
      </c>
      <c r="B775" s="5">
        <v>-1</v>
      </c>
    </row>
    <row r="776" spans="1:2">
      <c r="A776" s="4" t="s">
        <v>5410</v>
      </c>
      <c r="B776" s="5">
        <v>-2</v>
      </c>
    </row>
    <row r="777" spans="1:2">
      <c r="A777" s="4" t="s">
        <v>5411</v>
      </c>
      <c r="B777" s="5">
        <v>-2</v>
      </c>
    </row>
    <row r="778" spans="1:2">
      <c r="A778" s="4" t="s">
        <v>5412</v>
      </c>
      <c r="B778" s="5">
        <v>-2</v>
      </c>
    </row>
    <row r="779" spans="1:2">
      <c r="A779" s="4" t="s">
        <v>5413</v>
      </c>
      <c r="B779" s="5">
        <v>-2</v>
      </c>
    </row>
    <row r="780" spans="1:2">
      <c r="A780" s="4" t="s">
        <v>5414</v>
      </c>
      <c r="B780" s="5">
        <v>-2</v>
      </c>
    </row>
    <row r="781" spans="1:2">
      <c r="A781" s="4" t="s">
        <v>5415</v>
      </c>
      <c r="B781" s="5">
        <v>-2</v>
      </c>
    </row>
    <row r="782" spans="1:2">
      <c r="A782" s="4" t="s">
        <v>5416</v>
      </c>
      <c r="B782" s="5">
        <v>-2</v>
      </c>
    </row>
    <row r="783" spans="1:2">
      <c r="A783" s="4" t="s">
        <v>5417</v>
      </c>
      <c r="B783" s="5">
        <v>-3</v>
      </c>
    </row>
    <row r="784" spans="1:2">
      <c r="A784" s="4" t="s">
        <v>5418</v>
      </c>
      <c r="B784" s="5">
        <v>-3</v>
      </c>
    </row>
    <row r="785" spans="1:2">
      <c r="A785" s="4" t="s">
        <v>5419</v>
      </c>
      <c r="B785" s="5">
        <v>-1</v>
      </c>
    </row>
    <row r="786" spans="1:2">
      <c r="A786" s="4" t="s">
        <v>5420</v>
      </c>
      <c r="B786" s="5">
        <v>-2</v>
      </c>
    </row>
    <row r="787" spans="1:2">
      <c r="A787" s="4" t="s">
        <v>5421</v>
      </c>
      <c r="B787" s="5">
        <v>-1</v>
      </c>
    </row>
    <row r="788" spans="1:2">
      <c r="A788" s="4" t="s">
        <v>5422</v>
      </c>
      <c r="B788" s="5">
        <v>-2</v>
      </c>
    </row>
    <row r="789" spans="1:2">
      <c r="A789" s="4" t="s">
        <v>5423</v>
      </c>
      <c r="B789" s="5">
        <v>-2</v>
      </c>
    </row>
    <row r="790" spans="1:2">
      <c r="A790" s="4" t="s">
        <v>5424</v>
      </c>
      <c r="B790" s="5">
        <v>-2</v>
      </c>
    </row>
    <row r="791" spans="1:2">
      <c r="A791" s="4" t="s">
        <v>5425</v>
      </c>
      <c r="B791" s="5">
        <v>2</v>
      </c>
    </row>
    <row r="792" spans="1:2">
      <c r="A792" s="4" t="s">
        <v>5426</v>
      </c>
      <c r="B792" s="5">
        <v>2</v>
      </c>
    </row>
    <row r="793" spans="1:2">
      <c r="A793" s="4" t="s">
        <v>5427</v>
      </c>
      <c r="B793" s="5">
        <v>2</v>
      </c>
    </row>
    <row r="794" spans="1:2">
      <c r="A794" s="4" t="s">
        <v>5428</v>
      </c>
      <c r="B794" s="5">
        <v>1</v>
      </c>
    </row>
    <row r="795" spans="1:2">
      <c r="A795" s="4" t="s">
        <v>5429</v>
      </c>
      <c r="B795" s="5">
        <v>4</v>
      </c>
    </row>
    <row r="796" spans="1:2">
      <c r="A796" s="4" t="s">
        <v>5430</v>
      </c>
      <c r="B796" s="5">
        <v>-2</v>
      </c>
    </row>
    <row r="797" spans="1:2">
      <c r="A797" s="4" t="s">
        <v>5431</v>
      </c>
      <c r="B797" s="5">
        <v>-2</v>
      </c>
    </row>
    <row r="798" spans="1:2">
      <c r="A798" s="4" t="s">
        <v>5432</v>
      </c>
      <c r="B798" s="5">
        <v>2</v>
      </c>
    </row>
    <row r="799" spans="1:2">
      <c r="A799" s="4" t="s">
        <v>5433</v>
      </c>
      <c r="B799" s="5">
        <v>2</v>
      </c>
    </row>
    <row r="800" spans="1:2">
      <c r="A800" s="4" t="s">
        <v>5434</v>
      </c>
      <c r="B800" s="5">
        <v>3</v>
      </c>
    </row>
    <row r="801" spans="1:2">
      <c r="A801" s="4" t="s">
        <v>5435</v>
      </c>
      <c r="B801" s="5">
        <v>3</v>
      </c>
    </row>
    <row r="802" spans="1:2">
      <c r="A802" s="4" t="s">
        <v>5436</v>
      </c>
      <c r="B802" s="5">
        <v>2</v>
      </c>
    </row>
    <row r="803" spans="1:2">
      <c r="A803" s="4" t="s">
        <v>5437</v>
      </c>
      <c r="B803" s="5">
        <v>2</v>
      </c>
    </row>
    <row r="804" spans="1:2">
      <c r="A804" s="4" t="s">
        <v>5438</v>
      </c>
      <c r="B804" s="5">
        <v>-2</v>
      </c>
    </row>
    <row r="805" spans="1:2">
      <c r="A805" s="4" t="s">
        <v>5439</v>
      </c>
      <c r="B805" s="5">
        <v>-2</v>
      </c>
    </row>
    <row r="806" spans="1:2">
      <c r="A806" s="4" t="s">
        <v>5440</v>
      </c>
      <c r="B806" s="5">
        <v>-2</v>
      </c>
    </row>
    <row r="807" spans="1:2">
      <c r="A807" s="4" t="s">
        <v>5441</v>
      </c>
      <c r="B807" s="5">
        <v>-2</v>
      </c>
    </row>
    <row r="808" spans="1:2">
      <c r="A808" s="4" t="s">
        <v>5442</v>
      </c>
      <c r="B808" s="5">
        <v>-2</v>
      </c>
    </row>
    <row r="809" spans="1:2">
      <c r="A809" s="4" t="s">
        <v>5443</v>
      </c>
      <c r="B809" s="5">
        <v>-2</v>
      </c>
    </row>
    <row r="810" spans="1:2">
      <c r="A810" s="4" t="s">
        <v>5444</v>
      </c>
      <c r="B810" s="5">
        <v>1</v>
      </c>
    </row>
    <row r="811" spans="1:2">
      <c r="A811" s="4" t="s">
        <v>5445</v>
      </c>
      <c r="B811" s="5">
        <v>-2</v>
      </c>
    </row>
    <row r="812" spans="1:2">
      <c r="A812" s="4" t="s">
        <v>5446</v>
      </c>
      <c r="B812" s="5">
        <v>2</v>
      </c>
    </row>
    <row r="813" spans="1:2">
      <c r="A813" s="4" t="s">
        <v>5447</v>
      </c>
      <c r="B813" s="5">
        <v>-1</v>
      </c>
    </row>
    <row r="814" spans="1:2">
      <c r="A814" s="4" t="s">
        <v>5448</v>
      </c>
      <c r="B814" s="5">
        <v>-1</v>
      </c>
    </row>
    <row r="815" spans="1:2">
      <c r="A815" s="4" t="s">
        <v>5449</v>
      </c>
      <c r="B815" s="5">
        <v>2</v>
      </c>
    </row>
    <row r="816" spans="1:2">
      <c r="A816" s="4" t="s">
        <v>5450</v>
      </c>
      <c r="B816" s="5">
        <v>2</v>
      </c>
    </row>
    <row r="817" spans="1:2">
      <c r="A817" s="4" t="s">
        <v>5451</v>
      </c>
      <c r="B817" s="5">
        <v>2</v>
      </c>
    </row>
    <row r="818" spans="1:2">
      <c r="A818" s="4" t="s">
        <v>5452</v>
      </c>
      <c r="B818" s="5">
        <v>2</v>
      </c>
    </row>
    <row r="819" spans="1:2">
      <c r="A819" s="4" t="s">
        <v>5453</v>
      </c>
      <c r="B819" s="5">
        <v>2</v>
      </c>
    </row>
    <row r="820" spans="1:2">
      <c r="A820" s="4" t="s">
        <v>5454</v>
      </c>
      <c r="B820" s="5">
        <v>2</v>
      </c>
    </row>
    <row r="821" spans="1:2">
      <c r="A821" s="4" t="s">
        <v>5455</v>
      </c>
      <c r="B821" s="5">
        <v>2</v>
      </c>
    </row>
    <row r="822" spans="1:2">
      <c r="A822" s="4" t="s">
        <v>5456</v>
      </c>
      <c r="B822" s="5">
        <v>2</v>
      </c>
    </row>
    <row r="823" spans="1:2">
      <c r="A823" s="4" t="s">
        <v>5457</v>
      </c>
      <c r="B823" s="5">
        <v>2</v>
      </c>
    </row>
    <row r="824" spans="1:2">
      <c r="A824" s="4" t="s">
        <v>5458</v>
      </c>
      <c r="B824" s="5">
        <v>-2</v>
      </c>
    </row>
    <row r="825" spans="1:2">
      <c r="A825" s="4" t="s">
        <v>5459</v>
      </c>
      <c r="B825" s="5">
        <v>-2</v>
      </c>
    </row>
    <row r="826" spans="1:2">
      <c r="A826" s="4" t="s">
        <v>5460</v>
      </c>
      <c r="B826" s="5">
        <v>2</v>
      </c>
    </row>
    <row r="827" spans="1:2">
      <c r="A827" s="4" t="s">
        <v>5461</v>
      </c>
      <c r="B827" s="5">
        <v>1</v>
      </c>
    </row>
    <row r="828" spans="1:2">
      <c r="A828" s="4" t="s">
        <v>5462</v>
      </c>
      <c r="B828" s="5">
        <v>1</v>
      </c>
    </row>
    <row r="829" spans="1:2">
      <c r="A829" s="4" t="s">
        <v>5463</v>
      </c>
      <c r="B829" s="5">
        <v>1</v>
      </c>
    </row>
    <row r="830" spans="1:2">
      <c r="A830" s="4" t="s">
        <v>5464</v>
      </c>
      <c r="B830" s="5">
        <v>2</v>
      </c>
    </row>
    <row r="831" spans="1:2">
      <c r="A831" s="4" t="s">
        <v>5465</v>
      </c>
      <c r="B831" s="5">
        <v>2</v>
      </c>
    </row>
    <row r="832" spans="1:2">
      <c r="A832" s="4" t="s">
        <v>5466</v>
      </c>
      <c r="B832" s="5">
        <v>2</v>
      </c>
    </row>
    <row r="833" spans="1:2">
      <c r="A833" s="4" t="s">
        <v>5467</v>
      </c>
      <c r="B833" s="5">
        <v>2</v>
      </c>
    </row>
    <row r="834" spans="1:2">
      <c r="A834" s="4" t="s">
        <v>5468</v>
      </c>
      <c r="B834" s="5">
        <v>2</v>
      </c>
    </row>
    <row r="835" spans="1:2">
      <c r="A835" s="4" t="s">
        <v>5469</v>
      </c>
      <c r="B835" s="5">
        <v>2</v>
      </c>
    </row>
    <row r="836" spans="1:2">
      <c r="A836" s="4" t="s">
        <v>5470</v>
      </c>
      <c r="B836" s="5">
        <v>2</v>
      </c>
    </row>
    <row r="837" spans="1:2">
      <c r="A837" s="4" t="s">
        <v>5471</v>
      </c>
      <c r="B837" s="5">
        <v>-2</v>
      </c>
    </row>
    <row r="838" spans="1:2">
      <c r="A838" s="4" t="s">
        <v>5472</v>
      </c>
      <c r="B838" s="5">
        <v>-2</v>
      </c>
    </row>
    <row r="839" spans="1:2">
      <c r="A839" s="4" t="s">
        <v>5473</v>
      </c>
      <c r="B839" s="5">
        <v>-2</v>
      </c>
    </row>
    <row r="840" spans="1:2">
      <c r="A840" s="4" t="s">
        <v>5474</v>
      </c>
      <c r="B840" s="5">
        <v>-2</v>
      </c>
    </row>
    <row r="841" spans="1:2">
      <c r="A841" s="4" t="s">
        <v>5475</v>
      </c>
      <c r="B841" s="5">
        <v>3</v>
      </c>
    </row>
    <row r="842" spans="1:2">
      <c r="A842" s="4" t="s">
        <v>5476</v>
      </c>
      <c r="B842" s="5">
        <v>-2</v>
      </c>
    </row>
    <row r="843" spans="1:2">
      <c r="A843" s="4" t="s">
        <v>5477</v>
      </c>
      <c r="B843" s="5">
        <v>-2</v>
      </c>
    </row>
    <row r="844" spans="1:2">
      <c r="A844" s="4" t="s">
        <v>5478</v>
      </c>
      <c r="B844" s="5">
        <v>-2</v>
      </c>
    </row>
    <row r="845" spans="1:2">
      <c r="A845" s="4" t="s">
        <v>5479</v>
      </c>
      <c r="B845" s="5">
        <v>1</v>
      </c>
    </row>
    <row r="846" spans="1:2">
      <c r="A846" s="4" t="s">
        <v>5480</v>
      </c>
      <c r="B846" s="5">
        <v>1</v>
      </c>
    </row>
    <row r="847" spans="1:2">
      <c r="A847" s="4" t="s">
        <v>5481</v>
      </c>
      <c r="B847" s="5">
        <v>1</v>
      </c>
    </row>
    <row r="848" spans="1:2">
      <c r="A848" s="4" t="s">
        <v>5482</v>
      </c>
      <c r="B848" s="5">
        <v>2</v>
      </c>
    </row>
    <row r="849" spans="1:2">
      <c r="A849" s="4" t="s">
        <v>5483</v>
      </c>
      <c r="B849" s="5">
        <v>3</v>
      </c>
    </row>
    <row r="850" spans="1:2">
      <c r="A850" s="4" t="s">
        <v>5484</v>
      </c>
      <c r="B850" s="5">
        <v>3</v>
      </c>
    </row>
    <row r="851" spans="1:2">
      <c r="A851" s="4" t="s">
        <v>5485</v>
      </c>
      <c r="B851" s="5">
        <v>1</v>
      </c>
    </row>
    <row r="852" spans="1:2">
      <c r="A852" s="4" t="s">
        <v>5486</v>
      </c>
      <c r="B852" s="5">
        <v>2</v>
      </c>
    </row>
    <row r="853" spans="1:2">
      <c r="A853" s="4" t="s">
        <v>5487</v>
      </c>
      <c r="B853" s="5">
        <v>-1</v>
      </c>
    </row>
    <row r="854" spans="1:2">
      <c r="A854" s="4" t="s">
        <v>5488</v>
      </c>
      <c r="B854" s="5">
        <v>-2</v>
      </c>
    </row>
    <row r="855" spans="1:2">
      <c r="A855" s="4" t="s">
        <v>5489</v>
      </c>
      <c r="B855" s="5">
        <v>-1</v>
      </c>
    </row>
    <row r="856" spans="1:2">
      <c r="A856" s="4" t="s">
        <v>5490</v>
      </c>
      <c r="B856" s="5">
        <v>-1</v>
      </c>
    </row>
    <row r="857" spans="1:2">
      <c r="A857" s="4" t="s">
        <v>5491</v>
      </c>
      <c r="B857" s="5">
        <v>-2</v>
      </c>
    </row>
    <row r="858" spans="1:2">
      <c r="A858" s="4" t="s">
        <v>5492</v>
      </c>
      <c r="B858" s="5">
        <v>-2</v>
      </c>
    </row>
    <row r="859" spans="1:2">
      <c r="A859" s="4" t="s">
        <v>5493</v>
      </c>
      <c r="B859" s="5">
        <v>-2</v>
      </c>
    </row>
    <row r="860" spans="1:2">
      <c r="A860" s="4" t="s">
        <v>5494</v>
      </c>
      <c r="B860" s="5">
        <v>-1</v>
      </c>
    </row>
    <row r="861" spans="1:2">
      <c r="A861" s="4" t="s">
        <v>5495</v>
      </c>
      <c r="B861" s="5">
        <v>-1</v>
      </c>
    </row>
    <row r="862" spans="1:2">
      <c r="A862" s="4" t="s">
        <v>5496</v>
      </c>
      <c r="B862" s="5">
        <v>-1</v>
      </c>
    </row>
    <row r="863" spans="1:2">
      <c r="A863" s="4" t="s">
        <v>5497</v>
      </c>
      <c r="B863" s="5">
        <v>2</v>
      </c>
    </row>
    <row r="864" spans="1:2">
      <c r="A864" s="4" t="s">
        <v>5498</v>
      </c>
      <c r="B864" s="5">
        <v>2</v>
      </c>
    </row>
    <row r="865" spans="1:2">
      <c r="A865" s="4" t="s">
        <v>5499</v>
      </c>
      <c r="B865" s="5">
        <v>3</v>
      </c>
    </row>
    <row r="866" spans="1:2">
      <c r="A866" s="4" t="s">
        <v>5500</v>
      </c>
      <c r="B866" s="5">
        <v>4</v>
      </c>
    </row>
    <row r="867" spans="1:2">
      <c r="A867" s="4" t="s">
        <v>5501</v>
      </c>
      <c r="B867" s="5">
        <v>-1</v>
      </c>
    </row>
    <row r="868" spans="1:2">
      <c r="A868" s="4" t="s">
        <v>5502</v>
      </c>
      <c r="B868" s="5">
        <v>-3</v>
      </c>
    </row>
    <row r="869" spans="1:2">
      <c r="A869" s="4" t="s">
        <v>5503</v>
      </c>
      <c r="B869" s="5">
        <v>-2</v>
      </c>
    </row>
    <row r="870" spans="1:2">
      <c r="A870" s="4" t="s">
        <v>5504</v>
      </c>
      <c r="B870" s="5">
        <v>-2</v>
      </c>
    </row>
    <row r="871" spans="1:2">
      <c r="A871" s="4" t="s">
        <v>5505</v>
      </c>
      <c r="B871" s="5">
        <v>-2</v>
      </c>
    </row>
    <row r="872" spans="1:2">
      <c r="A872" s="4" t="s">
        <v>5506</v>
      </c>
      <c r="B872" s="5">
        <v>-2</v>
      </c>
    </row>
    <row r="873" spans="1:2">
      <c r="A873" s="4" t="s">
        <v>5507</v>
      </c>
      <c r="B873" s="5">
        <v>2</v>
      </c>
    </row>
    <row r="874" spans="1:2">
      <c r="A874" s="4" t="s">
        <v>5508</v>
      </c>
      <c r="B874" s="5">
        <v>3</v>
      </c>
    </row>
    <row r="875" spans="1:2">
      <c r="A875" s="4" t="s">
        <v>5509</v>
      </c>
      <c r="B875" s="5">
        <v>3</v>
      </c>
    </row>
    <row r="876" spans="1:2">
      <c r="A876" s="4" t="s">
        <v>5510</v>
      </c>
      <c r="B876" s="5">
        <v>3</v>
      </c>
    </row>
    <row r="877" spans="1:2">
      <c r="A877" s="4" t="s">
        <v>5511</v>
      </c>
      <c r="B877" s="5">
        <v>3</v>
      </c>
    </row>
    <row r="878" spans="1:2">
      <c r="A878" s="4" t="s">
        <v>5512</v>
      </c>
      <c r="B878" s="5">
        <v>3</v>
      </c>
    </row>
    <row r="879" spans="1:2">
      <c r="A879" s="4" t="s">
        <v>5513</v>
      </c>
      <c r="B879" s="5">
        <v>3</v>
      </c>
    </row>
    <row r="880" spans="1:2">
      <c r="A880" s="4" t="s">
        <v>5514</v>
      </c>
      <c r="B880" s="5">
        <v>-1</v>
      </c>
    </row>
    <row r="881" spans="1:2">
      <c r="A881" s="4" t="s">
        <v>5515</v>
      </c>
      <c r="B881" s="5">
        <v>-2</v>
      </c>
    </row>
    <row r="882" spans="1:2">
      <c r="A882" s="4" t="s">
        <v>5516</v>
      </c>
      <c r="B882" s="5">
        <v>-1</v>
      </c>
    </row>
    <row r="883" spans="1:2">
      <c r="A883" s="4" t="s">
        <v>5517</v>
      </c>
      <c r="B883" s="5">
        <v>2</v>
      </c>
    </row>
    <row r="884" spans="1:2">
      <c r="A884" s="4" t="s">
        <v>5518</v>
      </c>
      <c r="B884" s="5">
        <v>-1</v>
      </c>
    </row>
    <row r="885" spans="1:2">
      <c r="A885" s="4" t="s">
        <v>5519</v>
      </c>
      <c r="B885" s="5">
        <v>-1</v>
      </c>
    </row>
    <row r="886" spans="1:2">
      <c r="A886" s="4" t="s">
        <v>5520</v>
      </c>
      <c r="B886" s="5">
        <v>-2</v>
      </c>
    </row>
    <row r="887" spans="1:2">
      <c r="A887" s="4" t="s">
        <v>5521</v>
      </c>
      <c r="B887" s="5">
        <v>3</v>
      </c>
    </row>
    <row r="888" spans="1:2">
      <c r="A888" s="4" t="s">
        <v>5522</v>
      </c>
      <c r="B888" s="5">
        <v>3</v>
      </c>
    </row>
    <row r="889" spans="1:2">
      <c r="A889" s="4" t="s">
        <v>5523</v>
      </c>
      <c r="B889" s="5">
        <v>3</v>
      </c>
    </row>
    <row r="890" spans="1:2">
      <c r="A890" s="4" t="s">
        <v>5524</v>
      </c>
      <c r="B890" s="5">
        <v>2</v>
      </c>
    </row>
    <row r="891" spans="1:2">
      <c r="A891" s="4" t="s">
        <v>5525</v>
      </c>
      <c r="B891" s="5">
        <v>2</v>
      </c>
    </row>
    <row r="892" spans="1:2">
      <c r="A892" s="4" t="s">
        <v>5526</v>
      </c>
      <c r="B892" s="5">
        <v>2</v>
      </c>
    </row>
    <row r="893" spans="1:2">
      <c r="A893" s="4" t="s">
        <v>5527</v>
      </c>
      <c r="B893" s="5">
        <v>2</v>
      </c>
    </row>
    <row r="894" spans="1:2">
      <c r="A894" s="4" t="s">
        <v>5528</v>
      </c>
      <c r="B894" s="5">
        <v>1</v>
      </c>
    </row>
    <row r="895" spans="1:2">
      <c r="A895" s="4" t="s">
        <v>5529</v>
      </c>
      <c r="B895" s="5">
        <v>1</v>
      </c>
    </row>
    <row r="896" spans="1:2">
      <c r="A896" s="4" t="s">
        <v>5530</v>
      </c>
      <c r="B896" s="5">
        <v>-2</v>
      </c>
    </row>
    <row r="897" spans="1:2">
      <c r="A897" s="4" t="s">
        <v>5531</v>
      </c>
      <c r="B897" s="5">
        <v>-2</v>
      </c>
    </row>
    <row r="898" spans="1:2">
      <c r="A898" s="4" t="s">
        <v>5532</v>
      </c>
      <c r="B898" s="5">
        <v>-2</v>
      </c>
    </row>
    <row r="899" spans="1:2">
      <c r="A899" s="4" t="s">
        <v>5533</v>
      </c>
      <c r="B899" s="5">
        <v>-2</v>
      </c>
    </row>
    <row r="900" spans="1:2">
      <c r="A900" s="4" t="s">
        <v>5534</v>
      </c>
      <c r="B900" s="5">
        <v>-2</v>
      </c>
    </row>
    <row r="901" spans="1:2">
      <c r="A901" s="4" t="s">
        <v>5535</v>
      </c>
      <c r="B901" s="5">
        <v>-2</v>
      </c>
    </row>
    <row r="902" spans="1:2">
      <c r="A902" s="4" t="s">
        <v>5536</v>
      </c>
      <c r="B902" s="5">
        <v>-2</v>
      </c>
    </row>
    <row r="903" spans="1:2">
      <c r="A903" s="4" t="s">
        <v>5537</v>
      </c>
      <c r="B903" s="5">
        <v>-2</v>
      </c>
    </row>
    <row r="904" spans="1:2">
      <c r="A904" s="4" t="s">
        <v>5538</v>
      </c>
      <c r="B904" s="5">
        <v>1</v>
      </c>
    </row>
    <row r="905" spans="1:2">
      <c r="A905" s="4" t="s">
        <v>5539</v>
      </c>
      <c r="B905" s="5">
        <v>1</v>
      </c>
    </row>
    <row r="906" spans="1:2">
      <c r="A906" s="4" t="s">
        <v>5540</v>
      </c>
      <c r="B906" s="5">
        <v>-1</v>
      </c>
    </row>
    <row r="907" spans="1:2">
      <c r="A907" s="4" t="s">
        <v>5541</v>
      </c>
      <c r="B907" s="5">
        <v>-1</v>
      </c>
    </row>
    <row r="908" spans="1:2">
      <c r="A908" s="4" t="s">
        <v>5542</v>
      </c>
      <c r="B908" s="5">
        <v>-1</v>
      </c>
    </row>
    <row r="909" spans="1:2">
      <c r="A909" s="4" t="s">
        <v>5543</v>
      </c>
      <c r="B909" s="5">
        <v>-1</v>
      </c>
    </row>
    <row r="910" spans="1:2">
      <c r="A910" s="4" t="s">
        <v>5544</v>
      </c>
      <c r="B910" s="5">
        <v>1</v>
      </c>
    </row>
    <row r="911" spans="1:2">
      <c r="A911" s="4" t="s">
        <v>5545</v>
      </c>
      <c r="B911" s="5">
        <v>1</v>
      </c>
    </row>
    <row r="912" spans="1:2">
      <c r="A912" s="4" t="s">
        <v>5546</v>
      </c>
      <c r="B912" s="5">
        <v>4</v>
      </c>
    </row>
    <row r="913" spans="1:2">
      <c r="A913" s="4" t="s">
        <v>5547</v>
      </c>
      <c r="B913" s="5">
        <v>3</v>
      </c>
    </row>
    <row r="914" spans="1:2">
      <c r="A914" s="4" t="s">
        <v>5548</v>
      </c>
      <c r="B914" s="5">
        <v>3</v>
      </c>
    </row>
    <row r="915" spans="1:2">
      <c r="A915" s="4" t="s">
        <v>5549</v>
      </c>
      <c r="B915" s="5">
        <v>4</v>
      </c>
    </row>
    <row r="916" spans="1:2">
      <c r="A916" s="4" t="s">
        <v>5550</v>
      </c>
      <c r="B916" s="5">
        <v>-2</v>
      </c>
    </row>
    <row r="917" spans="1:2">
      <c r="A917" s="4" t="s">
        <v>5551</v>
      </c>
      <c r="B917" s="5">
        <v>-2</v>
      </c>
    </row>
    <row r="918" spans="1:2">
      <c r="A918" s="4" t="s">
        <v>5552</v>
      </c>
      <c r="B918" s="5">
        <v>-2</v>
      </c>
    </row>
    <row r="919" spans="1:2">
      <c r="A919" s="4" t="s">
        <v>5553</v>
      </c>
      <c r="B919" s="5">
        <v>-2</v>
      </c>
    </row>
    <row r="920" spans="1:2">
      <c r="A920" s="4" t="s">
        <v>5554</v>
      </c>
      <c r="B920" s="5">
        <v>-2</v>
      </c>
    </row>
    <row r="921" spans="1:2">
      <c r="A921" s="4" t="s">
        <v>5555</v>
      </c>
      <c r="B921" s="5">
        <v>-2</v>
      </c>
    </row>
    <row r="922" spans="1:2">
      <c r="A922" s="4" t="s">
        <v>5556</v>
      </c>
      <c r="B922" s="5">
        <v>-2</v>
      </c>
    </row>
    <row r="923" spans="1:2">
      <c r="A923" s="4" t="s">
        <v>5557</v>
      </c>
      <c r="B923" s="5">
        <v>-2</v>
      </c>
    </row>
    <row r="924" spans="1:2">
      <c r="A924" s="4" t="s">
        <v>5558</v>
      </c>
      <c r="B924" s="5">
        <v>2</v>
      </c>
    </row>
    <row r="925" spans="1:2">
      <c r="A925" s="4" t="s">
        <v>5559</v>
      </c>
      <c r="B925" s="5">
        <v>1</v>
      </c>
    </row>
    <row r="926" spans="1:2">
      <c r="A926" s="4" t="s">
        <v>5560</v>
      </c>
      <c r="B926" s="5">
        <v>3</v>
      </c>
    </row>
    <row r="927" spans="1:2">
      <c r="A927" s="4" t="s">
        <v>5561</v>
      </c>
      <c r="B927" s="5">
        <v>-3</v>
      </c>
    </row>
    <row r="928" spans="1:2">
      <c r="A928" s="4" t="s">
        <v>5562</v>
      </c>
      <c r="B928" s="5">
        <v>-3</v>
      </c>
    </row>
    <row r="929" spans="1:2">
      <c r="A929" s="4" t="s">
        <v>5563</v>
      </c>
      <c r="B929" s="5">
        <v>-3</v>
      </c>
    </row>
    <row r="930" spans="1:2">
      <c r="A930" s="4" t="s">
        <v>5564</v>
      </c>
      <c r="B930" s="5">
        <v>-2</v>
      </c>
    </row>
    <row r="931" spans="1:2">
      <c r="A931" s="4" t="s">
        <v>5565</v>
      </c>
      <c r="B931" s="5">
        <v>-1</v>
      </c>
    </row>
    <row r="932" spans="1:2">
      <c r="A932" s="4" t="s">
        <v>5566</v>
      </c>
      <c r="B932" s="5">
        <v>-3</v>
      </c>
    </row>
    <row r="933" spans="1:2">
      <c r="A933" s="4" t="s">
        <v>5567</v>
      </c>
      <c r="B933" s="5">
        <v>-3</v>
      </c>
    </row>
    <row r="934" spans="1:2">
      <c r="A934" s="4" t="s">
        <v>5568</v>
      </c>
      <c r="B934" s="5">
        <v>1</v>
      </c>
    </row>
    <row r="935" spans="1:2">
      <c r="A935" s="4" t="s">
        <v>5569</v>
      </c>
      <c r="B935" s="5">
        <v>3</v>
      </c>
    </row>
    <row r="936" spans="1:2">
      <c r="A936" s="4" t="s">
        <v>5570</v>
      </c>
      <c r="B936" s="5">
        <v>4</v>
      </c>
    </row>
    <row r="937" spans="1:2">
      <c r="A937" s="4" t="s">
        <v>5571</v>
      </c>
      <c r="B937" s="5">
        <v>-1</v>
      </c>
    </row>
    <row r="938" spans="1:2">
      <c r="A938" s="4" t="s">
        <v>5572</v>
      </c>
      <c r="B938" s="5">
        <v>3</v>
      </c>
    </row>
    <row r="939" spans="1:2">
      <c r="A939" s="4" t="s">
        <v>5573</v>
      </c>
      <c r="B939" s="5">
        <v>3</v>
      </c>
    </row>
    <row r="940" spans="1:2">
      <c r="A940" s="4" t="s">
        <v>5574</v>
      </c>
      <c r="B940" s="5">
        <v>3</v>
      </c>
    </row>
    <row r="941" spans="1:2">
      <c r="A941" s="4" t="s">
        <v>5575</v>
      </c>
      <c r="B941" s="5">
        <v>3</v>
      </c>
    </row>
    <row r="942" spans="1:2">
      <c r="A942" s="4" t="s">
        <v>5576</v>
      </c>
      <c r="B942" s="5">
        <v>-2</v>
      </c>
    </row>
    <row r="943" spans="1:2">
      <c r="A943" s="4" t="s">
        <v>5577</v>
      </c>
      <c r="B943" s="5">
        <v>-2</v>
      </c>
    </row>
    <row r="944" spans="1:2">
      <c r="A944" s="4" t="s">
        <v>5578</v>
      </c>
      <c r="B944" s="5">
        <v>-3</v>
      </c>
    </row>
    <row r="945" spans="1:2">
      <c r="A945" s="4" t="s">
        <v>5579</v>
      </c>
      <c r="B945" s="5">
        <v>-3</v>
      </c>
    </row>
    <row r="946" spans="1:2">
      <c r="A946" s="4" t="s">
        <v>5580</v>
      </c>
      <c r="B946" s="5">
        <v>-2</v>
      </c>
    </row>
    <row r="947" spans="1:2">
      <c r="A947" s="4" t="s">
        <v>5581</v>
      </c>
      <c r="B947" s="5">
        <v>-2</v>
      </c>
    </row>
    <row r="948" spans="1:2">
      <c r="A948" s="4" t="s">
        <v>5582</v>
      </c>
      <c r="B948" s="5">
        <v>-2</v>
      </c>
    </row>
    <row r="949" spans="1:2">
      <c r="A949" s="4" t="s">
        <v>5583</v>
      </c>
      <c r="B949" s="5">
        <v>-2</v>
      </c>
    </row>
    <row r="950" spans="1:2">
      <c r="A950" s="4" t="s">
        <v>5584</v>
      </c>
      <c r="B950" s="5">
        <v>2</v>
      </c>
    </row>
    <row r="951" spans="1:2">
      <c r="A951" s="4" t="s">
        <v>5585</v>
      </c>
      <c r="B951" s="5">
        <v>2</v>
      </c>
    </row>
    <row r="952" spans="1:2">
      <c r="A952" s="4" t="s">
        <v>5586</v>
      </c>
      <c r="B952" s="5">
        <v>2</v>
      </c>
    </row>
    <row r="953" spans="1:2">
      <c r="A953" s="4" t="s">
        <v>5587</v>
      </c>
      <c r="B953" s="5">
        <v>2</v>
      </c>
    </row>
    <row r="954" spans="1:2">
      <c r="A954" s="4" t="s">
        <v>5588</v>
      </c>
      <c r="B954" s="5">
        <v>2</v>
      </c>
    </row>
    <row r="955" spans="1:2">
      <c r="A955" s="4" t="s">
        <v>5589</v>
      </c>
      <c r="B955" s="5">
        <v>2</v>
      </c>
    </row>
    <row r="956" spans="1:2">
      <c r="A956" s="4" t="s">
        <v>5590</v>
      </c>
      <c r="B956" s="5">
        <v>-2</v>
      </c>
    </row>
    <row r="957" spans="1:2">
      <c r="A957" s="4" t="s">
        <v>5591</v>
      </c>
      <c r="B957" s="5">
        <v>-2</v>
      </c>
    </row>
    <row r="958" spans="1:2">
      <c r="A958" s="4" t="s">
        <v>5592</v>
      </c>
      <c r="B958" s="5">
        <v>-2</v>
      </c>
    </row>
    <row r="959" spans="1:2">
      <c r="A959" s="4" t="s">
        <v>5593</v>
      </c>
      <c r="B959" s="5">
        <v>2</v>
      </c>
    </row>
    <row r="960" spans="1:2">
      <c r="A960" s="4" t="s">
        <v>5594</v>
      </c>
      <c r="B960" s="5">
        <v>-2</v>
      </c>
    </row>
    <row r="961" spans="1:2">
      <c r="A961" s="4" t="s">
        <v>5595</v>
      </c>
      <c r="B961" s="5">
        <v>-2</v>
      </c>
    </row>
    <row r="962" spans="1:2">
      <c r="A962" s="4" t="s">
        <v>5596</v>
      </c>
      <c r="B962" s="5">
        <v>1</v>
      </c>
    </row>
    <row r="963" spans="1:2">
      <c r="A963" s="4" t="s">
        <v>5597</v>
      </c>
      <c r="B963" s="5">
        <v>-3</v>
      </c>
    </row>
    <row r="964" spans="1:2">
      <c r="A964" s="4" t="s">
        <v>5598</v>
      </c>
      <c r="B964" s="5">
        <v>-3</v>
      </c>
    </row>
    <row r="965" spans="1:2">
      <c r="A965" s="4" t="s">
        <v>5599</v>
      </c>
      <c r="B965" s="5">
        <v>2</v>
      </c>
    </row>
    <row r="966" spans="1:2">
      <c r="A966" s="4" t="s">
        <v>5600</v>
      </c>
      <c r="B966" s="5">
        <v>2</v>
      </c>
    </row>
    <row r="967" spans="1:2">
      <c r="A967" s="4" t="s">
        <v>5601</v>
      </c>
      <c r="B967" s="5">
        <v>2</v>
      </c>
    </row>
    <row r="968" spans="1:2">
      <c r="A968" s="4" t="s">
        <v>5602</v>
      </c>
      <c r="B968" s="5">
        <v>-3</v>
      </c>
    </row>
    <row r="969" spans="1:2">
      <c r="A969" s="4" t="s">
        <v>5603</v>
      </c>
      <c r="B969" s="5">
        <v>-2</v>
      </c>
    </row>
    <row r="970" spans="1:2">
      <c r="A970" s="4" t="s">
        <v>5604</v>
      </c>
      <c r="B970" s="5">
        <v>-1</v>
      </c>
    </row>
    <row r="971" spans="1:2">
      <c r="A971" s="4" t="s">
        <v>5605</v>
      </c>
      <c r="B971" s="5">
        <v>2</v>
      </c>
    </row>
    <row r="972" spans="1:2">
      <c r="A972" s="4" t="s">
        <v>5606</v>
      </c>
      <c r="B972" s="5">
        <v>-2</v>
      </c>
    </row>
    <row r="973" spans="1:2">
      <c r="A973" s="4" t="s">
        <v>5607</v>
      </c>
      <c r="B973" s="5">
        <v>-2</v>
      </c>
    </row>
    <row r="974" spans="1:2">
      <c r="A974" s="4" t="s">
        <v>5608</v>
      </c>
      <c r="B974" s="5">
        <v>-2</v>
      </c>
    </row>
    <row r="975" spans="1:2">
      <c r="A975" s="4" t="s">
        <v>5609</v>
      </c>
      <c r="B975" s="5">
        <v>1</v>
      </c>
    </row>
    <row r="976" spans="1:2">
      <c r="A976" s="4" t="s">
        <v>5610</v>
      </c>
      <c r="B976" s="5">
        <v>1</v>
      </c>
    </row>
    <row r="977" spans="1:2">
      <c r="A977" s="4" t="s">
        <v>5611</v>
      </c>
      <c r="B977" s="5">
        <v>2</v>
      </c>
    </row>
    <row r="978" spans="1:2">
      <c r="A978" s="4" t="s">
        <v>5612</v>
      </c>
      <c r="B978" s="5">
        <v>-1</v>
      </c>
    </row>
    <row r="979" spans="1:2">
      <c r="A979" s="4" t="s">
        <v>1398</v>
      </c>
      <c r="B979" s="5">
        <v>-2</v>
      </c>
    </row>
    <row r="980" spans="1:2">
      <c r="A980" s="4" t="s">
        <v>5613</v>
      </c>
      <c r="B980" s="5">
        <v>-2</v>
      </c>
    </row>
    <row r="981" spans="1:2">
      <c r="A981" s="4" t="s">
        <v>5614</v>
      </c>
      <c r="B981" s="5">
        <v>-2</v>
      </c>
    </row>
    <row r="982" spans="1:2">
      <c r="A982" s="4" t="s">
        <v>5615</v>
      </c>
      <c r="B982" s="5">
        <v>-2</v>
      </c>
    </row>
    <row r="983" spans="1:2">
      <c r="A983" s="4" t="s">
        <v>5616</v>
      </c>
      <c r="B983" s="5">
        <v>2</v>
      </c>
    </row>
    <row r="984" spans="1:2">
      <c r="A984" s="4" t="s">
        <v>5617</v>
      </c>
      <c r="B984" s="5">
        <v>2</v>
      </c>
    </row>
    <row r="985" spans="1:2">
      <c r="A985" s="4" t="s">
        <v>5618</v>
      </c>
      <c r="B985" s="5">
        <v>2</v>
      </c>
    </row>
    <row r="986" spans="1:2">
      <c r="A986" s="4" t="s">
        <v>5619</v>
      </c>
      <c r="B986" s="5">
        <v>-2</v>
      </c>
    </row>
    <row r="987" spans="1:2">
      <c r="A987" s="4" t="s">
        <v>5620</v>
      </c>
      <c r="B987" s="5">
        <v>-2</v>
      </c>
    </row>
    <row r="988" spans="1:2">
      <c r="A988" s="4" t="s">
        <v>5621</v>
      </c>
      <c r="B988" s="5">
        <v>-2</v>
      </c>
    </row>
    <row r="989" spans="1:2">
      <c r="A989" s="4" t="s">
        <v>5622</v>
      </c>
      <c r="B989" s="5">
        <v>-1</v>
      </c>
    </row>
    <row r="990" spans="1:2">
      <c r="A990" s="4" t="s">
        <v>5623</v>
      </c>
      <c r="B990" s="5">
        <v>-2</v>
      </c>
    </row>
    <row r="991" spans="1:2">
      <c r="A991" s="4" t="s">
        <v>5624</v>
      </c>
      <c r="B991" s="5">
        <v>-2</v>
      </c>
    </row>
    <row r="992" spans="1:2">
      <c r="A992" s="4" t="s">
        <v>5625</v>
      </c>
      <c r="B992" s="5">
        <v>-1</v>
      </c>
    </row>
    <row r="993" spans="1:2">
      <c r="A993" s="4" t="s">
        <v>5626</v>
      </c>
      <c r="B993" s="5">
        <v>-2</v>
      </c>
    </row>
    <row r="994" spans="1:2">
      <c r="A994" s="4" t="s">
        <v>5627</v>
      </c>
      <c r="B994" s="5">
        <v>1</v>
      </c>
    </row>
    <row r="995" spans="1:2">
      <c r="A995" s="4" t="s">
        <v>5628</v>
      </c>
      <c r="B995" s="5">
        <v>1</v>
      </c>
    </row>
    <row r="996" spans="1:2">
      <c r="A996" s="4" t="s">
        <v>5629</v>
      </c>
      <c r="B996" s="5">
        <v>-1</v>
      </c>
    </row>
    <row r="997" spans="1:2">
      <c r="A997" s="4" t="s">
        <v>5630</v>
      </c>
      <c r="B997" s="5">
        <v>2</v>
      </c>
    </row>
    <row r="998" spans="1:2">
      <c r="A998" s="4" t="s">
        <v>5631</v>
      </c>
      <c r="B998" s="5">
        <v>-1</v>
      </c>
    </row>
    <row r="999" spans="1:2">
      <c r="A999" s="4" t="s">
        <v>5632</v>
      </c>
      <c r="B999" s="5">
        <v>-4</v>
      </c>
    </row>
    <row r="1000" spans="1:2">
      <c r="A1000" s="4" t="s">
        <v>5633</v>
      </c>
      <c r="B1000" s="5">
        <v>-4</v>
      </c>
    </row>
    <row r="1001" spans="1:2">
      <c r="A1001" s="4" t="s">
        <v>5634</v>
      </c>
      <c r="B1001" s="5">
        <v>-4</v>
      </c>
    </row>
    <row r="1002" spans="1:2">
      <c r="A1002" s="4" t="s">
        <v>5635</v>
      </c>
      <c r="B1002" s="5">
        <v>-4</v>
      </c>
    </row>
    <row r="1003" spans="1:2">
      <c r="A1003" s="4" t="s">
        <v>5636</v>
      </c>
      <c r="B1003" s="5">
        <v>-4</v>
      </c>
    </row>
    <row r="1004" spans="1:2">
      <c r="A1004" s="4" t="s">
        <v>5637</v>
      </c>
      <c r="B1004" s="5">
        <v>-4</v>
      </c>
    </row>
    <row r="1005" spans="1:2">
      <c r="A1005" s="4" t="s">
        <v>5638</v>
      </c>
      <c r="B1005" s="5">
        <v>1</v>
      </c>
    </row>
    <row r="1006" spans="1:2">
      <c r="A1006" s="4" t="s">
        <v>5639</v>
      </c>
      <c r="B1006" s="5">
        <v>2</v>
      </c>
    </row>
    <row r="1007" spans="1:2">
      <c r="A1007" s="4" t="s">
        <v>5640</v>
      </c>
      <c r="B1007" s="5">
        <v>-3</v>
      </c>
    </row>
    <row r="1008" spans="1:2">
      <c r="A1008" s="4" t="s">
        <v>5641</v>
      </c>
      <c r="B1008" s="5">
        <v>1</v>
      </c>
    </row>
    <row r="1009" spans="1:2">
      <c r="A1009" s="4" t="s">
        <v>5642</v>
      </c>
      <c r="B1009" s="5">
        <v>2</v>
      </c>
    </row>
    <row r="1010" spans="1:2">
      <c r="A1010" s="4" t="s">
        <v>5643</v>
      </c>
      <c r="B1010" s="5">
        <v>-2</v>
      </c>
    </row>
    <row r="1011" spans="1:2">
      <c r="A1011" s="4" t="s">
        <v>5644</v>
      </c>
      <c r="B1011" s="5">
        <v>-2</v>
      </c>
    </row>
    <row r="1012" spans="1:2">
      <c r="A1012" s="4" t="s">
        <v>5645</v>
      </c>
      <c r="B1012" s="5">
        <v>-3</v>
      </c>
    </row>
    <row r="1013" spans="1:2">
      <c r="A1013" s="4" t="s">
        <v>5646</v>
      </c>
      <c r="B1013" s="5">
        <v>-2</v>
      </c>
    </row>
    <row r="1014" spans="1:2">
      <c r="A1014" s="4" t="s">
        <v>5647</v>
      </c>
      <c r="B1014" s="5">
        <v>2</v>
      </c>
    </row>
    <row r="1015" spans="1:2">
      <c r="A1015" s="4" t="s">
        <v>5648</v>
      </c>
      <c r="B1015" s="5">
        <v>-1</v>
      </c>
    </row>
    <row r="1016" spans="1:2">
      <c r="A1016" s="4" t="s">
        <v>5649</v>
      </c>
      <c r="B1016" s="5">
        <v>-2</v>
      </c>
    </row>
    <row r="1017" spans="1:2">
      <c r="A1017" s="4" t="s">
        <v>5650</v>
      </c>
      <c r="B1017" s="5">
        <v>-2</v>
      </c>
    </row>
    <row r="1018" spans="1:2">
      <c r="A1018" s="4" t="s">
        <v>5651</v>
      </c>
      <c r="B1018" s="5">
        <v>-2</v>
      </c>
    </row>
    <row r="1019" spans="1:2">
      <c r="A1019" s="4" t="s">
        <v>5652</v>
      </c>
      <c r="B1019" s="5">
        <v>-2</v>
      </c>
    </row>
    <row r="1020" spans="1:2">
      <c r="A1020" s="4" t="s">
        <v>5653</v>
      </c>
      <c r="B1020" s="5">
        <v>-2</v>
      </c>
    </row>
    <row r="1021" spans="1:2">
      <c r="A1021" s="4" t="s">
        <v>5654</v>
      </c>
      <c r="B1021" s="5">
        <v>3</v>
      </c>
    </row>
    <row r="1022" spans="1:2">
      <c r="A1022" s="4" t="s">
        <v>5655</v>
      </c>
      <c r="B1022" s="5">
        <v>-3</v>
      </c>
    </row>
    <row r="1023" spans="1:2">
      <c r="A1023" s="4" t="s">
        <v>5656</v>
      </c>
      <c r="B1023" s="5">
        <v>-4</v>
      </c>
    </row>
    <row r="1024" spans="1:2">
      <c r="A1024" s="4" t="s">
        <v>5657</v>
      </c>
      <c r="B1024" s="5">
        <v>2</v>
      </c>
    </row>
    <row r="1025" spans="1:2">
      <c r="A1025" s="4" t="s">
        <v>5658</v>
      </c>
      <c r="B1025" s="5">
        <v>2</v>
      </c>
    </row>
    <row r="1026" spans="1:2">
      <c r="A1026" s="4" t="s">
        <v>5659</v>
      </c>
      <c r="B1026" s="5">
        <v>2</v>
      </c>
    </row>
    <row r="1027" spans="1:2">
      <c r="A1027" s="4" t="s">
        <v>5660</v>
      </c>
      <c r="B1027" s="5">
        <v>-2</v>
      </c>
    </row>
    <row r="1028" spans="1:2">
      <c r="A1028" s="4" t="s">
        <v>5661</v>
      </c>
      <c r="B1028" s="5">
        <v>4</v>
      </c>
    </row>
    <row r="1029" spans="1:2">
      <c r="A1029" s="4" t="s">
        <v>5662</v>
      </c>
      <c r="B1029" s="5">
        <v>-1</v>
      </c>
    </row>
    <row r="1030" spans="1:2">
      <c r="A1030" s="4" t="s">
        <v>5663</v>
      </c>
      <c r="B1030" s="5">
        <v>-1</v>
      </c>
    </row>
    <row r="1031" spans="1:2">
      <c r="A1031" s="4" t="s">
        <v>5664</v>
      </c>
      <c r="B1031" s="5">
        <v>2</v>
      </c>
    </row>
    <row r="1032" spans="1:2">
      <c r="A1032" s="4" t="s">
        <v>5665</v>
      </c>
      <c r="B1032" s="5">
        <v>4</v>
      </c>
    </row>
    <row r="1033" spans="1:2">
      <c r="A1033" s="4" t="s">
        <v>5666</v>
      </c>
      <c r="B1033" s="5">
        <v>4</v>
      </c>
    </row>
    <row r="1034" spans="1:2">
      <c r="A1034" s="4" t="s">
        <v>5667</v>
      </c>
      <c r="B1034" s="5">
        <v>-3</v>
      </c>
    </row>
    <row r="1035" spans="1:2">
      <c r="A1035" s="4" t="s">
        <v>5668</v>
      </c>
      <c r="B1035" s="5">
        <v>2</v>
      </c>
    </row>
    <row r="1036" spans="1:2">
      <c r="A1036" s="4" t="s">
        <v>5669</v>
      </c>
      <c r="B1036" s="5">
        <v>-2</v>
      </c>
    </row>
    <row r="1037" spans="1:2">
      <c r="A1037" s="4" t="s">
        <v>5670</v>
      </c>
      <c r="B1037" s="5">
        <v>-2</v>
      </c>
    </row>
    <row r="1038" spans="1:2">
      <c r="A1038" s="4" t="s">
        <v>5671</v>
      </c>
      <c r="B1038" s="5">
        <v>2</v>
      </c>
    </row>
    <row r="1039" spans="1:2">
      <c r="A1039" s="4" t="s">
        <v>5672</v>
      </c>
      <c r="B1039" s="5">
        <v>2</v>
      </c>
    </row>
    <row r="1040" spans="1:2">
      <c r="A1040" s="4" t="s">
        <v>5673</v>
      </c>
      <c r="B1040" s="5">
        <v>2</v>
      </c>
    </row>
    <row r="1041" spans="1:2">
      <c r="A1041" s="4" t="s">
        <v>5674</v>
      </c>
      <c r="B1041" s="5">
        <v>2</v>
      </c>
    </row>
    <row r="1042" spans="1:2">
      <c r="A1042" s="4" t="s">
        <v>5675</v>
      </c>
      <c r="B1042" s="5">
        <v>3</v>
      </c>
    </row>
    <row r="1043" spans="1:2">
      <c r="A1043" s="4" t="s">
        <v>5676</v>
      </c>
      <c r="B1043" s="5">
        <v>3</v>
      </c>
    </row>
    <row r="1044" spans="1:2">
      <c r="A1044" s="4" t="s">
        <v>5677</v>
      </c>
      <c r="B1044" s="5">
        <v>3</v>
      </c>
    </row>
    <row r="1045" spans="1:2">
      <c r="A1045" s="4" t="s">
        <v>5678</v>
      </c>
      <c r="B1045" s="5">
        <v>2</v>
      </c>
    </row>
    <row r="1046" spans="1:2">
      <c r="A1046" s="4" t="s">
        <v>5679</v>
      </c>
      <c r="B1046" s="5">
        <v>3</v>
      </c>
    </row>
    <row r="1047" spans="1:2">
      <c r="A1047" s="4" t="s">
        <v>5680</v>
      </c>
      <c r="B1047" s="5">
        <v>-1</v>
      </c>
    </row>
    <row r="1048" spans="1:2">
      <c r="A1048" s="4" t="s">
        <v>5681</v>
      </c>
      <c r="B1048" s="5">
        <v>-2</v>
      </c>
    </row>
    <row r="1049" spans="1:2">
      <c r="A1049" s="4" t="s">
        <v>5682</v>
      </c>
      <c r="B1049" s="5">
        <v>2</v>
      </c>
    </row>
    <row r="1050" spans="1:2">
      <c r="A1050" s="4" t="s">
        <v>5683</v>
      </c>
      <c r="B1050" s="5">
        <v>3</v>
      </c>
    </row>
    <row r="1051" spans="1:2">
      <c r="A1051" s="4" t="s">
        <v>5684</v>
      </c>
      <c r="B1051" s="5">
        <v>3</v>
      </c>
    </row>
    <row r="1052" spans="1:2">
      <c r="A1052" s="4" t="s">
        <v>5685</v>
      </c>
      <c r="B1052" s="5">
        <v>3</v>
      </c>
    </row>
    <row r="1053" spans="1:2">
      <c r="A1053" s="4" t="s">
        <v>5686</v>
      </c>
      <c r="B1053" s="5">
        <v>3</v>
      </c>
    </row>
    <row r="1054" spans="1:2">
      <c r="A1054" s="4" t="s">
        <v>5687</v>
      </c>
      <c r="B1054" s="5">
        <v>3</v>
      </c>
    </row>
    <row r="1055" spans="1:2">
      <c r="A1055" s="4" t="s">
        <v>5688</v>
      </c>
      <c r="B1055" s="5">
        <v>-1</v>
      </c>
    </row>
    <row r="1056" spans="1:2">
      <c r="A1056" s="4" t="s">
        <v>5689</v>
      </c>
      <c r="B1056" s="5">
        <v>-2</v>
      </c>
    </row>
    <row r="1057" spans="1:2">
      <c r="A1057" s="4" t="s">
        <v>5690</v>
      </c>
      <c r="B1057" s="5">
        <v>2</v>
      </c>
    </row>
    <row r="1058" spans="1:2">
      <c r="A1058" s="4" t="s">
        <v>5691</v>
      </c>
      <c r="B1058" s="5">
        <v>2</v>
      </c>
    </row>
    <row r="1059" spans="1:2">
      <c r="A1059" s="4" t="s">
        <v>5692</v>
      </c>
      <c r="B1059" s="5">
        <v>-2</v>
      </c>
    </row>
    <row r="1060" spans="1:2">
      <c r="A1060" s="4" t="s">
        <v>5693</v>
      </c>
      <c r="B1060" s="5">
        <v>1</v>
      </c>
    </row>
    <row r="1061" spans="1:2">
      <c r="A1061" s="4" t="s">
        <v>5694</v>
      </c>
      <c r="B1061" s="5">
        <v>-3</v>
      </c>
    </row>
    <row r="1062" spans="1:2">
      <c r="A1062" s="4" t="s">
        <v>5695</v>
      </c>
      <c r="B1062" s="5">
        <v>4</v>
      </c>
    </row>
    <row r="1063" spans="1:2">
      <c r="A1063" s="4" t="s">
        <v>5696</v>
      </c>
      <c r="B1063" s="5">
        <v>3</v>
      </c>
    </row>
    <row r="1064" spans="1:2">
      <c r="A1064" s="4" t="s">
        <v>5697</v>
      </c>
      <c r="B1064" s="5">
        <v>3</v>
      </c>
    </row>
    <row r="1065" spans="1:2">
      <c r="A1065" s="4" t="s">
        <v>5698</v>
      </c>
      <c r="B1065" s="5">
        <v>1</v>
      </c>
    </row>
    <row r="1066" spans="1:2">
      <c r="A1066" s="4" t="s">
        <v>5699</v>
      </c>
      <c r="B1066" s="5">
        <v>3</v>
      </c>
    </row>
    <row r="1067" spans="1:2">
      <c r="A1067" s="4" t="s">
        <v>5700</v>
      </c>
      <c r="B1067" s="5">
        <v>3</v>
      </c>
    </row>
    <row r="1068" spans="1:2">
      <c r="A1068" s="4" t="s">
        <v>5701</v>
      </c>
      <c r="B1068" s="5">
        <v>1</v>
      </c>
    </row>
    <row r="1069" spans="1:2">
      <c r="A1069" s="4" t="s">
        <v>5702</v>
      </c>
      <c r="B1069" s="5">
        <v>1</v>
      </c>
    </row>
    <row r="1070" spans="1:2">
      <c r="A1070" s="4" t="s">
        <v>5703</v>
      </c>
      <c r="B1070" s="5">
        <v>1</v>
      </c>
    </row>
    <row r="1071" spans="1:2">
      <c r="A1071" s="4" t="s">
        <v>5704</v>
      </c>
      <c r="B1071" s="5">
        <v>1</v>
      </c>
    </row>
    <row r="1072" spans="1:2">
      <c r="A1072" s="4" t="s">
        <v>5705</v>
      </c>
      <c r="B1072" s="5">
        <v>3</v>
      </c>
    </row>
    <row r="1073" spans="1:2">
      <c r="A1073" s="4" t="s">
        <v>5706</v>
      </c>
      <c r="B1073" s="5">
        <v>2</v>
      </c>
    </row>
    <row r="1074" spans="1:2">
      <c r="A1074" s="4" t="s">
        <v>5707</v>
      </c>
      <c r="B1074" s="5">
        <v>-2</v>
      </c>
    </row>
    <row r="1075" spans="1:2">
      <c r="A1075" s="4" t="s">
        <v>5708</v>
      </c>
      <c r="B1075" s="5">
        <v>-1</v>
      </c>
    </row>
    <row r="1076" spans="1:2">
      <c r="A1076" s="4" t="s">
        <v>5709</v>
      </c>
      <c r="B1076" s="5">
        <v>3</v>
      </c>
    </row>
    <row r="1077" spans="1:2">
      <c r="A1077" s="4" t="s">
        <v>5710</v>
      </c>
      <c r="B1077" s="5">
        <v>3</v>
      </c>
    </row>
    <row r="1078" spans="1:2">
      <c r="A1078" s="4" t="s">
        <v>5711</v>
      </c>
      <c r="B1078" s="5">
        <v>3</v>
      </c>
    </row>
    <row r="1079" spans="1:2">
      <c r="A1079" s="4" t="s">
        <v>5712</v>
      </c>
      <c r="B1079" s="5">
        <v>-3</v>
      </c>
    </row>
    <row r="1080" spans="1:2">
      <c r="A1080" s="4" t="s">
        <v>5713</v>
      </c>
      <c r="B1080" s="5">
        <v>-2</v>
      </c>
    </row>
    <row r="1081" spans="1:2">
      <c r="A1081" s="4" t="s">
        <v>5714</v>
      </c>
      <c r="B1081" s="5">
        <v>-3</v>
      </c>
    </row>
    <row r="1082" spans="1:2">
      <c r="A1082" s="4" t="s">
        <v>5715</v>
      </c>
      <c r="B1082" s="5">
        <v>-3</v>
      </c>
    </row>
    <row r="1083" spans="1:2">
      <c r="A1083" s="4" t="s">
        <v>5716</v>
      </c>
      <c r="B1083" s="5">
        <v>-3</v>
      </c>
    </row>
    <row r="1084" spans="1:2">
      <c r="A1084" s="4" t="s">
        <v>5717</v>
      </c>
      <c r="B1084" s="5">
        <v>-3</v>
      </c>
    </row>
    <row r="1085" spans="1:2">
      <c r="A1085" s="4" t="s">
        <v>5718</v>
      </c>
      <c r="B1085" s="5">
        <v>1</v>
      </c>
    </row>
    <row r="1086" spans="1:2">
      <c r="A1086" s="4" t="s">
        <v>5719</v>
      </c>
      <c r="B1086" s="5">
        <v>1</v>
      </c>
    </row>
    <row r="1087" spans="1:2">
      <c r="A1087" s="4" t="s">
        <v>5720</v>
      </c>
      <c r="B1087" s="5">
        <v>1</v>
      </c>
    </row>
    <row r="1088" spans="1:2">
      <c r="A1088" s="4" t="s">
        <v>5721</v>
      </c>
      <c r="B1088" s="5">
        <v>2</v>
      </c>
    </row>
    <row r="1089" spans="1:2">
      <c r="A1089" s="4" t="s">
        <v>5722</v>
      </c>
      <c r="B1089" s="5">
        <v>1</v>
      </c>
    </row>
    <row r="1090" spans="1:2">
      <c r="A1090" s="4" t="s">
        <v>5723</v>
      </c>
      <c r="B1090" s="5">
        <v>-1</v>
      </c>
    </row>
    <row r="1091" spans="1:2">
      <c r="A1091" s="4" t="s">
        <v>5724</v>
      </c>
      <c r="B1091" s="5">
        <v>-2</v>
      </c>
    </row>
    <row r="1092" spans="1:2">
      <c r="A1092" s="4" t="s">
        <v>5725</v>
      </c>
      <c r="B1092" s="5">
        <v>-2</v>
      </c>
    </row>
    <row r="1093" spans="1:2">
      <c r="A1093" s="4" t="s">
        <v>5726</v>
      </c>
      <c r="B1093" s="5">
        <v>-2</v>
      </c>
    </row>
    <row r="1094" spans="1:2">
      <c r="A1094" s="4" t="s">
        <v>5727</v>
      </c>
      <c r="B1094" s="5">
        <v>1</v>
      </c>
    </row>
    <row r="1095" spans="1:2">
      <c r="A1095" s="4" t="s">
        <v>5728</v>
      </c>
      <c r="B1095" s="5">
        <v>2</v>
      </c>
    </row>
    <row r="1096" spans="1:2">
      <c r="A1096" s="4" t="s">
        <v>5729</v>
      </c>
      <c r="B1096" s="5">
        <v>1</v>
      </c>
    </row>
    <row r="1097" spans="1:2">
      <c r="A1097" s="4" t="s">
        <v>5730</v>
      </c>
      <c r="B1097" s="5">
        <v>-3</v>
      </c>
    </row>
    <row r="1098" spans="1:2">
      <c r="A1098" s="4" t="s">
        <v>5731</v>
      </c>
      <c r="B1098" s="5">
        <v>-3</v>
      </c>
    </row>
    <row r="1099" spans="1:2">
      <c r="A1099" s="4" t="s">
        <v>5732</v>
      </c>
      <c r="B1099" s="5">
        <v>-2</v>
      </c>
    </row>
    <row r="1100" spans="1:2">
      <c r="A1100" s="4" t="s">
        <v>5733</v>
      </c>
      <c r="B1100" s="5">
        <v>-2</v>
      </c>
    </row>
    <row r="1101" spans="1:2">
      <c r="A1101" s="4" t="s">
        <v>5734</v>
      </c>
      <c r="B1101" s="5">
        <v>-1</v>
      </c>
    </row>
    <row r="1102" spans="1:2">
      <c r="A1102" s="4" t="s">
        <v>5735</v>
      </c>
      <c r="B1102" s="5">
        <v>-1</v>
      </c>
    </row>
    <row r="1103" spans="1:2">
      <c r="A1103" s="4" t="s">
        <v>5736</v>
      </c>
      <c r="B1103" s="5">
        <v>2</v>
      </c>
    </row>
    <row r="1104" spans="1:2">
      <c r="A1104" s="4" t="s">
        <v>5737</v>
      </c>
      <c r="B1104" s="5">
        <v>2</v>
      </c>
    </row>
    <row r="1105" spans="1:2">
      <c r="A1105" s="4" t="s">
        <v>5738</v>
      </c>
      <c r="B1105" s="5">
        <v>-2</v>
      </c>
    </row>
    <row r="1106" spans="1:2">
      <c r="A1106" s="4" t="s">
        <v>5739</v>
      </c>
      <c r="B1106" s="5">
        <v>-2</v>
      </c>
    </row>
    <row r="1107" spans="1:2">
      <c r="A1107" s="4" t="s">
        <v>5740</v>
      </c>
      <c r="B1107" s="5">
        <v>3</v>
      </c>
    </row>
    <row r="1108" spans="1:2">
      <c r="A1108" s="4" t="s">
        <v>5741</v>
      </c>
      <c r="B1108" s="5">
        <v>3</v>
      </c>
    </row>
    <row r="1109" spans="1:2">
      <c r="A1109" s="4" t="s">
        <v>5742</v>
      </c>
      <c r="B1109" s="5">
        <v>-1</v>
      </c>
    </row>
    <row r="1110" spans="1:2">
      <c r="A1110" s="4" t="s">
        <v>5743</v>
      </c>
      <c r="B1110" s="5">
        <v>2</v>
      </c>
    </row>
    <row r="1111" spans="1:2">
      <c r="A1111" s="4" t="s">
        <v>5744</v>
      </c>
      <c r="B1111" s="5">
        <v>-2</v>
      </c>
    </row>
    <row r="1112" spans="1:2">
      <c r="A1112" s="4" t="s">
        <v>5745</v>
      </c>
      <c r="B1112" s="5">
        <v>2</v>
      </c>
    </row>
    <row r="1113" spans="1:2">
      <c r="A1113" s="4" t="s">
        <v>5746</v>
      </c>
      <c r="B1113" s="5">
        <v>-2</v>
      </c>
    </row>
    <row r="1114" spans="1:2">
      <c r="A1114" s="4" t="s">
        <v>5747</v>
      </c>
      <c r="B1114" s="5">
        <v>-2</v>
      </c>
    </row>
    <row r="1115" spans="1:2">
      <c r="A1115" s="4" t="s">
        <v>5748</v>
      </c>
      <c r="B1115" s="5">
        <v>-2</v>
      </c>
    </row>
    <row r="1116" spans="1:2">
      <c r="A1116" s="4" t="s">
        <v>5749</v>
      </c>
      <c r="B1116" s="5">
        <v>-2</v>
      </c>
    </row>
    <row r="1117" spans="1:2">
      <c r="A1117" s="4" t="s">
        <v>5750</v>
      </c>
      <c r="B1117" s="5">
        <v>-2</v>
      </c>
    </row>
    <row r="1118" spans="1:2">
      <c r="A1118" s="4" t="s">
        <v>5751</v>
      </c>
      <c r="B1118" s="5">
        <v>-2</v>
      </c>
    </row>
    <row r="1119" spans="1:2">
      <c r="A1119" s="4" t="s">
        <v>5752</v>
      </c>
      <c r="B1119" s="5">
        <v>-2</v>
      </c>
    </row>
    <row r="1120" spans="1:2">
      <c r="A1120" s="4" t="s">
        <v>5753</v>
      </c>
      <c r="B1120" s="5">
        <v>-2</v>
      </c>
    </row>
    <row r="1121" spans="1:2">
      <c r="A1121" s="4" t="s">
        <v>5754</v>
      </c>
      <c r="B1121" s="5">
        <v>-2</v>
      </c>
    </row>
    <row r="1122" spans="1:2">
      <c r="A1122" s="4" t="s">
        <v>5755</v>
      </c>
      <c r="B1122" s="5">
        <v>-3</v>
      </c>
    </row>
    <row r="1123" spans="1:2">
      <c r="A1123" s="4" t="s">
        <v>5756</v>
      </c>
      <c r="B1123" s="5">
        <v>-3</v>
      </c>
    </row>
    <row r="1124" spans="1:2">
      <c r="A1124" s="4" t="s">
        <v>5757</v>
      </c>
      <c r="B1124" s="5">
        <v>-3</v>
      </c>
    </row>
    <row r="1125" spans="1:2">
      <c r="A1125" s="4" t="s">
        <v>5758</v>
      </c>
      <c r="B1125" s="5">
        <v>-3</v>
      </c>
    </row>
    <row r="1126" spans="1:2">
      <c r="A1126" s="4" t="s">
        <v>5759</v>
      </c>
      <c r="B1126" s="5">
        <v>-3</v>
      </c>
    </row>
    <row r="1127" spans="1:2">
      <c r="A1127" s="4" t="s">
        <v>5760</v>
      </c>
      <c r="B1127" s="5">
        <v>-1</v>
      </c>
    </row>
    <row r="1128" spans="1:2">
      <c r="A1128" s="4" t="s">
        <v>5761</v>
      </c>
      <c r="B1128" s="5">
        <v>-2</v>
      </c>
    </row>
    <row r="1129" spans="1:2">
      <c r="A1129" s="4" t="s">
        <v>5762</v>
      </c>
      <c r="B1129" s="5">
        <v>1</v>
      </c>
    </row>
    <row r="1130" spans="1:2">
      <c r="A1130" s="4" t="s">
        <v>5763</v>
      </c>
      <c r="B1130" s="5">
        <v>-1</v>
      </c>
    </row>
    <row r="1131" spans="1:2">
      <c r="A1131" s="4" t="s">
        <v>5764</v>
      </c>
      <c r="B1131" s="5">
        <v>-2</v>
      </c>
    </row>
    <row r="1132" spans="1:2">
      <c r="A1132" s="4" t="s">
        <v>5765</v>
      </c>
      <c r="B1132" s="5">
        <v>2</v>
      </c>
    </row>
    <row r="1133" spans="1:2">
      <c r="A1133" s="4" t="s">
        <v>5766</v>
      </c>
      <c r="B1133" s="5">
        <v>-3</v>
      </c>
    </row>
    <row r="1134" spans="1:2">
      <c r="A1134" s="4" t="s">
        <v>5767</v>
      </c>
      <c r="B1134" s="5">
        <v>-3</v>
      </c>
    </row>
    <row r="1135" spans="1:2">
      <c r="A1135" s="4" t="s">
        <v>5768</v>
      </c>
      <c r="B1135" s="5">
        <v>3</v>
      </c>
    </row>
    <row r="1136" spans="1:2">
      <c r="A1136" s="4" t="s">
        <v>5769</v>
      </c>
      <c r="B1136" s="5">
        <v>2</v>
      </c>
    </row>
    <row r="1137" spans="1:2">
      <c r="A1137" s="4" t="s">
        <v>5770</v>
      </c>
      <c r="B1137" s="5">
        <v>4</v>
      </c>
    </row>
    <row r="1138" spans="1:2">
      <c r="A1138" s="4" t="s">
        <v>5771</v>
      </c>
      <c r="B1138" s="5">
        <v>-2</v>
      </c>
    </row>
    <row r="1139" spans="1:2">
      <c r="A1139" s="4" t="s">
        <v>5772</v>
      </c>
      <c r="B1139" s="5">
        <v>-4</v>
      </c>
    </row>
    <row r="1140" spans="1:2">
      <c r="A1140" s="4" t="s">
        <v>5773</v>
      </c>
      <c r="B1140" s="5">
        <v>2</v>
      </c>
    </row>
    <row r="1141" spans="1:2">
      <c r="A1141" s="4" t="s">
        <v>5774</v>
      </c>
      <c r="B1141" s="5">
        <v>2</v>
      </c>
    </row>
    <row r="1142" spans="1:2">
      <c r="A1142" s="4" t="s">
        <v>5775</v>
      </c>
      <c r="B1142" s="5">
        <v>2</v>
      </c>
    </row>
    <row r="1143" spans="1:2">
      <c r="A1143" s="4" t="s">
        <v>5776</v>
      </c>
      <c r="B1143" s="5">
        <v>-2</v>
      </c>
    </row>
    <row r="1144" spans="1:2">
      <c r="A1144" s="4" t="s">
        <v>5777</v>
      </c>
      <c r="B1144" s="5">
        <v>2</v>
      </c>
    </row>
    <row r="1145" spans="1:2">
      <c r="A1145" s="4" t="s">
        <v>5778</v>
      </c>
      <c r="B1145" s="5">
        <v>2</v>
      </c>
    </row>
    <row r="1146" spans="1:2">
      <c r="A1146" s="4" t="s">
        <v>5779</v>
      </c>
      <c r="B1146" s="5">
        <v>2</v>
      </c>
    </row>
    <row r="1147" spans="1:2">
      <c r="A1147" s="4" t="s">
        <v>5780</v>
      </c>
      <c r="B1147" s="5">
        <v>3</v>
      </c>
    </row>
    <row r="1148" spans="1:2">
      <c r="A1148" s="4" t="s">
        <v>5781</v>
      </c>
      <c r="B1148" s="5">
        <v>-2</v>
      </c>
    </row>
    <row r="1149" spans="1:2">
      <c r="A1149" s="4" t="s">
        <v>5782</v>
      </c>
      <c r="B1149" s="5">
        <v>-2</v>
      </c>
    </row>
    <row r="1150" spans="1:2">
      <c r="A1150" s="4" t="s">
        <v>5783</v>
      </c>
      <c r="B1150" s="5">
        <v>-1</v>
      </c>
    </row>
    <row r="1151" spans="1:2">
      <c r="A1151" s="4" t="s">
        <v>5784</v>
      </c>
      <c r="B1151" s="5">
        <v>-1</v>
      </c>
    </row>
    <row r="1152" spans="1:2">
      <c r="A1152" s="4" t="s">
        <v>5785</v>
      </c>
      <c r="B1152" s="5">
        <v>-1</v>
      </c>
    </row>
    <row r="1153" spans="1:2">
      <c r="A1153" s="4" t="s">
        <v>5786</v>
      </c>
      <c r="B1153" s="5">
        <v>-1</v>
      </c>
    </row>
    <row r="1154" spans="1:2">
      <c r="A1154" s="4" t="s">
        <v>5787</v>
      </c>
      <c r="B1154" s="5">
        <v>2</v>
      </c>
    </row>
    <row r="1155" spans="1:2">
      <c r="A1155" s="4" t="s">
        <v>5788</v>
      </c>
      <c r="B1155" s="5">
        <v>2</v>
      </c>
    </row>
    <row r="1156" spans="1:2">
      <c r="A1156" s="4" t="s">
        <v>5789</v>
      </c>
      <c r="B1156" s="5">
        <v>-2</v>
      </c>
    </row>
    <row r="1157" spans="1:2">
      <c r="A1157" s="4" t="s">
        <v>5790</v>
      </c>
      <c r="B1157" s="5">
        <v>-2</v>
      </c>
    </row>
    <row r="1158" spans="1:2">
      <c r="A1158" s="4" t="s">
        <v>5791</v>
      </c>
      <c r="B1158" s="5">
        <v>-2</v>
      </c>
    </row>
    <row r="1159" spans="1:2">
      <c r="A1159" s="4" t="s">
        <v>5792</v>
      </c>
      <c r="B1159" s="5">
        <v>2</v>
      </c>
    </row>
    <row r="1160" spans="1:2">
      <c r="A1160" s="4" t="s">
        <v>5793</v>
      </c>
      <c r="B1160" s="5">
        <v>2</v>
      </c>
    </row>
    <row r="1161" spans="1:2">
      <c r="A1161" s="4" t="s">
        <v>5794</v>
      </c>
      <c r="B1161" s="5">
        <v>2</v>
      </c>
    </row>
    <row r="1162" spans="1:2">
      <c r="A1162" s="4" t="s">
        <v>5795</v>
      </c>
      <c r="B1162" s="5">
        <v>2</v>
      </c>
    </row>
    <row r="1163" spans="1:2">
      <c r="A1163" s="4" t="s">
        <v>5796</v>
      </c>
      <c r="B1163" s="5">
        <v>2</v>
      </c>
    </row>
    <row r="1164" spans="1:2">
      <c r="A1164" s="4" t="s">
        <v>5797</v>
      </c>
      <c r="B1164" s="5">
        <v>2</v>
      </c>
    </row>
    <row r="1165" spans="1:2">
      <c r="A1165" s="4" t="s">
        <v>5798</v>
      </c>
      <c r="B1165" s="5">
        <v>2</v>
      </c>
    </row>
    <row r="1166" spans="1:2">
      <c r="A1166" s="4" t="s">
        <v>5799</v>
      </c>
      <c r="B1166" s="5">
        <v>-2</v>
      </c>
    </row>
    <row r="1167" spans="1:2">
      <c r="A1167" s="4" t="s">
        <v>5800</v>
      </c>
      <c r="B1167" s="5">
        <v>-2</v>
      </c>
    </row>
    <row r="1168" spans="1:2">
      <c r="A1168" s="4" t="s">
        <v>5801</v>
      </c>
      <c r="B1168" s="5">
        <v>-2</v>
      </c>
    </row>
    <row r="1169" spans="1:2">
      <c r="A1169" s="4" t="s">
        <v>5802</v>
      </c>
      <c r="B1169" s="5">
        <v>2</v>
      </c>
    </row>
    <row r="1170" spans="1:2">
      <c r="A1170" s="4" t="s">
        <v>5803</v>
      </c>
      <c r="B1170" s="5">
        <v>2</v>
      </c>
    </row>
    <row r="1171" spans="1:2">
      <c r="A1171" s="4" t="s">
        <v>5804</v>
      </c>
      <c r="B1171" s="5">
        <v>2</v>
      </c>
    </row>
    <row r="1172" spans="1:2">
      <c r="A1172" s="4" t="s">
        <v>5805</v>
      </c>
      <c r="B1172" s="5">
        <v>-2</v>
      </c>
    </row>
    <row r="1173" spans="1:2">
      <c r="A1173" s="4" t="s">
        <v>5806</v>
      </c>
      <c r="B1173" s="5">
        <v>-2</v>
      </c>
    </row>
    <row r="1174" spans="1:2">
      <c r="A1174" s="4" t="s">
        <v>5807</v>
      </c>
      <c r="B1174" s="5">
        <v>2</v>
      </c>
    </row>
    <row r="1175" spans="1:2">
      <c r="A1175" s="4" t="s">
        <v>5808</v>
      </c>
      <c r="B1175" s="5">
        <v>2</v>
      </c>
    </row>
    <row r="1176" spans="1:2">
      <c r="A1176" s="4" t="s">
        <v>2600</v>
      </c>
      <c r="B1176" s="5">
        <v>-3</v>
      </c>
    </row>
    <row r="1177" spans="1:2">
      <c r="A1177" s="4" t="s">
        <v>5809</v>
      </c>
      <c r="B1177" s="5">
        <v>-3</v>
      </c>
    </row>
    <row r="1178" spans="1:2">
      <c r="A1178" s="4" t="s">
        <v>5810</v>
      </c>
      <c r="B1178" s="5">
        <v>-3</v>
      </c>
    </row>
    <row r="1179" spans="1:2">
      <c r="A1179" s="4" t="s">
        <v>5811</v>
      </c>
      <c r="B1179" s="5">
        <v>-3</v>
      </c>
    </row>
    <row r="1180" spans="1:2">
      <c r="A1180" s="4" t="s">
        <v>5812</v>
      </c>
      <c r="B1180" s="5">
        <v>-2</v>
      </c>
    </row>
    <row r="1181" spans="1:2">
      <c r="A1181" s="4" t="s">
        <v>5813</v>
      </c>
      <c r="B1181" s="5">
        <v>-2</v>
      </c>
    </row>
    <row r="1182" spans="1:2">
      <c r="A1182" s="4" t="s">
        <v>5814</v>
      </c>
      <c r="B1182" s="5">
        <v>2</v>
      </c>
    </row>
    <row r="1183" spans="1:2">
      <c r="A1183" s="4" t="s">
        <v>5815</v>
      </c>
      <c r="B1183" s="5">
        <v>1</v>
      </c>
    </row>
    <row r="1184" spans="1:2">
      <c r="A1184" s="4" t="s">
        <v>5816</v>
      </c>
      <c r="B1184" s="5">
        <v>2</v>
      </c>
    </row>
    <row r="1185" spans="1:2">
      <c r="A1185" s="4" t="s">
        <v>5817</v>
      </c>
      <c r="B1185" s="5">
        <v>3</v>
      </c>
    </row>
    <row r="1186" spans="1:2">
      <c r="A1186" s="4" t="s">
        <v>5818</v>
      </c>
      <c r="B1186" s="5">
        <v>-3</v>
      </c>
    </row>
    <row r="1187" spans="1:2">
      <c r="A1187" s="4" t="s">
        <v>5819</v>
      </c>
      <c r="B1187" s="5">
        <v>-3</v>
      </c>
    </row>
    <row r="1188" spans="1:2">
      <c r="A1188" s="4" t="s">
        <v>5820</v>
      </c>
      <c r="B1188" s="5">
        <v>2</v>
      </c>
    </row>
    <row r="1189" spans="1:2">
      <c r="A1189" s="4" t="s">
        <v>5821</v>
      </c>
      <c r="B1189" s="5">
        <v>2</v>
      </c>
    </row>
    <row r="1190" spans="1:2">
      <c r="A1190" s="4" t="s">
        <v>5822</v>
      </c>
      <c r="B1190" s="5">
        <v>2</v>
      </c>
    </row>
    <row r="1191" spans="1:2">
      <c r="A1191" s="4" t="s">
        <v>5823</v>
      </c>
      <c r="B1191" s="5">
        <v>2</v>
      </c>
    </row>
    <row r="1192" spans="1:2">
      <c r="A1192" s="4" t="s">
        <v>5824</v>
      </c>
      <c r="B1192" s="5">
        <v>-2</v>
      </c>
    </row>
    <row r="1193" spans="1:2">
      <c r="A1193" s="4" t="s">
        <v>5825</v>
      </c>
      <c r="B1193" s="5">
        <v>5</v>
      </c>
    </row>
    <row r="1194" spans="1:2">
      <c r="A1194" s="4" t="s">
        <v>5826</v>
      </c>
      <c r="B1194" s="5">
        <v>-2</v>
      </c>
    </row>
    <row r="1195" spans="1:2">
      <c r="A1195" s="4" t="s">
        <v>5827</v>
      </c>
      <c r="B1195" s="5">
        <v>-2</v>
      </c>
    </row>
    <row r="1196" spans="1:2">
      <c r="A1196" s="4" t="s">
        <v>5828</v>
      </c>
      <c r="B1196" s="5">
        <v>-2</v>
      </c>
    </row>
    <row r="1197" spans="1:2">
      <c r="A1197" s="4" t="s">
        <v>5829</v>
      </c>
      <c r="B1197" s="5">
        <v>-2</v>
      </c>
    </row>
    <row r="1198" spans="1:2">
      <c r="A1198" s="4" t="s">
        <v>5830</v>
      </c>
      <c r="B1198" s="5">
        <v>-3</v>
      </c>
    </row>
    <row r="1199" spans="1:2">
      <c r="A1199" s="4" t="s">
        <v>5831</v>
      </c>
      <c r="B1199" s="5">
        <v>-3</v>
      </c>
    </row>
    <row r="1200" spans="1:2">
      <c r="A1200" s="4" t="s">
        <v>5832</v>
      </c>
      <c r="B1200" s="5">
        <v>-3</v>
      </c>
    </row>
    <row r="1201" spans="1:2">
      <c r="A1201" s="4" t="s">
        <v>5833</v>
      </c>
      <c r="B1201" s="5">
        <v>-3</v>
      </c>
    </row>
    <row r="1202" spans="1:2">
      <c r="A1202" s="4" t="s">
        <v>5834</v>
      </c>
      <c r="B1202" s="5">
        <v>-3</v>
      </c>
    </row>
    <row r="1203" spans="1:2">
      <c r="A1203" s="4" t="s">
        <v>5835</v>
      </c>
      <c r="B1203" s="5">
        <v>-2</v>
      </c>
    </row>
    <row r="1204" spans="1:2">
      <c r="A1204" s="4" t="s">
        <v>5836</v>
      </c>
      <c r="B1204" s="5">
        <v>-2</v>
      </c>
    </row>
    <row r="1205" spans="1:2">
      <c r="A1205" s="4" t="s">
        <v>5837</v>
      </c>
      <c r="B1205" s="5">
        <v>-1</v>
      </c>
    </row>
    <row r="1206" spans="1:2">
      <c r="A1206" s="4" t="s">
        <v>5838</v>
      </c>
      <c r="B1206" s="5">
        <v>-2</v>
      </c>
    </row>
    <row r="1207" spans="1:2">
      <c r="A1207" s="4" t="s">
        <v>5839</v>
      </c>
      <c r="B1207" s="5">
        <v>-1</v>
      </c>
    </row>
    <row r="1208" spans="1:2">
      <c r="A1208" s="4" t="s">
        <v>5840</v>
      </c>
      <c r="B1208" s="5">
        <v>-2</v>
      </c>
    </row>
    <row r="1209" spans="1:2">
      <c r="A1209" s="4" t="s">
        <v>5841</v>
      </c>
      <c r="B1209" s="5">
        <v>-3</v>
      </c>
    </row>
    <row r="1210" spans="1:2">
      <c r="A1210" s="4" t="s">
        <v>5842</v>
      </c>
      <c r="B1210" s="5">
        <v>-2</v>
      </c>
    </row>
    <row r="1211" spans="1:2">
      <c r="A1211" s="4" t="s">
        <v>5843</v>
      </c>
      <c r="B1211" s="5">
        <v>-2</v>
      </c>
    </row>
    <row r="1212" spans="1:2">
      <c r="A1212" s="4" t="s">
        <v>5844</v>
      </c>
      <c r="B1212" s="5">
        <v>-2</v>
      </c>
    </row>
    <row r="1213" spans="1:2">
      <c r="A1213" s="4" t="s">
        <v>5845</v>
      </c>
      <c r="B1213" s="5">
        <v>-3</v>
      </c>
    </row>
    <row r="1214" spans="1:2">
      <c r="A1214" s="4" t="s">
        <v>5846</v>
      </c>
      <c r="B1214" s="5">
        <v>-1</v>
      </c>
    </row>
    <row r="1215" spans="1:2">
      <c r="A1215" s="4" t="s">
        <v>5847</v>
      </c>
      <c r="B1215" s="5">
        <v>2</v>
      </c>
    </row>
    <row r="1216" spans="1:2">
      <c r="A1216" s="4" t="s">
        <v>5848</v>
      </c>
      <c r="B1216" s="5">
        <v>1</v>
      </c>
    </row>
    <row r="1217" spans="1:2">
      <c r="A1217" s="4" t="s">
        <v>5849</v>
      </c>
      <c r="B1217" s="5">
        <v>-2</v>
      </c>
    </row>
    <row r="1218" spans="1:2">
      <c r="A1218" s="4" t="s">
        <v>5850</v>
      </c>
      <c r="B1218" s="5">
        <v>-2</v>
      </c>
    </row>
    <row r="1219" spans="1:2">
      <c r="A1219" s="4" t="s">
        <v>5851</v>
      </c>
      <c r="B1219" s="5">
        <v>2</v>
      </c>
    </row>
    <row r="1220" spans="1:2">
      <c r="A1220" s="4" t="s">
        <v>5852</v>
      </c>
      <c r="B1220" s="5">
        <v>2</v>
      </c>
    </row>
    <row r="1221" spans="1:2">
      <c r="A1221" s="4" t="s">
        <v>5853</v>
      </c>
      <c r="B1221" s="5">
        <v>-1</v>
      </c>
    </row>
    <row r="1222" spans="1:2">
      <c r="A1222" s="4" t="s">
        <v>5854</v>
      </c>
      <c r="B1222" s="5">
        <v>-1</v>
      </c>
    </row>
    <row r="1223" spans="1:2">
      <c r="A1223" s="4" t="s">
        <v>5855</v>
      </c>
      <c r="B1223" s="5">
        <v>-1</v>
      </c>
    </row>
    <row r="1224" spans="1:2">
      <c r="A1224" s="4" t="s">
        <v>5856</v>
      </c>
      <c r="B1224" s="5">
        <v>-1</v>
      </c>
    </row>
    <row r="1225" spans="1:2">
      <c r="A1225" s="4" t="s">
        <v>5857</v>
      </c>
      <c r="B1225" s="5">
        <v>-2</v>
      </c>
    </row>
    <row r="1226" spans="1:2">
      <c r="A1226" s="4" t="s">
        <v>5858</v>
      </c>
      <c r="B1226" s="5">
        <v>3</v>
      </c>
    </row>
    <row r="1227" spans="1:2">
      <c r="A1227" s="4" t="s">
        <v>5859</v>
      </c>
      <c r="B1227" s="5">
        <v>3</v>
      </c>
    </row>
    <row r="1228" spans="1:2">
      <c r="A1228" s="4" t="s">
        <v>5860</v>
      </c>
      <c r="B1228" s="5">
        <v>3</v>
      </c>
    </row>
    <row r="1229" spans="1:2">
      <c r="A1229" s="4" t="s">
        <v>5861</v>
      </c>
      <c r="B1229" s="5">
        <v>3</v>
      </c>
    </row>
    <row r="1230" spans="1:2">
      <c r="A1230" s="4" t="s">
        <v>5862</v>
      </c>
      <c r="B1230" s="5">
        <v>-2</v>
      </c>
    </row>
    <row r="1231" spans="1:2">
      <c r="A1231" s="4" t="s">
        <v>5863</v>
      </c>
      <c r="B1231" s="5">
        <v>2</v>
      </c>
    </row>
    <row r="1232" spans="1:2">
      <c r="A1232" s="4" t="s">
        <v>5864</v>
      </c>
      <c r="B1232" s="5">
        <v>2</v>
      </c>
    </row>
    <row r="1233" spans="1:2">
      <c r="A1233" s="4" t="s">
        <v>5865</v>
      </c>
      <c r="B1233" s="5">
        <v>2</v>
      </c>
    </row>
    <row r="1234" spans="1:2">
      <c r="A1234" s="4" t="s">
        <v>5866</v>
      </c>
      <c r="B1234" s="5">
        <v>2</v>
      </c>
    </row>
    <row r="1235" spans="1:2">
      <c r="A1235" s="4" t="s">
        <v>5867</v>
      </c>
      <c r="B1235" s="5">
        <v>2</v>
      </c>
    </row>
    <row r="1236" spans="1:2">
      <c r="A1236" s="4" t="s">
        <v>5868</v>
      </c>
      <c r="B1236" s="5">
        <v>-2</v>
      </c>
    </row>
    <row r="1237" spans="1:2">
      <c r="A1237" s="4" t="s">
        <v>5869</v>
      </c>
      <c r="B1237" s="5">
        <v>-2</v>
      </c>
    </row>
    <row r="1238" spans="1:2">
      <c r="A1238" s="4" t="s">
        <v>5870</v>
      </c>
      <c r="B1238" s="5">
        <v>-2</v>
      </c>
    </row>
    <row r="1239" spans="1:2">
      <c r="A1239" s="4" t="s">
        <v>5871</v>
      </c>
      <c r="B1239" s="5">
        <v>-2</v>
      </c>
    </row>
    <row r="1240" spans="1:2">
      <c r="A1240" s="4" t="s">
        <v>5872</v>
      </c>
      <c r="B1240" s="5">
        <v>-2</v>
      </c>
    </row>
    <row r="1241" spans="1:2">
      <c r="A1241" s="4" t="s">
        <v>5873</v>
      </c>
      <c r="B1241" s="5">
        <v>-2</v>
      </c>
    </row>
    <row r="1242" spans="1:2">
      <c r="A1242" s="4" t="s">
        <v>5874</v>
      </c>
      <c r="B1242" s="5">
        <v>-2</v>
      </c>
    </row>
    <row r="1243" spans="1:2">
      <c r="A1243" s="4" t="s">
        <v>5875</v>
      </c>
      <c r="B1243" s="5">
        <v>-2</v>
      </c>
    </row>
    <row r="1244" spans="1:2">
      <c r="A1244" s="4" t="s">
        <v>5876</v>
      </c>
      <c r="B1244" s="5">
        <v>-2</v>
      </c>
    </row>
    <row r="1245" spans="1:2">
      <c r="A1245" s="4" t="s">
        <v>5877</v>
      </c>
      <c r="B1245" s="5">
        <v>-2</v>
      </c>
    </row>
    <row r="1246" spans="1:2">
      <c r="A1246" s="4" t="s">
        <v>5878</v>
      </c>
      <c r="B1246" s="5">
        <v>-2</v>
      </c>
    </row>
    <row r="1247" spans="1:2">
      <c r="A1247" s="4" t="s">
        <v>5879</v>
      </c>
      <c r="B1247" s="5">
        <v>1</v>
      </c>
    </row>
    <row r="1248" spans="1:2">
      <c r="A1248" s="4" t="s">
        <v>5880</v>
      </c>
      <c r="B1248" s="5">
        <v>1</v>
      </c>
    </row>
    <row r="1249" spans="1:2">
      <c r="A1249" s="4" t="s">
        <v>5881</v>
      </c>
      <c r="B1249" s="5">
        <v>-2</v>
      </c>
    </row>
    <row r="1250" spans="1:2">
      <c r="A1250" s="4" t="s">
        <v>5882</v>
      </c>
      <c r="B1250" s="5">
        <v>2</v>
      </c>
    </row>
    <row r="1251" spans="1:2">
      <c r="A1251" s="4" t="s">
        <v>5883</v>
      </c>
      <c r="B1251" s="5">
        <v>-2</v>
      </c>
    </row>
    <row r="1252" spans="1:2">
      <c r="A1252" s="4" t="s">
        <v>5884</v>
      </c>
      <c r="B1252" s="5">
        <v>-2</v>
      </c>
    </row>
    <row r="1253" spans="1:2">
      <c r="A1253" s="4" t="s">
        <v>5885</v>
      </c>
      <c r="B1253" s="5">
        <v>-2</v>
      </c>
    </row>
    <row r="1254" spans="1:2">
      <c r="A1254" s="4" t="s">
        <v>5886</v>
      </c>
      <c r="B1254" s="5">
        <v>-2</v>
      </c>
    </row>
    <row r="1255" spans="1:2">
      <c r="A1255" s="4" t="s">
        <v>5887</v>
      </c>
      <c r="B1255" s="5">
        <v>-2</v>
      </c>
    </row>
    <row r="1256" spans="1:2">
      <c r="A1256" s="4" t="s">
        <v>5888</v>
      </c>
      <c r="B1256" s="5">
        <v>-2</v>
      </c>
    </row>
    <row r="1257" spans="1:2">
      <c r="A1257" s="4" t="s">
        <v>5889</v>
      </c>
      <c r="B1257" s="5">
        <v>-2</v>
      </c>
    </row>
    <row r="1258" spans="1:2">
      <c r="A1258" s="4" t="s">
        <v>5890</v>
      </c>
      <c r="B1258" s="5">
        <v>-2</v>
      </c>
    </row>
    <row r="1259" spans="1:2">
      <c r="A1259" s="4" t="s">
        <v>5891</v>
      </c>
      <c r="B1259" s="5">
        <v>-2</v>
      </c>
    </row>
    <row r="1260" spans="1:2">
      <c r="A1260" s="4" t="s">
        <v>5892</v>
      </c>
      <c r="B1260" s="5">
        <v>-2</v>
      </c>
    </row>
    <row r="1261" spans="1:2">
      <c r="A1261" s="4" t="s">
        <v>5893</v>
      </c>
      <c r="B1261" s="5">
        <v>2</v>
      </c>
    </row>
    <row r="1262" spans="1:2">
      <c r="A1262" s="4" t="s">
        <v>5894</v>
      </c>
      <c r="B1262" s="5">
        <v>2</v>
      </c>
    </row>
    <row r="1263" spans="1:2">
      <c r="A1263" s="4" t="s">
        <v>5895</v>
      </c>
      <c r="B1263" s="5">
        <v>-2</v>
      </c>
    </row>
    <row r="1264" spans="1:2">
      <c r="A1264" s="4" t="s">
        <v>5896</v>
      </c>
      <c r="B1264" s="5">
        <v>-2</v>
      </c>
    </row>
    <row r="1265" spans="1:2">
      <c r="A1265" s="4" t="s">
        <v>5897</v>
      </c>
      <c r="B1265" s="5">
        <v>-2</v>
      </c>
    </row>
    <row r="1266" spans="1:2">
      <c r="A1266" s="4" t="s">
        <v>5898</v>
      </c>
      <c r="B1266" s="5">
        <v>2</v>
      </c>
    </row>
    <row r="1267" spans="1:2">
      <c r="A1267" s="4" t="s">
        <v>5899</v>
      </c>
      <c r="B1267" s="5">
        <v>-2</v>
      </c>
    </row>
    <row r="1268" spans="1:2">
      <c r="A1268" s="4" t="s">
        <v>5900</v>
      </c>
      <c r="B1268" s="5">
        <v>-2</v>
      </c>
    </row>
    <row r="1269" spans="1:2">
      <c r="A1269" s="4" t="s">
        <v>5901</v>
      </c>
      <c r="B1269" s="5">
        <v>-2</v>
      </c>
    </row>
    <row r="1270" spans="1:2">
      <c r="A1270" s="4" t="s">
        <v>5902</v>
      </c>
      <c r="B1270" s="5">
        <v>-2</v>
      </c>
    </row>
    <row r="1271" spans="1:2">
      <c r="A1271" s="4" t="s">
        <v>5903</v>
      </c>
      <c r="B1271" s="5">
        <v>-2</v>
      </c>
    </row>
    <row r="1272" spans="1:2">
      <c r="A1272" s="4" t="s">
        <v>5904</v>
      </c>
      <c r="B1272" s="5">
        <v>-1</v>
      </c>
    </row>
    <row r="1273" spans="1:2">
      <c r="A1273" s="4" t="s">
        <v>5905</v>
      </c>
      <c r="B1273" s="5">
        <v>-2</v>
      </c>
    </row>
    <row r="1274" spans="1:2">
      <c r="A1274" s="4" t="s">
        <v>5906</v>
      </c>
      <c r="B1274" s="5">
        <v>-2</v>
      </c>
    </row>
    <row r="1275" spans="1:2">
      <c r="A1275" s="4" t="s">
        <v>5907</v>
      </c>
      <c r="B1275" s="5">
        <v>-2</v>
      </c>
    </row>
    <row r="1276" spans="1:2">
      <c r="A1276" s="4" t="s">
        <v>5908</v>
      </c>
      <c r="B1276" s="5">
        <v>1</v>
      </c>
    </row>
    <row r="1277" spans="1:2">
      <c r="A1277" s="4" t="s">
        <v>5909</v>
      </c>
      <c r="B1277" s="5">
        <v>1</v>
      </c>
    </row>
    <row r="1278" spans="1:2">
      <c r="A1278" s="4" t="s">
        <v>5910</v>
      </c>
      <c r="B1278" s="5">
        <v>1</v>
      </c>
    </row>
    <row r="1279" spans="1:2">
      <c r="A1279" s="4" t="s">
        <v>5911</v>
      </c>
      <c r="B1279" s="5">
        <v>2</v>
      </c>
    </row>
    <row r="1280" spans="1:2">
      <c r="A1280" s="4" t="s">
        <v>5912</v>
      </c>
      <c r="B1280" s="5">
        <v>-2</v>
      </c>
    </row>
    <row r="1281" spans="1:2">
      <c r="A1281" s="4" t="s">
        <v>5913</v>
      </c>
      <c r="B1281" s="5">
        <v>2</v>
      </c>
    </row>
    <row r="1282" spans="1:2">
      <c r="A1282" s="4" t="s">
        <v>5914</v>
      </c>
      <c r="B1282" s="5">
        <v>-2</v>
      </c>
    </row>
    <row r="1283" spans="1:2">
      <c r="A1283" s="4" t="s">
        <v>5915</v>
      </c>
      <c r="B1283" s="5">
        <v>-2</v>
      </c>
    </row>
    <row r="1284" spans="1:2">
      <c r="A1284" s="4" t="s">
        <v>5916</v>
      </c>
      <c r="B1284" s="5">
        <v>-2</v>
      </c>
    </row>
    <row r="1285" spans="1:2">
      <c r="A1285" s="4" t="s">
        <v>5917</v>
      </c>
      <c r="B1285" s="5">
        <v>-2</v>
      </c>
    </row>
    <row r="1286" spans="1:2">
      <c r="A1286" s="4" t="s">
        <v>5918</v>
      </c>
      <c r="B1286" s="5">
        <v>-2</v>
      </c>
    </row>
    <row r="1287" spans="1:2">
      <c r="A1287" s="4" t="s">
        <v>5919</v>
      </c>
      <c r="B1287" s="5">
        <v>-2</v>
      </c>
    </row>
    <row r="1288" spans="1:2">
      <c r="A1288" s="4" t="s">
        <v>5920</v>
      </c>
      <c r="B1288" s="5">
        <v>-2</v>
      </c>
    </row>
    <row r="1289" spans="1:2">
      <c r="A1289" s="4" t="s">
        <v>5921</v>
      </c>
      <c r="B1289" s="5">
        <v>2</v>
      </c>
    </row>
    <row r="1290" spans="1:2">
      <c r="A1290" s="4" t="s">
        <v>5922</v>
      </c>
      <c r="B1290" s="5">
        <v>2</v>
      </c>
    </row>
    <row r="1291" spans="1:2">
      <c r="A1291" s="4" t="s">
        <v>5923</v>
      </c>
      <c r="B1291" s="5">
        <v>2</v>
      </c>
    </row>
    <row r="1292" spans="1:2">
      <c r="A1292" s="4" t="s">
        <v>5924</v>
      </c>
      <c r="B1292" s="5">
        <v>2</v>
      </c>
    </row>
    <row r="1293" spans="1:2">
      <c r="A1293" s="4" t="s">
        <v>5925</v>
      </c>
      <c r="B1293" s="5">
        <v>2</v>
      </c>
    </row>
    <row r="1294" spans="1:2">
      <c r="A1294" s="4" t="s">
        <v>5926</v>
      </c>
      <c r="B1294" s="5">
        <v>3</v>
      </c>
    </row>
    <row r="1295" spans="1:2">
      <c r="A1295" s="4" t="s">
        <v>5927</v>
      </c>
      <c r="B1295" s="5">
        <v>-2</v>
      </c>
    </row>
    <row r="1296" spans="1:2">
      <c r="A1296" s="4" t="s">
        <v>5928</v>
      </c>
      <c r="B1296" s="5">
        <v>-2</v>
      </c>
    </row>
    <row r="1297" spans="1:2">
      <c r="A1297" s="4" t="s">
        <v>5929</v>
      </c>
      <c r="B1297" s="5">
        <v>-2</v>
      </c>
    </row>
    <row r="1298" spans="1:2">
      <c r="A1298" s="4" t="s">
        <v>5930</v>
      </c>
      <c r="B1298" s="5">
        <v>-2</v>
      </c>
    </row>
    <row r="1299" spans="1:2">
      <c r="A1299" s="4" t="s">
        <v>5931</v>
      </c>
      <c r="B1299" s="5">
        <v>2</v>
      </c>
    </row>
    <row r="1300" spans="1:2">
      <c r="A1300" s="4" t="s">
        <v>5932</v>
      </c>
      <c r="B1300" s="5">
        <v>2</v>
      </c>
    </row>
    <row r="1301" spans="1:2">
      <c r="A1301" s="4" t="s">
        <v>5933</v>
      </c>
      <c r="B1301" s="5">
        <v>2</v>
      </c>
    </row>
    <row r="1302" spans="1:2">
      <c r="A1302" s="4" t="s">
        <v>5934</v>
      </c>
      <c r="B1302" s="5">
        <v>1</v>
      </c>
    </row>
    <row r="1303" spans="1:2">
      <c r="A1303" s="4" t="s">
        <v>5935</v>
      </c>
      <c r="B1303" s="5">
        <v>1</v>
      </c>
    </row>
    <row r="1304" spans="1:2">
      <c r="A1304" s="4" t="s">
        <v>5936</v>
      </c>
      <c r="B1304" s="5">
        <v>2</v>
      </c>
    </row>
    <row r="1305" spans="1:2">
      <c r="A1305" s="4" t="s">
        <v>5937</v>
      </c>
      <c r="B1305" s="5">
        <v>2</v>
      </c>
    </row>
    <row r="1306" spans="1:2">
      <c r="A1306" s="4" t="s">
        <v>5938</v>
      </c>
      <c r="B1306" s="5">
        <v>1</v>
      </c>
    </row>
    <row r="1307" spans="1:2">
      <c r="A1307" s="4" t="s">
        <v>5939</v>
      </c>
      <c r="B1307" s="5">
        <v>-2</v>
      </c>
    </row>
    <row r="1308" spans="1:2">
      <c r="A1308" s="4" t="s">
        <v>5940</v>
      </c>
      <c r="B1308" s="5">
        <v>-2</v>
      </c>
    </row>
    <row r="1309" spans="1:2">
      <c r="A1309" s="4" t="s">
        <v>5941</v>
      </c>
      <c r="B1309" s="5">
        <v>-2</v>
      </c>
    </row>
    <row r="1310" spans="1:2">
      <c r="A1310" s="4" t="s">
        <v>5942</v>
      </c>
      <c r="B1310" s="5">
        <v>-2</v>
      </c>
    </row>
    <row r="1311" spans="1:2">
      <c r="A1311" s="4" t="s">
        <v>5943</v>
      </c>
      <c r="B1311" s="5">
        <v>-2</v>
      </c>
    </row>
    <row r="1312" spans="1:2">
      <c r="A1312" s="4" t="s">
        <v>5944</v>
      </c>
      <c r="B1312" s="5">
        <v>-2</v>
      </c>
    </row>
    <row r="1313" spans="1:2">
      <c r="A1313" s="4" t="s">
        <v>5945</v>
      </c>
      <c r="B1313" s="5">
        <v>-2</v>
      </c>
    </row>
    <row r="1314" spans="1:2">
      <c r="A1314" s="4" t="s">
        <v>5946</v>
      </c>
      <c r="B1314" s="5">
        <v>-2</v>
      </c>
    </row>
    <row r="1315" spans="1:2">
      <c r="A1315" s="4" t="s">
        <v>5947</v>
      </c>
      <c r="B1315" s="5">
        <v>-2</v>
      </c>
    </row>
    <row r="1316" spans="1:2">
      <c r="A1316" s="4" t="s">
        <v>5948</v>
      </c>
      <c r="B1316" s="5">
        <v>-2</v>
      </c>
    </row>
    <row r="1317" spans="1:2">
      <c r="A1317" s="4" t="s">
        <v>5949</v>
      </c>
      <c r="B1317" s="5">
        <v>-2</v>
      </c>
    </row>
    <row r="1318" spans="1:2">
      <c r="A1318" s="4" t="s">
        <v>5950</v>
      </c>
      <c r="B1318" s="5">
        <v>2</v>
      </c>
    </row>
    <row r="1319" spans="1:2">
      <c r="A1319" s="4" t="s">
        <v>5951</v>
      </c>
      <c r="B1319" s="5">
        <v>1</v>
      </c>
    </row>
    <row r="1320" spans="1:2">
      <c r="A1320" s="4" t="s">
        <v>5952</v>
      </c>
      <c r="B1320" s="5">
        <v>2</v>
      </c>
    </row>
    <row r="1321" spans="1:2">
      <c r="A1321" s="4" t="s">
        <v>5953</v>
      </c>
      <c r="B1321" s="5">
        <v>1</v>
      </c>
    </row>
    <row r="1322" spans="1:2">
      <c r="A1322" s="4" t="s">
        <v>5954</v>
      </c>
      <c r="B1322" s="5">
        <v>1</v>
      </c>
    </row>
    <row r="1323" spans="1:2">
      <c r="A1323" s="4" t="s">
        <v>5955</v>
      </c>
      <c r="B1323" s="5">
        <v>2</v>
      </c>
    </row>
    <row r="1324" spans="1:2">
      <c r="A1324" s="4" t="s">
        <v>5956</v>
      </c>
      <c r="B1324" s="5">
        <v>-3</v>
      </c>
    </row>
    <row r="1325" spans="1:2">
      <c r="A1325" s="4" t="s">
        <v>5957</v>
      </c>
      <c r="B1325" s="5">
        <v>-1</v>
      </c>
    </row>
    <row r="1326" spans="1:2">
      <c r="A1326" s="4" t="s">
        <v>5958</v>
      </c>
      <c r="B1326" s="5">
        <v>-1</v>
      </c>
    </row>
    <row r="1327" spans="1:2">
      <c r="A1327" s="4" t="s">
        <v>5959</v>
      </c>
      <c r="B1327" s="5">
        <v>-1</v>
      </c>
    </row>
    <row r="1328" spans="1:2">
      <c r="A1328" s="4" t="s">
        <v>5960</v>
      </c>
      <c r="B1328" s="5">
        <v>2</v>
      </c>
    </row>
    <row r="1329" spans="1:2">
      <c r="A1329" s="4" t="s">
        <v>5961</v>
      </c>
      <c r="B1329" s="5">
        <v>-2</v>
      </c>
    </row>
    <row r="1330" spans="1:2">
      <c r="A1330" s="4" t="s">
        <v>5962</v>
      </c>
      <c r="B1330" s="5">
        <v>2</v>
      </c>
    </row>
    <row r="1331" spans="1:2">
      <c r="A1331" s="4" t="s">
        <v>5963</v>
      </c>
      <c r="B1331" s="5">
        <v>-1</v>
      </c>
    </row>
    <row r="1332" spans="1:2">
      <c r="A1332" s="4" t="s">
        <v>5964</v>
      </c>
      <c r="B1332" s="5">
        <v>-3</v>
      </c>
    </row>
    <row r="1333" spans="1:2">
      <c r="A1333" s="4" t="s">
        <v>5965</v>
      </c>
      <c r="B1333" s="5">
        <v>-3</v>
      </c>
    </row>
    <row r="1334" spans="1:2">
      <c r="A1334" s="4" t="s">
        <v>5966</v>
      </c>
      <c r="B1334" s="5">
        <v>-3</v>
      </c>
    </row>
    <row r="1335" spans="1:2">
      <c r="A1335" s="4" t="s">
        <v>5967</v>
      </c>
      <c r="B1335" s="5">
        <v>-1</v>
      </c>
    </row>
    <row r="1336" spans="1:2">
      <c r="A1336" s="4" t="s">
        <v>5968</v>
      </c>
      <c r="B1336" s="5">
        <v>-2</v>
      </c>
    </row>
    <row r="1337" spans="1:2">
      <c r="A1337" s="4" t="s">
        <v>5969</v>
      </c>
      <c r="B1337" s="5">
        <v>-2</v>
      </c>
    </row>
    <row r="1338" spans="1:2">
      <c r="A1338" s="4" t="s">
        <v>5970</v>
      </c>
      <c r="B1338" s="5">
        <v>2</v>
      </c>
    </row>
    <row r="1339" spans="1:2">
      <c r="A1339" s="4" t="s">
        <v>5971</v>
      </c>
      <c r="B1339" s="5">
        <v>-2</v>
      </c>
    </row>
    <row r="1340" spans="1:2">
      <c r="A1340" s="4" t="s">
        <v>5972</v>
      </c>
      <c r="B1340" s="5">
        <v>-2</v>
      </c>
    </row>
    <row r="1341" spans="1:2">
      <c r="A1341" s="4" t="s">
        <v>5973</v>
      </c>
      <c r="B1341" s="5">
        <v>-3</v>
      </c>
    </row>
    <row r="1342" spans="1:2">
      <c r="A1342" s="4" t="s">
        <v>5974</v>
      </c>
      <c r="B1342" s="5">
        <v>1</v>
      </c>
    </row>
    <row r="1343" spans="1:2">
      <c r="A1343" s="4" t="s">
        <v>5975</v>
      </c>
      <c r="B1343" s="5">
        <v>1</v>
      </c>
    </row>
    <row r="1344" spans="1:2">
      <c r="A1344" s="4" t="s">
        <v>5976</v>
      </c>
      <c r="B1344" s="5">
        <v>1</v>
      </c>
    </row>
    <row r="1345" spans="1:2">
      <c r="A1345" s="4" t="s">
        <v>5977</v>
      </c>
      <c r="B1345" s="5">
        <v>2</v>
      </c>
    </row>
    <row r="1346" spans="1:2">
      <c r="A1346" s="4" t="s">
        <v>5978</v>
      </c>
      <c r="B1346" s="5">
        <v>1</v>
      </c>
    </row>
    <row r="1347" spans="1:2">
      <c r="A1347" s="4" t="s">
        <v>5979</v>
      </c>
      <c r="B1347" s="5">
        <v>2</v>
      </c>
    </row>
    <row r="1348" spans="1:2">
      <c r="A1348" s="4" t="s">
        <v>5980</v>
      </c>
      <c r="B1348" s="5">
        <v>2</v>
      </c>
    </row>
    <row r="1349" spans="1:2">
      <c r="A1349" s="4" t="s">
        <v>5981</v>
      </c>
      <c r="B1349" s="5">
        <v>2</v>
      </c>
    </row>
    <row r="1350" spans="1:2">
      <c r="A1350" s="4" t="s">
        <v>5982</v>
      </c>
      <c r="B1350" s="5">
        <v>2</v>
      </c>
    </row>
    <row r="1351" spans="1:2">
      <c r="A1351" s="4" t="s">
        <v>5983</v>
      </c>
      <c r="B1351" s="5">
        <v>3</v>
      </c>
    </row>
    <row r="1352" spans="1:2">
      <c r="A1352" s="4" t="s">
        <v>5984</v>
      </c>
      <c r="B1352" s="5">
        <v>3</v>
      </c>
    </row>
    <row r="1353" spans="1:2">
      <c r="A1353" s="4" t="s">
        <v>5985</v>
      </c>
      <c r="B1353" s="5">
        <v>3</v>
      </c>
    </row>
    <row r="1354" spans="1:2">
      <c r="A1354" s="4" t="s">
        <v>5986</v>
      </c>
      <c r="B1354" s="5">
        <v>-2</v>
      </c>
    </row>
    <row r="1355" spans="1:2">
      <c r="A1355" s="4" t="s">
        <v>5987</v>
      </c>
      <c r="B1355" s="5">
        <v>3</v>
      </c>
    </row>
    <row r="1356" spans="1:2">
      <c r="A1356" s="4" t="s">
        <v>5988</v>
      </c>
      <c r="B1356" s="5">
        <v>3</v>
      </c>
    </row>
    <row r="1357" spans="1:2">
      <c r="A1357" s="4" t="s">
        <v>5989</v>
      </c>
      <c r="B1357" s="5">
        <v>-1</v>
      </c>
    </row>
    <row r="1358" spans="1:2">
      <c r="A1358" s="4" t="s">
        <v>5990</v>
      </c>
      <c r="B1358" s="5">
        <v>2</v>
      </c>
    </row>
    <row r="1359" spans="1:2">
      <c r="A1359" s="4" t="s">
        <v>5991</v>
      </c>
      <c r="B1359" s="5">
        <v>2</v>
      </c>
    </row>
    <row r="1360" spans="1:2">
      <c r="A1360" s="4" t="s">
        <v>5992</v>
      </c>
      <c r="B1360" s="5">
        <v>2</v>
      </c>
    </row>
    <row r="1361" spans="1:2">
      <c r="A1361" s="4" t="s">
        <v>5993</v>
      </c>
      <c r="B1361" s="5">
        <v>1</v>
      </c>
    </row>
    <row r="1362" spans="1:2">
      <c r="A1362" s="4" t="s">
        <v>5994</v>
      </c>
      <c r="B1362" s="5">
        <v>-3</v>
      </c>
    </row>
    <row r="1363" spans="1:2">
      <c r="A1363" s="4" t="s">
        <v>5995</v>
      </c>
      <c r="B1363" s="5">
        <v>-3</v>
      </c>
    </row>
    <row r="1364" spans="1:2">
      <c r="A1364" s="4" t="s">
        <v>5996</v>
      </c>
      <c r="B1364" s="5">
        <v>-3</v>
      </c>
    </row>
    <row r="1365" spans="1:2">
      <c r="A1365" s="4" t="s">
        <v>5997</v>
      </c>
      <c r="B1365" s="5">
        <v>-3</v>
      </c>
    </row>
    <row r="1366" spans="1:2">
      <c r="A1366" s="4" t="s">
        <v>5998</v>
      </c>
      <c r="B1366" s="5">
        <v>2</v>
      </c>
    </row>
    <row r="1367" spans="1:2">
      <c r="A1367" s="4" t="s">
        <v>5999</v>
      </c>
      <c r="B1367" s="5">
        <v>2</v>
      </c>
    </row>
    <row r="1368" spans="1:2">
      <c r="A1368" s="4" t="s">
        <v>6000</v>
      </c>
      <c r="B1368" s="5">
        <v>2</v>
      </c>
    </row>
    <row r="1369" spans="1:2">
      <c r="A1369" s="4" t="s">
        <v>6001</v>
      </c>
      <c r="B1369" s="5">
        <v>3</v>
      </c>
    </row>
    <row r="1370" spans="1:2">
      <c r="A1370" s="4" t="s">
        <v>6002</v>
      </c>
      <c r="B1370" s="5">
        <v>-2</v>
      </c>
    </row>
    <row r="1371" spans="1:2">
      <c r="A1371" s="4" t="s">
        <v>6003</v>
      </c>
      <c r="B1371" s="5">
        <v>-2</v>
      </c>
    </row>
    <row r="1372" spans="1:2">
      <c r="A1372" s="4" t="s">
        <v>6004</v>
      </c>
      <c r="B1372" s="5">
        <v>-1</v>
      </c>
    </row>
    <row r="1373" spans="1:2">
      <c r="A1373" s="4" t="s">
        <v>6005</v>
      </c>
      <c r="B1373" s="5">
        <v>-2</v>
      </c>
    </row>
    <row r="1374" spans="1:2">
      <c r="A1374" s="4" t="s">
        <v>6006</v>
      </c>
      <c r="B1374" s="5">
        <v>-2</v>
      </c>
    </row>
    <row r="1375" spans="1:2">
      <c r="A1375" s="4" t="s">
        <v>6007</v>
      </c>
      <c r="B1375" s="5">
        <v>-2</v>
      </c>
    </row>
    <row r="1376" spans="1:2">
      <c r="A1376" s="4" t="s">
        <v>6008</v>
      </c>
      <c r="B1376" s="5">
        <v>-2</v>
      </c>
    </row>
    <row r="1377" spans="1:2">
      <c r="A1377" s="4" t="s">
        <v>6009</v>
      </c>
      <c r="B1377" s="5">
        <v>2</v>
      </c>
    </row>
    <row r="1378" spans="1:2">
      <c r="A1378" s="4" t="s">
        <v>6010</v>
      </c>
      <c r="B1378" s="5">
        <v>1</v>
      </c>
    </row>
    <row r="1379" spans="1:2">
      <c r="A1379" s="4" t="s">
        <v>6011</v>
      </c>
      <c r="B1379" s="5">
        <v>1</v>
      </c>
    </row>
    <row r="1380" spans="1:2">
      <c r="A1380" s="4" t="s">
        <v>6012</v>
      </c>
      <c r="B1380" s="5">
        <v>1</v>
      </c>
    </row>
    <row r="1381" spans="1:2">
      <c r="A1381" s="4" t="s">
        <v>6013</v>
      </c>
      <c r="B1381" s="5">
        <v>1</v>
      </c>
    </row>
    <row r="1382" spans="1:2">
      <c r="A1382" s="4" t="s">
        <v>6014</v>
      </c>
      <c r="B1382" s="5">
        <v>1</v>
      </c>
    </row>
    <row r="1383" spans="1:2">
      <c r="A1383" s="4" t="s">
        <v>6015</v>
      </c>
      <c r="B1383" s="5">
        <v>1</v>
      </c>
    </row>
    <row r="1384" spans="1:2">
      <c r="A1384" s="4" t="s">
        <v>6016</v>
      </c>
      <c r="B1384" s="5">
        <v>3</v>
      </c>
    </row>
    <row r="1385" spans="1:2">
      <c r="A1385" s="4" t="s">
        <v>6017</v>
      </c>
      <c r="B1385" s="5">
        <v>-2</v>
      </c>
    </row>
    <row r="1386" spans="1:2">
      <c r="A1386" s="4" t="s">
        <v>6018</v>
      </c>
      <c r="B1386" s="5">
        <v>-2</v>
      </c>
    </row>
    <row r="1387" spans="1:2">
      <c r="A1387" s="4" t="s">
        <v>6019</v>
      </c>
      <c r="B1387" s="5">
        <v>-1</v>
      </c>
    </row>
    <row r="1388" spans="1:2">
      <c r="A1388" s="4" t="s">
        <v>6020</v>
      </c>
      <c r="B1388" s="5">
        <v>-1</v>
      </c>
    </row>
    <row r="1389" spans="1:2">
      <c r="A1389" s="4" t="s">
        <v>6021</v>
      </c>
      <c r="B1389" s="5">
        <v>-1</v>
      </c>
    </row>
    <row r="1390" spans="1:2">
      <c r="A1390" s="4" t="s">
        <v>6022</v>
      </c>
      <c r="B1390" s="5">
        <v>-1</v>
      </c>
    </row>
    <row r="1391" spans="1:2">
      <c r="A1391" s="4" t="s">
        <v>6023</v>
      </c>
      <c r="B1391" s="5">
        <v>1</v>
      </c>
    </row>
    <row r="1392" spans="1:2">
      <c r="A1392" s="4" t="s">
        <v>6024</v>
      </c>
      <c r="B1392" s="5">
        <v>1</v>
      </c>
    </row>
    <row r="1393" spans="1:2">
      <c r="A1393" s="4" t="s">
        <v>6025</v>
      </c>
      <c r="B1393" s="5">
        <v>1</v>
      </c>
    </row>
    <row r="1394" spans="1:2">
      <c r="A1394" s="4" t="s">
        <v>6026</v>
      </c>
      <c r="B1394" s="5">
        <v>-2</v>
      </c>
    </row>
    <row r="1395" spans="1:2">
      <c r="A1395" s="4" t="s">
        <v>6027</v>
      </c>
      <c r="B1395" s="5">
        <v>-2</v>
      </c>
    </row>
    <row r="1396" spans="1:2">
      <c r="A1396" s="4" t="s">
        <v>6028</v>
      </c>
      <c r="B1396" s="5">
        <v>-3</v>
      </c>
    </row>
    <row r="1397" spans="1:2">
      <c r="A1397" s="4" t="s">
        <v>6029</v>
      </c>
      <c r="B1397" s="5">
        <v>-3</v>
      </c>
    </row>
    <row r="1398" spans="1:2">
      <c r="A1398" s="4" t="s">
        <v>6030</v>
      </c>
      <c r="B1398" s="5">
        <v>-2</v>
      </c>
    </row>
    <row r="1399" spans="1:2">
      <c r="A1399" s="4" t="s">
        <v>6031</v>
      </c>
      <c r="B1399" s="5">
        <v>-2</v>
      </c>
    </row>
    <row r="1400" spans="1:2">
      <c r="A1400" s="4" t="s">
        <v>6032</v>
      </c>
      <c r="B1400" s="5">
        <v>4</v>
      </c>
    </row>
    <row r="1401" spans="1:2">
      <c r="A1401" s="4" t="s">
        <v>6033</v>
      </c>
      <c r="B1401" s="5">
        <v>1</v>
      </c>
    </row>
    <row r="1402" spans="1:2">
      <c r="A1402" s="4" t="s">
        <v>6034</v>
      </c>
      <c r="B1402" s="5">
        <v>2</v>
      </c>
    </row>
    <row r="1403" spans="1:2">
      <c r="A1403" s="4" t="s">
        <v>6035</v>
      </c>
      <c r="B1403" s="5">
        <v>2</v>
      </c>
    </row>
    <row r="1404" spans="1:2">
      <c r="A1404" s="4" t="s">
        <v>6036</v>
      </c>
      <c r="B1404" s="5">
        <v>2</v>
      </c>
    </row>
    <row r="1405" spans="1:2">
      <c r="A1405" s="4" t="s">
        <v>6037</v>
      </c>
      <c r="B1405" s="5">
        <v>-1</v>
      </c>
    </row>
    <row r="1406" spans="1:2">
      <c r="A1406" s="4" t="s">
        <v>6038</v>
      </c>
      <c r="B1406" s="5">
        <v>-1</v>
      </c>
    </row>
    <row r="1407" spans="1:2">
      <c r="A1407" s="4" t="s">
        <v>6039</v>
      </c>
      <c r="B1407" s="5">
        <v>-1</v>
      </c>
    </row>
    <row r="1408" spans="1:2">
      <c r="A1408" s="4" t="s">
        <v>6040</v>
      </c>
      <c r="B1408" s="5">
        <v>-1</v>
      </c>
    </row>
    <row r="1409" spans="1:2">
      <c r="A1409" s="4" t="s">
        <v>6041</v>
      </c>
      <c r="B1409" s="5">
        <v>-2</v>
      </c>
    </row>
    <row r="1410" spans="1:2">
      <c r="A1410" s="4" t="s">
        <v>6042</v>
      </c>
      <c r="B1410" s="5">
        <v>2</v>
      </c>
    </row>
    <row r="1411" spans="1:2">
      <c r="A1411" s="4" t="s">
        <v>6043</v>
      </c>
      <c r="B1411" s="5">
        <v>-2</v>
      </c>
    </row>
    <row r="1412" spans="1:2">
      <c r="A1412" s="4" t="s">
        <v>6044</v>
      </c>
      <c r="B1412" s="5">
        <v>-3</v>
      </c>
    </row>
    <row r="1413" spans="1:2">
      <c r="A1413" s="4" t="s">
        <v>6045</v>
      </c>
      <c r="B1413" s="5">
        <v>-3</v>
      </c>
    </row>
    <row r="1414" spans="1:2">
      <c r="A1414" s="4" t="s">
        <v>6046</v>
      </c>
      <c r="B1414" s="5">
        <v>-3</v>
      </c>
    </row>
    <row r="1415" spans="1:2">
      <c r="A1415" s="4" t="s">
        <v>6047</v>
      </c>
      <c r="B1415" s="5">
        <v>-3</v>
      </c>
    </row>
    <row r="1416" spans="1:2">
      <c r="A1416" s="4" t="s">
        <v>6048</v>
      </c>
      <c r="B1416" s="5">
        <v>-2</v>
      </c>
    </row>
    <row r="1417" spans="1:2">
      <c r="A1417" s="4" t="s">
        <v>6049</v>
      </c>
      <c r="B1417" s="5">
        <v>-2</v>
      </c>
    </row>
    <row r="1418" spans="1:2">
      <c r="A1418" s="4" t="s">
        <v>6050</v>
      </c>
      <c r="B1418" s="5">
        <v>-2</v>
      </c>
    </row>
    <row r="1419" spans="1:2">
      <c r="A1419" s="4" t="s">
        <v>6051</v>
      </c>
      <c r="B1419" s="5">
        <v>-2</v>
      </c>
    </row>
    <row r="1420" spans="1:2">
      <c r="A1420" s="4" t="s">
        <v>6052</v>
      </c>
      <c r="B1420" s="5">
        <v>-1</v>
      </c>
    </row>
    <row r="1421" spans="1:2">
      <c r="A1421" s="4" t="s">
        <v>6053</v>
      </c>
      <c r="B1421" s="5">
        <v>-1</v>
      </c>
    </row>
    <row r="1422" spans="1:2">
      <c r="A1422" s="4" t="s">
        <v>6054</v>
      </c>
      <c r="B1422" s="5">
        <v>-1</v>
      </c>
    </row>
    <row r="1423" spans="1:2">
      <c r="A1423" s="4" t="s">
        <v>6055</v>
      </c>
      <c r="B1423" s="5">
        <v>-1</v>
      </c>
    </row>
    <row r="1424" spans="1:2">
      <c r="A1424" s="4" t="s">
        <v>6056</v>
      </c>
      <c r="B1424" s="5">
        <v>-1</v>
      </c>
    </row>
    <row r="1425" spans="1:2">
      <c r="A1425" s="4" t="s">
        <v>6057</v>
      </c>
      <c r="B1425" s="5">
        <v>-3</v>
      </c>
    </row>
    <row r="1426" spans="1:2">
      <c r="A1426" s="4" t="s">
        <v>6058</v>
      </c>
      <c r="B1426" s="5">
        <v>-3</v>
      </c>
    </row>
    <row r="1427" spans="1:2">
      <c r="A1427" s="4" t="s">
        <v>6059</v>
      </c>
      <c r="B1427" s="5">
        <v>-3</v>
      </c>
    </row>
    <row r="1428" spans="1:2">
      <c r="A1428" s="4" t="s">
        <v>6060</v>
      </c>
      <c r="B1428" s="5">
        <v>-3</v>
      </c>
    </row>
    <row r="1429" spans="1:2">
      <c r="A1429" s="4" t="s">
        <v>6061</v>
      </c>
      <c r="B1429" s="5">
        <v>-3</v>
      </c>
    </row>
    <row r="1430" spans="1:2">
      <c r="A1430" s="4" t="s">
        <v>6062</v>
      </c>
      <c r="B1430" s="5">
        <v>-3</v>
      </c>
    </row>
    <row r="1431" spans="1:2">
      <c r="A1431" s="4" t="s">
        <v>6063</v>
      </c>
      <c r="B1431" s="5">
        <v>3</v>
      </c>
    </row>
    <row r="1432" spans="1:2">
      <c r="A1432" s="4" t="s">
        <v>6064</v>
      </c>
      <c r="B1432" s="5">
        <v>3</v>
      </c>
    </row>
    <row r="1433" spans="1:2">
      <c r="A1433" s="4" t="s">
        <v>6065</v>
      </c>
      <c r="B1433" s="5">
        <v>3</v>
      </c>
    </row>
    <row r="1434" spans="1:2">
      <c r="A1434" s="4" t="s">
        <v>6066</v>
      </c>
      <c r="B1434" s="5">
        <v>3</v>
      </c>
    </row>
    <row r="1435" spans="1:2">
      <c r="A1435" s="4" t="s">
        <v>6067</v>
      </c>
      <c r="B1435" s="5">
        <v>3</v>
      </c>
    </row>
    <row r="1436" spans="1:2">
      <c r="A1436" s="4" t="s">
        <v>6068</v>
      </c>
      <c r="B1436" s="5">
        <v>2</v>
      </c>
    </row>
    <row r="1437" spans="1:2">
      <c r="A1437" s="4" t="s">
        <v>6069</v>
      </c>
      <c r="B1437" s="5">
        <v>-1</v>
      </c>
    </row>
    <row r="1438" spans="1:2">
      <c r="A1438" s="4" t="s">
        <v>6070</v>
      </c>
      <c r="B1438" s="5">
        <v>3</v>
      </c>
    </row>
    <row r="1439" spans="1:2">
      <c r="A1439" s="4" t="s">
        <v>6071</v>
      </c>
      <c r="B1439" s="5">
        <v>3</v>
      </c>
    </row>
    <row r="1440" spans="1:2">
      <c r="A1440" s="4" t="s">
        <v>6072</v>
      </c>
      <c r="B1440" s="5">
        <v>3</v>
      </c>
    </row>
    <row r="1441" spans="1:2">
      <c r="A1441" s="4" t="s">
        <v>6073</v>
      </c>
      <c r="B1441" s="5">
        <v>3</v>
      </c>
    </row>
    <row r="1442" spans="1:2">
      <c r="A1442" s="4" t="s">
        <v>6074</v>
      </c>
      <c r="B1442" s="5">
        <v>3</v>
      </c>
    </row>
    <row r="1443" spans="1:2">
      <c r="A1443" s="4" t="s">
        <v>6075</v>
      </c>
      <c r="B1443" s="5">
        <v>-2</v>
      </c>
    </row>
    <row r="1444" spans="1:2">
      <c r="A1444" s="4" t="s">
        <v>6076</v>
      </c>
      <c r="B1444" s="5">
        <v>-3</v>
      </c>
    </row>
    <row r="1445" spans="1:2">
      <c r="A1445" s="4" t="s">
        <v>6077</v>
      </c>
      <c r="B1445" s="5">
        <v>-3</v>
      </c>
    </row>
    <row r="1446" spans="1:2">
      <c r="A1446" s="4" t="s">
        <v>6078</v>
      </c>
      <c r="B1446" s="5">
        <v>-1</v>
      </c>
    </row>
    <row r="1447" spans="1:2">
      <c r="A1447" s="4" t="s">
        <v>6079</v>
      </c>
      <c r="B1447" s="5">
        <v>-1</v>
      </c>
    </row>
    <row r="1448" spans="1:2">
      <c r="A1448" s="4" t="s">
        <v>6080</v>
      </c>
      <c r="B1448" s="5">
        <v>-1</v>
      </c>
    </row>
    <row r="1449" spans="1:2">
      <c r="A1449" s="4" t="s">
        <v>6081</v>
      </c>
      <c r="B1449" s="5">
        <v>-3</v>
      </c>
    </row>
    <row r="1450" spans="1:2">
      <c r="A1450" s="4" t="s">
        <v>6082</v>
      </c>
      <c r="B1450" s="5">
        <v>-3</v>
      </c>
    </row>
    <row r="1451" spans="1:2">
      <c r="A1451" s="4" t="s">
        <v>6083</v>
      </c>
      <c r="B1451" s="5">
        <v>-3</v>
      </c>
    </row>
    <row r="1452" spans="1:2">
      <c r="A1452" s="4" t="s">
        <v>6084</v>
      </c>
      <c r="B1452" s="5">
        <v>-3</v>
      </c>
    </row>
    <row r="1453" spans="1:2">
      <c r="A1453" s="4" t="s">
        <v>6085</v>
      </c>
      <c r="B1453" s="5">
        <v>-1</v>
      </c>
    </row>
    <row r="1454" spans="1:2">
      <c r="A1454" s="4" t="s">
        <v>6086</v>
      </c>
      <c r="B1454" s="5">
        <v>-1</v>
      </c>
    </row>
    <row r="1455" spans="1:2">
      <c r="A1455" s="4" t="s">
        <v>6087</v>
      </c>
      <c r="B1455" s="5">
        <v>-1</v>
      </c>
    </row>
    <row r="1456" spans="1:2">
      <c r="A1456" s="4" t="s">
        <v>6088</v>
      </c>
      <c r="B1456" s="5">
        <v>-1</v>
      </c>
    </row>
    <row r="1457" spans="1:2">
      <c r="A1457" s="4" t="s">
        <v>6089</v>
      </c>
      <c r="B1457" s="5">
        <v>3</v>
      </c>
    </row>
    <row r="1458" spans="1:2">
      <c r="A1458" s="4" t="s">
        <v>6090</v>
      </c>
      <c r="B1458" s="5">
        <v>3</v>
      </c>
    </row>
    <row r="1459" spans="1:2">
      <c r="A1459" s="4" t="s">
        <v>6091</v>
      </c>
      <c r="B1459" s="5">
        <v>3</v>
      </c>
    </row>
    <row r="1460" spans="1:2">
      <c r="A1460" s="4" t="s">
        <v>6092</v>
      </c>
      <c r="B1460" s="5">
        <v>4</v>
      </c>
    </row>
    <row r="1461" spans="1:2">
      <c r="A1461" s="4" t="s">
        <v>6093</v>
      </c>
      <c r="B1461" s="5">
        <v>4</v>
      </c>
    </row>
    <row r="1462" spans="1:2">
      <c r="A1462" s="4" t="s">
        <v>6094</v>
      </c>
      <c r="B1462" s="5">
        <v>1</v>
      </c>
    </row>
    <row r="1463" spans="1:2">
      <c r="A1463" s="4" t="s">
        <v>6095</v>
      </c>
      <c r="B1463" s="5">
        <v>1</v>
      </c>
    </row>
    <row r="1464" spans="1:2">
      <c r="A1464" s="4" t="s">
        <v>6096</v>
      </c>
      <c r="B1464" s="5">
        <v>2</v>
      </c>
    </row>
    <row r="1465" spans="1:2">
      <c r="A1465" s="4" t="s">
        <v>6097</v>
      </c>
      <c r="B1465" s="5">
        <v>2</v>
      </c>
    </row>
    <row r="1466" spans="1:2">
      <c r="A1466" s="4" t="s">
        <v>6098</v>
      </c>
      <c r="B1466" s="5">
        <v>-2</v>
      </c>
    </row>
    <row r="1467" spans="1:2">
      <c r="A1467" s="4" t="s">
        <v>6099</v>
      </c>
      <c r="B1467" s="5">
        <v>3</v>
      </c>
    </row>
    <row r="1468" spans="1:2">
      <c r="A1468" s="4" t="s">
        <v>6100</v>
      </c>
      <c r="B1468" s="5">
        <v>-3</v>
      </c>
    </row>
    <row r="1469" spans="1:2">
      <c r="A1469" s="4" t="s">
        <v>6101</v>
      </c>
      <c r="B1469" s="5">
        <v>1</v>
      </c>
    </row>
    <row r="1470" spans="1:2">
      <c r="A1470" s="4" t="s">
        <v>6102</v>
      </c>
      <c r="B1470" s="5">
        <v>-2</v>
      </c>
    </row>
    <row r="1471" spans="1:2">
      <c r="A1471" s="4" t="s">
        <v>6103</v>
      </c>
      <c r="B1471" s="5">
        <v>-2</v>
      </c>
    </row>
    <row r="1472" spans="1:2">
      <c r="A1472" s="4" t="s">
        <v>6104</v>
      </c>
      <c r="B1472" s="5">
        <v>-2</v>
      </c>
    </row>
    <row r="1473" spans="1:2">
      <c r="A1473" s="4" t="s">
        <v>6105</v>
      </c>
      <c r="B1473" s="5">
        <v>2</v>
      </c>
    </row>
    <row r="1474" spans="1:2">
      <c r="A1474" s="4" t="s">
        <v>6106</v>
      </c>
      <c r="B1474" s="5">
        <v>3</v>
      </c>
    </row>
    <row r="1475" spans="1:2">
      <c r="A1475" s="4" t="s">
        <v>6107</v>
      </c>
      <c r="B1475" s="5">
        <v>-2</v>
      </c>
    </row>
    <row r="1476" spans="1:2">
      <c r="A1476" s="4" t="s">
        <v>6108</v>
      </c>
      <c r="B1476" s="5">
        <v>-2</v>
      </c>
    </row>
    <row r="1477" spans="1:2">
      <c r="A1477" s="4" t="s">
        <v>6109</v>
      </c>
      <c r="B1477" s="5">
        <v>2</v>
      </c>
    </row>
    <row r="1478" spans="1:2">
      <c r="A1478" s="4" t="s">
        <v>6110</v>
      </c>
      <c r="B1478" s="5">
        <v>-2</v>
      </c>
    </row>
    <row r="1479" spans="1:2">
      <c r="A1479" s="4" t="s">
        <v>6111</v>
      </c>
      <c r="B1479" s="5">
        <v>4</v>
      </c>
    </row>
    <row r="1480" spans="1:2">
      <c r="A1480" s="4" t="s">
        <v>6112</v>
      </c>
      <c r="B1480" s="5">
        <v>3</v>
      </c>
    </row>
    <row r="1481" spans="1:2">
      <c r="A1481" s="4" t="s">
        <v>6113</v>
      </c>
      <c r="B1481" s="5">
        <v>3</v>
      </c>
    </row>
    <row r="1482" spans="1:2">
      <c r="A1482" s="4" t="s">
        <v>6114</v>
      </c>
      <c r="B1482" s="5">
        <v>3</v>
      </c>
    </row>
    <row r="1483" spans="1:2">
      <c r="A1483" s="4" t="s">
        <v>6115</v>
      </c>
      <c r="B1483" s="5">
        <v>-2</v>
      </c>
    </row>
    <row r="1484" spans="1:2">
      <c r="A1484" s="4" t="s">
        <v>6116</v>
      </c>
      <c r="B1484" s="5">
        <v>-2</v>
      </c>
    </row>
    <row r="1485" spans="1:2">
      <c r="A1485" s="4" t="s">
        <v>6117</v>
      </c>
      <c r="B1485" s="5">
        <v>-2</v>
      </c>
    </row>
    <row r="1486" spans="1:2">
      <c r="A1486" s="4" t="s">
        <v>6118</v>
      </c>
      <c r="B1486" s="5">
        <v>-2</v>
      </c>
    </row>
    <row r="1487" spans="1:2">
      <c r="A1487" s="4" t="s">
        <v>6119</v>
      </c>
      <c r="B1487" s="5">
        <v>-1</v>
      </c>
    </row>
    <row r="1488" spans="1:2">
      <c r="A1488" s="4" t="s">
        <v>6120</v>
      </c>
      <c r="B1488" s="5">
        <v>-1</v>
      </c>
    </row>
    <row r="1489" spans="1:2">
      <c r="A1489" s="4" t="s">
        <v>6121</v>
      </c>
      <c r="B1489" s="5">
        <v>-3</v>
      </c>
    </row>
    <row r="1490" spans="1:2">
      <c r="A1490" s="4" t="s">
        <v>6122</v>
      </c>
      <c r="B1490" s="5">
        <v>-2</v>
      </c>
    </row>
    <row r="1491" spans="1:2">
      <c r="A1491" s="4" t="s">
        <v>6123</v>
      </c>
      <c r="B1491" s="5">
        <v>-2</v>
      </c>
    </row>
    <row r="1492" spans="1:2">
      <c r="A1492" s="4" t="s">
        <v>6124</v>
      </c>
      <c r="B1492" s="5">
        <v>-2</v>
      </c>
    </row>
    <row r="1493" spans="1:2">
      <c r="A1493" s="4" t="s">
        <v>6125</v>
      </c>
      <c r="B1493" s="5">
        <v>-2</v>
      </c>
    </row>
    <row r="1494" spans="1:2">
      <c r="A1494" s="4" t="s">
        <v>6126</v>
      </c>
      <c r="B1494" s="5">
        <v>-2</v>
      </c>
    </row>
    <row r="1495" spans="1:2">
      <c r="A1495" s="4" t="s">
        <v>6127</v>
      </c>
      <c r="B1495" s="5">
        <v>-3</v>
      </c>
    </row>
    <row r="1496" spans="1:2">
      <c r="A1496" s="4" t="s">
        <v>6128</v>
      </c>
      <c r="B1496" s="5">
        <v>-1</v>
      </c>
    </row>
    <row r="1497" spans="1:2">
      <c r="A1497" s="4" t="s">
        <v>6129</v>
      </c>
      <c r="B1497" s="5">
        <v>-2</v>
      </c>
    </row>
    <row r="1498" spans="1:2">
      <c r="A1498" s="4" t="s">
        <v>6130</v>
      </c>
      <c r="B1498" s="5">
        <v>-2</v>
      </c>
    </row>
    <row r="1499" spans="1:2">
      <c r="A1499" s="4" t="s">
        <v>6131</v>
      </c>
      <c r="B1499" s="5">
        <v>-2</v>
      </c>
    </row>
    <row r="1500" spans="1:2">
      <c r="A1500" s="4" t="s">
        <v>6132</v>
      </c>
      <c r="B1500" s="5">
        <v>-2</v>
      </c>
    </row>
    <row r="1501" spans="1:2">
      <c r="A1501" s="4" t="s">
        <v>6133</v>
      </c>
      <c r="B1501" s="5">
        <v>-2</v>
      </c>
    </row>
    <row r="1502" spans="1:2">
      <c r="A1502" s="4" t="s">
        <v>6134</v>
      </c>
      <c r="B1502" s="5">
        <v>-2</v>
      </c>
    </row>
    <row r="1503" spans="1:2">
      <c r="A1503" s="4" t="s">
        <v>6135</v>
      </c>
      <c r="B1503" s="5">
        <v>-2</v>
      </c>
    </row>
    <row r="1504" spans="1:2">
      <c r="A1504" s="4" t="s">
        <v>6136</v>
      </c>
      <c r="B1504" s="5">
        <v>-2</v>
      </c>
    </row>
    <row r="1505" spans="1:2">
      <c r="A1505" s="4" t="s">
        <v>6137</v>
      </c>
      <c r="B1505" s="5">
        <v>-2</v>
      </c>
    </row>
    <row r="1506" spans="1:2">
      <c r="A1506" s="4" t="s">
        <v>6138</v>
      </c>
      <c r="B1506" s="5">
        <v>-2</v>
      </c>
    </row>
    <row r="1507" spans="1:2">
      <c r="A1507" s="4" t="s">
        <v>6139</v>
      </c>
      <c r="B1507" s="5">
        <v>-2</v>
      </c>
    </row>
    <row r="1508" spans="1:2">
      <c r="A1508" s="4" t="s">
        <v>6140</v>
      </c>
      <c r="B1508" s="5">
        <v>-2</v>
      </c>
    </row>
    <row r="1509" spans="1:2">
      <c r="A1509" s="4" t="s">
        <v>6141</v>
      </c>
      <c r="B1509" s="5">
        <v>-2</v>
      </c>
    </row>
    <row r="1510" spans="1:2">
      <c r="A1510" s="4" t="s">
        <v>6142</v>
      </c>
      <c r="B1510" s="5">
        <v>-2</v>
      </c>
    </row>
    <row r="1511" spans="1:2">
      <c r="A1511" s="4" t="s">
        <v>6143</v>
      </c>
      <c r="B1511" s="5">
        <v>-2</v>
      </c>
    </row>
    <row r="1512" spans="1:2">
      <c r="A1512" s="4" t="s">
        <v>6144</v>
      </c>
      <c r="B1512" s="5">
        <v>-2</v>
      </c>
    </row>
    <row r="1513" spans="1:2">
      <c r="A1513" s="4" t="s">
        <v>6145</v>
      </c>
      <c r="B1513" s="5">
        <v>-2</v>
      </c>
    </row>
    <row r="1514" spans="1:2">
      <c r="A1514" s="4" t="s">
        <v>6146</v>
      </c>
      <c r="B1514" s="5">
        <v>-2</v>
      </c>
    </row>
    <row r="1515" spans="1:2">
      <c r="A1515" s="4" t="s">
        <v>6147</v>
      </c>
      <c r="B1515" s="5">
        <v>-2</v>
      </c>
    </row>
    <row r="1516" spans="1:2">
      <c r="A1516" s="4" t="s">
        <v>6148</v>
      </c>
      <c r="B1516" s="5">
        <v>-2</v>
      </c>
    </row>
    <row r="1517" spans="1:2">
      <c r="A1517" s="4" t="s">
        <v>6149</v>
      </c>
      <c r="B1517" s="5">
        <v>-2</v>
      </c>
    </row>
    <row r="1518" spans="1:2">
      <c r="A1518" s="4" t="s">
        <v>6150</v>
      </c>
      <c r="B1518" s="5">
        <v>-2</v>
      </c>
    </row>
    <row r="1519" spans="1:2">
      <c r="A1519" s="4" t="s">
        <v>6151</v>
      </c>
      <c r="B1519" s="5">
        <v>-2</v>
      </c>
    </row>
    <row r="1520" spans="1:2">
      <c r="A1520" s="4" t="s">
        <v>6152</v>
      </c>
      <c r="B1520" s="5">
        <v>-2</v>
      </c>
    </row>
    <row r="1521" spans="1:2">
      <c r="A1521" s="4" t="s">
        <v>6153</v>
      </c>
      <c r="B1521" s="5">
        <v>-2</v>
      </c>
    </row>
    <row r="1522" spans="1:2">
      <c r="A1522" s="4" t="s">
        <v>6154</v>
      </c>
      <c r="B1522" s="5">
        <v>-2</v>
      </c>
    </row>
    <row r="1523" spans="1:2">
      <c r="A1523" s="4" t="s">
        <v>6155</v>
      </c>
      <c r="B1523" s="5">
        <v>-1</v>
      </c>
    </row>
    <row r="1524" spans="1:2">
      <c r="A1524" s="4" t="s">
        <v>6156</v>
      </c>
      <c r="B1524" s="5">
        <v>-1</v>
      </c>
    </row>
    <row r="1525" spans="1:2">
      <c r="A1525" s="4" t="s">
        <v>6157</v>
      </c>
      <c r="B1525" s="5">
        <v>-1</v>
      </c>
    </row>
    <row r="1526" spans="1:2">
      <c r="A1526" s="4" t="s">
        <v>6158</v>
      </c>
      <c r="B1526" s="5">
        <v>-3</v>
      </c>
    </row>
    <row r="1527" spans="1:2">
      <c r="A1527" s="4" t="s">
        <v>6159</v>
      </c>
      <c r="B1527" s="5">
        <v>-5</v>
      </c>
    </row>
    <row r="1528" spans="1:2">
      <c r="A1528" s="4" t="s">
        <v>6160</v>
      </c>
      <c r="B1528" s="5">
        <v>-5</v>
      </c>
    </row>
    <row r="1529" spans="1:2">
      <c r="A1529" s="4" t="s">
        <v>6161</v>
      </c>
      <c r="B1529" s="5">
        <v>1</v>
      </c>
    </row>
    <row r="1530" spans="1:2">
      <c r="A1530" s="4" t="s">
        <v>6162</v>
      </c>
      <c r="B1530" s="5">
        <v>2</v>
      </c>
    </row>
    <row r="1531" spans="1:2">
      <c r="A1531" s="4" t="s">
        <v>6163</v>
      </c>
      <c r="B1531" s="5">
        <v>2</v>
      </c>
    </row>
    <row r="1532" spans="1:2">
      <c r="A1532" s="4" t="s">
        <v>6164</v>
      </c>
      <c r="B1532" s="5">
        <v>1</v>
      </c>
    </row>
    <row r="1533" spans="1:2">
      <c r="A1533" s="4" t="s">
        <v>6165</v>
      </c>
      <c r="B1533" s="5">
        <v>-2</v>
      </c>
    </row>
    <row r="1534" spans="1:2">
      <c r="A1534" s="4" t="s">
        <v>6166</v>
      </c>
      <c r="B1534" s="5">
        <v>-2</v>
      </c>
    </row>
    <row r="1535" spans="1:2">
      <c r="A1535" s="4" t="s">
        <v>6167</v>
      </c>
      <c r="B1535" s="5">
        <v>-2</v>
      </c>
    </row>
    <row r="1536" spans="1:2">
      <c r="A1536" s="4" t="s">
        <v>6168</v>
      </c>
      <c r="B1536" s="5">
        <v>-2</v>
      </c>
    </row>
    <row r="1537" spans="1:2">
      <c r="A1537" s="4" t="s">
        <v>6169</v>
      </c>
      <c r="B1537" s="5">
        <v>-2</v>
      </c>
    </row>
    <row r="1538" spans="1:2">
      <c r="A1538" s="4" t="s">
        <v>6170</v>
      </c>
      <c r="B1538" s="5">
        <v>-2</v>
      </c>
    </row>
    <row r="1539" spans="1:2">
      <c r="A1539" s="4" t="s">
        <v>6171</v>
      </c>
      <c r="B1539" s="5">
        <v>-2</v>
      </c>
    </row>
    <row r="1540" spans="1:2">
      <c r="A1540" s="4" t="s">
        <v>6172</v>
      </c>
      <c r="B1540" s="5">
        <v>-2</v>
      </c>
    </row>
    <row r="1541" spans="1:2">
      <c r="A1541" s="4" t="s">
        <v>6173</v>
      </c>
      <c r="B1541" s="5">
        <v>-3</v>
      </c>
    </row>
    <row r="1542" spans="1:2">
      <c r="A1542" s="4" t="s">
        <v>6174</v>
      </c>
      <c r="B1542" s="5">
        <v>-3</v>
      </c>
    </row>
    <row r="1543" spans="1:2">
      <c r="A1543" s="4" t="s">
        <v>6175</v>
      </c>
      <c r="B1543" s="5">
        <v>-2</v>
      </c>
    </row>
    <row r="1544" spans="1:2">
      <c r="A1544" s="4" t="s">
        <v>6176</v>
      </c>
      <c r="B1544" s="5">
        <v>-1</v>
      </c>
    </row>
    <row r="1545" spans="1:2">
      <c r="A1545" s="4" t="s">
        <v>6177</v>
      </c>
      <c r="B1545" s="5">
        <v>-2</v>
      </c>
    </row>
    <row r="1546" spans="1:2">
      <c r="A1546" s="4" t="s">
        <v>6178</v>
      </c>
      <c r="B1546" s="5">
        <v>-3</v>
      </c>
    </row>
    <row r="1547" spans="1:2">
      <c r="A1547" s="4" t="s">
        <v>6179</v>
      </c>
      <c r="B1547" s="5">
        <v>1</v>
      </c>
    </row>
    <row r="1548" spans="1:2">
      <c r="A1548" s="4" t="s">
        <v>6180</v>
      </c>
      <c r="B1548" s="5">
        <v>-2</v>
      </c>
    </row>
    <row r="1549" spans="1:2">
      <c r="A1549" s="4" t="s">
        <v>6181</v>
      </c>
      <c r="B1549" s="5">
        <v>-2</v>
      </c>
    </row>
    <row r="1550" spans="1:2">
      <c r="A1550" s="4" t="s">
        <v>6182</v>
      </c>
      <c r="B1550" s="5">
        <v>-2</v>
      </c>
    </row>
    <row r="1551" spans="1:2">
      <c r="A1551" s="4" t="s">
        <v>6183</v>
      </c>
      <c r="B1551" s="5">
        <v>-2</v>
      </c>
    </row>
    <row r="1552" spans="1:2">
      <c r="A1552" s="4" t="s">
        <v>6184</v>
      </c>
      <c r="B1552" s="5">
        <v>-2</v>
      </c>
    </row>
    <row r="1553" spans="1:2">
      <c r="A1553" s="4" t="s">
        <v>6185</v>
      </c>
      <c r="B1553" s="5">
        <v>-2</v>
      </c>
    </row>
    <row r="1554" spans="1:2">
      <c r="A1554" s="4" t="s">
        <v>6186</v>
      </c>
      <c r="B1554" s="5">
        <v>-2</v>
      </c>
    </row>
    <row r="1555" spans="1:2">
      <c r="A1555" s="4" t="s">
        <v>6187</v>
      </c>
      <c r="B1555" s="5">
        <v>-1</v>
      </c>
    </row>
    <row r="1556" spans="1:2">
      <c r="A1556" s="4" t="s">
        <v>6188</v>
      </c>
      <c r="B1556" s="5">
        <v>-2</v>
      </c>
    </row>
    <row r="1557" spans="1:2">
      <c r="A1557" s="4" t="s">
        <v>6189</v>
      </c>
      <c r="B1557" s="5">
        <v>-2</v>
      </c>
    </row>
    <row r="1558" spans="1:2">
      <c r="A1558" s="4" t="s">
        <v>6190</v>
      </c>
      <c r="B1558" s="5">
        <v>3</v>
      </c>
    </row>
    <row r="1559" spans="1:2">
      <c r="A1559" s="4" t="s">
        <v>6191</v>
      </c>
      <c r="B1559" s="5">
        <v>2</v>
      </c>
    </row>
    <row r="1560" spans="1:2">
      <c r="A1560" s="4" t="s">
        <v>546</v>
      </c>
      <c r="B1560" s="5">
        <v>-1</v>
      </c>
    </row>
    <row r="1561" spans="1:2">
      <c r="A1561" s="4" t="s">
        <v>6192</v>
      </c>
      <c r="B1561" s="5">
        <v>2</v>
      </c>
    </row>
    <row r="1562" spans="1:2">
      <c r="A1562" s="4" t="s">
        <v>6193</v>
      </c>
      <c r="B1562" s="5">
        <v>-1</v>
      </c>
    </row>
    <row r="1563" spans="1:2">
      <c r="A1563" s="4" t="s">
        <v>6194</v>
      </c>
      <c r="B1563" s="5">
        <v>-2</v>
      </c>
    </row>
    <row r="1564" spans="1:2">
      <c r="A1564" s="4" t="s">
        <v>6195</v>
      </c>
      <c r="B1564" s="5">
        <v>-2</v>
      </c>
    </row>
    <row r="1565" spans="1:2">
      <c r="A1565" s="4" t="s">
        <v>6196</v>
      </c>
      <c r="B1565" s="5">
        <v>-2</v>
      </c>
    </row>
    <row r="1566" spans="1:2">
      <c r="A1566" s="4" t="s">
        <v>6197</v>
      </c>
      <c r="B1566" s="5">
        <v>-2</v>
      </c>
    </row>
    <row r="1567" spans="1:2">
      <c r="A1567" s="4" t="s">
        <v>6198</v>
      </c>
      <c r="B1567" s="5">
        <v>2</v>
      </c>
    </row>
    <row r="1568" spans="1:2">
      <c r="A1568" s="4" t="s">
        <v>6199</v>
      </c>
      <c r="B1568" s="5">
        <v>-1</v>
      </c>
    </row>
    <row r="1569" spans="1:2">
      <c r="A1569" s="4" t="s">
        <v>6200</v>
      </c>
      <c r="B1569" s="5">
        <v>-3</v>
      </c>
    </row>
    <row r="1570" spans="1:2">
      <c r="A1570" s="4" t="s">
        <v>6201</v>
      </c>
      <c r="B1570" s="5">
        <v>-2</v>
      </c>
    </row>
    <row r="1571" spans="1:2">
      <c r="A1571" s="4" t="s">
        <v>6202</v>
      </c>
      <c r="B1571" s="5">
        <v>-2</v>
      </c>
    </row>
    <row r="1572" spans="1:2">
      <c r="A1572" s="4" t="s">
        <v>6203</v>
      </c>
      <c r="B1572" s="5">
        <v>-3</v>
      </c>
    </row>
    <row r="1573" spans="1:2">
      <c r="A1573" s="4" t="s">
        <v>6204</v>
      </c>
      <c r="B1573" s="5">
        <v>-2</v>
      </c>
    </row>
    <row r="1574" spans="1:2">
      <c r="A1574" s="4" t="s">
        <v>6205</v>
      </c>
      <c r="B1574" s="5">
        <v>2</v>
      </c>
    </row>
    <row r="1575" spans="1:2">
      <c r="A1575" s="4" t="s">
        <v>6206</v>
      </c>
      <c r="B1575" s="5">
        <v>-2</v>
      </c>
    </row>
    <row r="1576" spans="1:2">
      <c r="A1576" s="4" t="s">
        <v>6207</v>
      </c>
      <c r="B1576" s="5">
        <v>-2</v>
      </c>
    </row>
    <row r="1577" spans="1:2">
      <c r="A1577" s="4" t="s">
        <v>6208</v>
      </c>
      <c r="B1577" s="5">
        <v>-2</v>
      </c>
    </row>
    <row r="1578" spans="1:2">
      <c r="A1578" s="4" t="s">
        <v>6209</v>
      </c>
      <c r="B1578" s="5">
        <v>-2</v>
      </c>
    </row>
    <row r="1579" spans="1:2">
      <c r="A1579" s="4" t="s">
        <v>6210</v>
      </c>
      <c r="B1579" s="5">
        <v>-2</v>
      </c>
    </row>
    <row r="1580" spans="1:2">
      <c r="A1580" s="4" t="s">
        <v>6211</v>
      </c>
      <c r="B1580" s="5">
        <v>-2</v>
      </c>
    </row>
    <row r="1581" spans="1:2">
      <c r="A1581" s="4" t="s">
        <v>6212</v>
      </c>
      <c r="B1581" s="5">
        <v>-2</v>
      </c>
    </row>
    <row r="1582" spans="1:2">
      <c r="A1582" s="4" t="s">
        <v>6213</v>
      </c>
      <c r="B1582" s="5">
        <v>-2</v>
      </c>
    </row>
    <row r="1583" spans="1:2">
      <c r="A1583" s="4" t="s">
        <v>6214</v>
      </c>
      <c r="B1583" s="5">
        <v>-2</v>
      </c>
    </row>
    <row r="1584" spans="1:2">
      <c r="A1584" s="4" t="s">
        <v>6215</v>
      </c>
      <c r="B1584" s="5">
        <v>-2</v>
      </c>
    </row>
    <row r="1585" spans="1:2">
      <c r="A1585" s="4" t="s">
        <v>6216</v>
      </c>
      <c r="B1585" s="5">
        <v>-1</v>
      </c>
    </row>
    <row r="1586" spans="1:2">
      <c r="A1586" s="4" t="s">
        <v>6217</v>
      </c>
      <c r="B1586" s="5">
        <v>3</v>
      </c>
    </row>
    <row r="1587" spans="1:2">
      <c r="A1587" s="4" t="s">
        <v>6218</v>
      </c>
      <c r="B1587" s="5">
        <v>2</v>
      </c>
    </row>
    <row r="1588" spans="1:2">
      <c r="A1588" s="4" t="s">
        <v>6219</v>
      </c>
      <c r="B1588" s="5">
        <v>2</v>
      </c>
    </row>
    <row r="1589" spans="1:2">
      <c r="A1589" s="4" t="s">
        <v>6220</v>
      </c>
      <c r="B1589" s="5">
        <v>-2</v>
      </c>
    </row>
    <row r="1590" spans="1:2">
      <c r="A1590" s="4" t="s">
        <v>6221</v>
      </c>
      <c r="B1590" s="5">
        <v>-2</v>
      </c>
    </row>
    <row r="1591" spans="1:2">
      <c r="A1591" s="4" t="s">
        <v>6222</v>
      </c>
      <c r="B1591" s="5">
        <v>2</v>
      </c>
    </row>
    <row r="1592" spans="1:2">
      <c r="A1592" s="4" t="s">
        <v>6223</v>
      </c>
      <c r="B1592" s="5">
        <v>2</v>
      </c>
    </row>
    <row r="1593" spans="1:2">
      <c r="A1593" s="4" t="s">
        <v>6224</v>
      </c>
      <c r="B1593" s="5">
        <v>-2</v>
      </c>
    </row>
    <row r="1594" spans="1:2">
      <c r="A1594" s="4" t="s">
        <v>6225</v>
      </c>
      <c r="B1594" s="5">
        <v>-2</v>
      </c>
    </row>
    <row r="1595" spans="1:2">
      <c r="A1595" s="4" t="s">
        <v>6226</v>
      </c>
      <c r="B1595" s="5">
        <v>-2</v>
      </c>
    </row>
    <row r="1596" spans="1:2">
      <c r="A1596" s="4" t="s">
        <v>6227</v>
      </c>
      <c r="B1596" s="5">
        <v>-3</v>
      </c>
    </row>
    <row r="1597" spans="1:2">
      <c r="A1597" s="4" t="s">
        <v>6228</v>
      </c>
      <c r="B1597" s="5">
        <v>-3</v>
      </c>
    </row>
    <row r="1598" spans="1:2">
      <c r="A1598" s="4" t="s">
        <v>6229</v>
      </c>
      <c r="B1598" s="5">
        <v>2</v>
      </c>
    </row>
    <row r="1599" spans="1:2">
      <c r="A1599" s="4" t="s">
        <v>6230</v>
      </c>
      <c r="B1599" s="5">
        <v>5</v>
      </c>
    </row>
    <row r="1600" spans="1:2">
      <c r="A1600" s="4" t="s">
        <v>6231</v>
      </c>
      <c r="B1600" s="5">
        <v>4</v>
      </c>
    </row>
    <row r="1601" spans="1:2">
      <c r="A1601" s="4" t="s">
        <v>6232</v>
      </c>
      <c r="B1601" s="5">
        <v>-1</v>
      </c>
    </row>
    <row r="1602" spans="1:2">
      <c r="A1602" s="4" t="s">
        <v>6233</v>
      </c>
      <c r="B1602" s="5">
        <v>-1</v>
      </c>
    </row>
    <row r="1603" spans="1:2">
      <c r="A1603" s="4" t="s">
        <v>6234</v>
      </c>
      <c r="B1603" s="5">
        <v>-2</v>
      </c>
    </row>
    <row r="1604" spans="1:2">
      <c r="A1604" s="4" t="s">
        <v>6235</v>
      </c>
      <c r="B1604" s="5">
        <v>-2</v>
      </c>
    </row>
    <row r="1605" spans="1:2">
      <c r="A1605" s="4" t="s">
        <v>6236</v>
      </c>
      <c r="B1605" s="5">
        <v>-2</v>
      </c>
    </row>
    <row r="1606" spans="1:2">
      <c r="A1606" s="4" t="s">
        <v>6237</v>
      </c>
      <c r="B1606" s="5">
        <v>-2</v>
      </c>
    </row>
    <row r="1607" spans="1:2">
      <c r="A1607" s="4" t="s">
        <v>6238</v>
      </c>
      <c r="B1607" s="5">
        <v>-2</v>
      </c>
    </row>
    <row r="1608" spans="1:2">
      <c r="A1608" s="4" t="s">
        <v>6239</v>
      </c>
      <c r="B1608" s="5">
        <v>-2</v>
      </c>
    </row>
    <row r="1609" spans="1:2">
      <c r="A1609" s="4" t="s">
        <v>6240</v>
      </c>
      <c r="B1609" s="5">
        <v>-2</v>
      </c>
    </row>
    <row r="1610" spans="1:2">
      <c r="A1610" s="4" t="s">
        <v>6241</v>
      </c>
      <c r="B1610" s="5">
        <v>-2</v>
      </c>
    </row>
    <row r="1611" spans="1:2">
      <c r="A1611" s="4" t="s">
        <v>6242</v>
      </c>
      <c r="B1611" s="5">
        <v>-2</v>
      </c>
    </row>
    <row r="1612" spans="1:2">
      <c r="A1612" s="4" t="s">
        <v>6243</v>
      </c>
      <c r="B1612" s="5">
        <v>-2</v>
      </c>
    </row>
    <row r="1613" spans="1:2">
      <c r="A1613" s="4" t="s">
        <v>6244</v>
      </c>
      <c r="B1613" s="5">
        <v>-2</v>
      </c>
    </row>
    <row r="1614" spans="1:2">
      <c r="A1614" s="4" t="s">
        <v>6245</v>
      </c>
      <c r="B1614" s="5">
        <v>-2</v>
      </c>
    </row>
    <row r="1615" spans="1:2">
      <c r="A1615" s="4" t="s">
        <v>6246</v>
      </c>
      <c r="B1615" s="5">
        <v>-2</v>
      </c>
    </row>
    <row r="1616" spans="1:2">
      <c r="A1616" s="4" t="s">
        <v>6247</v>
      </c>
      <c r="B1616" s="5">
        <v>-1</v>
      </c>
    </row>
    <row r="1617" spans="1:2">
      <c r="A1617" s="4" t="s">
        <v>6248</v>
      </c>
      <c r="B1617" s="5">
        <v>-1</v>
      </c>
    </row>
    <row r="1618" spans="1:2">
      <c r="A1618" s="4" t="s">
        <v>6249</v>
      </c>
      <c r="B1618" s="5">
        <v>-2</v>
      </c>
    </row>
    <row r="1619" spans="1:2">
      <c r="A1619" s="4" t="s">
        <v>6250</v>
      </c>
      <c r="B1619" s="5">
        <v>-2</v>
      </c>
    </row>
    <row r="1620" spans="1:2">
      <c r="A1620" s="4" t="s">
        <v>6251</v>
      </c>
      <c r="B1620" s="5">
        <v>-3</v>
      </c>
    </row>
    <row r="1621" spans="1:2">
      <c r="A1621" s="4" t="s">
        <v>6252</v>
      </c>
      <c r="B1621" s="5">
        <v>-3</v>
      </c>
    </row>
    <row r="1622" spans="1:2">
      <c r="A1622" s="4" t="s">
        <v>6253</v>
      </c>
      <c r="B1622" s="5">
        <v>-3</v>
      </c>
    </row>
    <row r="1623" spans="1:2">
      <c r="A1623" s="4" t="s">
        <v>6254</v>
      </c>
      <c r="B1623" s="5">
        <v>3</v>
      </c>
    </row>
    <row r="1624" spans="1:2">
      <c r="A1624" s="4" t="s">
        <v>6255</v>
      </c>
      <c r="B1624" s="5">
        <v>-1</v>
      </c>
    </row>
    <row r="1625" spans="1:2">
      <c r="A1625" s="4" t="s">
        <v>6256</v>
      </c>
      <c r="B1625" s="5">
        <v>2</v>
      </c>
    </row>
    <row r="1626" spans="1:2">
      <c r="A1626" s="4" t="s">
        <v>6257</v>
      </c>
      <c r="B1626" s="5">
        <v>2</v>
      </c>
    </row>
    <row r="1627" spans="1:2">
      <c r="A1627" s="4" t="s">
        <v>6258</v>
      </c>
      <c r="B1627" s="5">
        <v>2</v>
      </c>
    </row>
    <row r="1628" spans="1:2">
      <c r="A1628" s="4" t="s">
        <v>6259</v>
      </c>
      <c r="B1628" s="5">
        <v>2</v>
      </c>
    </row>
    <row r="1629" spans="1:2">
      <c r="A1629" s="4" t="s">
        <v>6260</v>
      </c>
      <c r="B1629" s="5">
        <v>-1</v>
      </c>
    </row>
    <row r="1630" spans="1:2">
      <c r="A1630" s="4" t="s">
        <v>6261</v>
      </c>
      <c r="B1630" s="5">
        <v>2</v>
      </c>
    </row>
    <row r="1631" spans="1:2">
      <c r="A1631" s="4" t="s">
        <v>6262</v>
      </c>
      <c r="B1631" s="5">
        <v>-1</v>
      </c>
    </row>
    <row r="1632" spans="1:2">
      <c r="A1632" s="4" t="s">
        <v>6263</v>
      </c>
      <c r="B1632" s="5">
        <v>-1</v>
      </c>
    </row>
    <row r="1633" spans="1:2">
      <c r="A1633" s="4" t="s">
        <v>6264</v>
      </c>
      <c r="B1633" s="5">
        <v>-2</v>
      </c>
    </row>
    <row r="1634" spans="1:2">
      <c r="A1634" s="4" t="s">
        <v>6265</v>
      </c>
      <c r="B1634" s="5">
        <v>-1</v>
      </c>
    </row>
    <row r="1635" spans="1:2">
      <c r="A1635" s="4" t="s">
        <v>6266</v>
      </c>
      <c r="B1635" s="5">
        <v>2</v>
      </c>
    </row>
    <row r="1636" spans="1:2">
      <c r="A1636" s="4" t="s">
        <v>6267</v>
      </c>
      <c r="B1636" s="5">
        <v>2</v>
      </c>
    </row>
    <row r="1637" spans="1:2">
      <c r="A1637" s="4" t="s">
        <v>6268</v>
      </c>
      <c r="B1637" s="5">
        <v>2</v>
      </c>
    </row>
    <row r="1638" spans="1:2">
      <c r="A1638" s="4" t="s">
        <v>6269</v>
      </c>
      <c r="B1638" s="5">
        <v>-2</v>
      </c>
    </row>
    <row r="1639" spans="1:2">
      <c r="A1639" s="4" t="s">
        <v>6270</v>
      </c>
      <c r="B1639" s="5">
        <v>-1</v>
      </c>
    </row>
    <row r="1640" spans="1:2">
      <c r="A1640" s="4" t="s">
        <v>6271</v>
      </c>
      <c r="B1640" s="5">
        <v>3</v>
      </c>
    </row>
    <row r="1641" spans="1:2">
      <c r="A1641" s="4" t="s">
        <v>6272</v>
      </c>
      <c r="B1641" s="5">
        <v>2</v>
      </c>
    </row>
    <row r="1642" spans="1:2">
      <c r="A1642" s="4" t="s">
        <v>6273</v>
      </c>
      <c r="B1642" s="5">
        <v>3</v>
      </c>
    </row>
    <row r="1643" spans="1:2">
      <c r="A1643" s="4" t="s">
        <v>6274</v>
      </c>
      <c r="B1643" s="5">
        <v>2</v>
      </c>
    </row>
    <row r="1644" spans="1:2">
      <c r="A1644" s="4" t="s">
        <v>6275</v>
      </c>
      <c r="B1644" s="5">
        <v>-2</v>
      </c>
    </row>
    <row r="1645" spans="1:2">
      <c r="A1645" s="4" t="s">
        <v>6276</v>
      </c>
      <c r="B1645" s="5">
        <v>-3</v>
      </c>
    </row>
    <row r="1646" spans="1:2">
      <c r="A1646" s="4" t="s">
        <v>6277</v>
      </c>
      <c r="B1646" s="5">
        <v>-2</v>
      </c>
    </row>
    <row r="1647" spans="1:2">
      <c r="A1647" s="4" t="s">
        <v>6278</v>
      </c>
      <c r="B1647" s="5">
        <v>-2</v>
      </c>
    </row>
    <row r="1648" spans="1:2">
      <c r="A1648" s="4" t="s">
        <v>6279</v>
      </c>
      <c r="B1648" s="5">
        <v>-2</v>
      </c>
    </row>
    <row r="1649" spans="1:2">
      <c r="A1649" s="4" t="s">
        <v>6280</v>
      </c>
      <c r="B1649" s="5">
        <v>-2</v>
      </c>
    </row>
    <row r="1650" spans="1:2">
      <c r="A1650" s="4" t="s">
        <v>6281</v>
      </c>
      <c r="B1650" s="5">
        <v>-2</v>
      </c>
    </row>
    <row r="1651" spans="1:2">
      <c r="A1651" s="4" t="s">
        <v>6282</v>
      </c>
      <c r="B1651" s="5">
        <v>-2</v>
      </c>
    </row>
    <row r="1652" spans="1:2">
      <c r="A1652" s="4" t="s">
        <v>6283</v>
      </c>
      <c r="B1652" s="5">
        <v>-2</v>
      </c>
    </row>
    <row r="1653" spans="1:2">
      <c r="A1653" s="4" t="s">
        <v>6284</v>
      </c>
      <c r="B1653" s="5">
        <v>-2</v>
      </c>
    </row>
    <row r="1654" spans="1:2">
      <c r="A1654" s="4" t="s">
        <v>6285</v>
      </c>
      <c r="B1654" s="5">
        <v>-2</v>
      </c>
    </row>
    <row r="1655" spans="1:2">
      <c r="A1655" s="4" t="s">
        <v>6286</v>
      </c>
      <c r="B1655" s="5">
        <v>-2</v>
      </c>
    </row>
    <row r="1656" spans="1:2">
      <c r="A1656" s="4" t="s">
        <v>6287</v>
      </c>
      <c r="B1656" s="5">
        <v>-2</v>
      </c>
    </row>
    <row r="1657" spans="1:2">
      <c r="A1657" s="4" t="s">
        <v>6288</v>
      </c>
      <c r="B1657" s="5">
        <v>-2</v>
      </c>
    </row>
    <row r="1658" spans="1:2">
      <c r="A1658" s="4" t="s">
        <v>6289</v>
      </c>
      <c r="B1658" s="5">
        <v>-2</v>
      </c>
    </row>
    <row r="1659" spans="1:2">
      <c r="A1659" s="4" t="s">
        <v>6290</v>
      </c>
      <c r="B1659" s="5">
        <v>2</v>
      </c>
    </row>
    <row r="1660" spans="1:2">
      <c r="A1660" s="4" t="s">
        <v>6291</v>
      </c>
      <c r="B1660" s="5">
        <v>-1</v>
      </c>
    </row>
    <row r="1661" spans="1:2">
      <c r="A1661" s="4" t="s">
        <v>6292</v>
      </c>
      <c r="B1661" s="5">
        <v>-2</v>
      </c>
    </row>
    <row r="1662" spans="1:2">
      <c r="A1662" s="4" t="s">
        <v>6293</v>
      </c>
      <c r="B1662" s="5">
        <v>-2</v>
      </c>
    </row>
    <row r="1663" spans="1:2">
      <c r="A1663" s="4" t="s">
        <v>6294</v>
      </c>
      <c r="B1663" s="5">
        <v>-4</v>
      </c>
    </row>
    <row r="1664" spans="1:2">
      <c r="A1664" s="4" t="s">
        <v>6295</v>
      </c>
      <c r="B1664" s="5">
        <v>-4</v>
      </c>
    </row>
    <row r="1665" spans="1:2">
      <c r="A1665" s="4" t="s">
        <v>6296</v>
      </c>
      <c r="B1665" s="5">
        <v>-3</v>
      </c>
    </row>
    <row r="1666" spans="1:2">
      <c r="A1666" s="4" t="s">
        <v>6297</v>
      </c>
      <c r="B1666" s="5">
        <v>-2</v>
      </c>
    </row>
    <row r="1667" spans="1:2">
      <c r="A1667" s="4" t="s">
        <v>6298</v>
      </c>
      <c r="B1667" s="5">
        <v>-1</v>
      </c>
    </row>
    <row r="1668" spans="1:2">
      <c r="A1668" s="4" t="s">
        <v>6299</v>
      </c>
      <c r="B1668" s="5">
        <v>-2</v>
      </c>
    </row>
    <row r="1669" spans="1:2">
      <c r="A1669" s="4" t="s">
        <v>6300</v>
      </c>
      <c r="B1669" s="5">
        <v>2</v>
      </c>
    </row>
    <row r="1670" spans="1:2">
      <c r="A1670" s="4" t="s">
        <v>6301</v>
      </c>
      <c r="B1670" s="5">
        <v>3</v>
      </c>
    </row>
    <row r="1671" spans="1:2">
      <c r="A1671" s="4" t="s">
        <v>6302</v>
      </c>
      <c r="B1671" s="5">
        <v>1</v>
      </c>
    </row>
    <row r="1672" spans="1:2">
      <c r="A1672" s="4" t="s">
        <v>6303</v>
      </c>
      <c r="B1672" s="5">
        <v>3</v>
      </c>
    </row>
    <row r="1673" spans="1:2">
      <c r="A1673" s="4" t="s">
        <v>6304</v>
      </c>
      <c r="B1673" s="5">
        <v>3</v>
      </c>
    </row>
    <row r="1674" spans="1:2">
      <c r="A1674" s="4" t="s">
        <v>6305</v>
      </c>
      <c r="B1674" s="5">
        <v>-2</v>
      </c>
    </row>
    <row r="1675" spans="1:2">
      <c r="A1675" s="4" t="s">
        <v>6306</v>
      </c>
      <c r="B1675" s="5">
        <v>-2</v>
      </c>
    </row>
    <row r="1676" spans="1:2">
      <c r="A1676" s="4" t="s">
        <v>6307</v>
      </c>
      <c r="B1676" s="5">
        <v>-2</v>
      </c>
    </row>
    <row r="1677" spans="1:2">
      <c r="A1677" s="4" t="s">
        <v>6308</v>
      </c>
      <c r="B1677" s="5">
        <v>-2</v>
      </c>
    </row>
    <row r="1678" spans="1:2">
      <c r="A1678" s="4" t="s">
        <v>6309</v>
      </c>
      <c r="B1678" s="5">
        <v>-2</v>
      </c>
    </row>
    <row r="1679" spans="1:2">
      <c r="A1679" s="4" t="s">
        <v>6310</v>
      </c>
      <c r="B1679" s="5">
        <v>-2</v>
      </c>
    </row>
    <row r="1680" spans="1:2">
      <c r="A1680" s="4" t="s">
        <v>6311</v>
      </c>
      <c r="B1680" s="5">
        <v>-2</v>
      </c>
    </row>
    <row r="1681" spans="1:2">
      <c r="A1681" s="4" t="s">
        <v>6312</v>
      </c>
      <c r="B1681" s="5">
        <v>-2</v>
      </c>
    </row>
    <row r="1682" spans="1:2">
      <c r="A1682" s="4" t="s">
        <v>6313</v>
      </c>
      <c r="B1682" s="5">
        <v>-2</v>
      </c>
    </row>
    <row r="1683" spans="1:2">
      <c r="A1683" s="4" t="s">
        <v>6314</v>
      </c>
      <c r="B1683" s="5">
        <v>-2</v>
      </c>
    </row>
    <row r="1684" spans="1:2">
      <c r="A1684" s="4" t="s">
        <v>6315</v>
      </c>
      <c r="B1684" s="5">
        <v>-2</v>
      </c>
    </row>
    <row r="1685" spans="1:2">
      <c r="A1685" s="4" t="s">
        <v>6316</v>
      </c>
      <c r="B1685" s="5">
        <v>-2</v>
      </c>
    </row>
    <row r="1686" spans="1:2">
      <c r="A1686" s="4" t="s">
        <v>6317</v>
      </c>
      <c r="B1686" s="5">
        <v>3</v>
      </c>
    </row>
    <row r="1687" spans="1:2">
      <c r="A1687" s="4" t="s">
        <v>6318</v>
      </c>
      <c r="B1687" s="5">
        <v>2</v>
      </c>
    </row>
    <row r="1688" spans="1:2">
      <c r="A1688" s="4" t="s">
        <v>6319</v>
      </c>
      <c r="B1688" s="5">
        <v>2</v>
      </c>
    </row>
    <row r="1689" spans="1:2">
      <c r="A1689" s="4" t="s">
        <v>6320</v>
      </c>
      <c r="B1689" s="5">
        <v>-2</v>
      </c>
    </row>
    <row r="1690" spans="1:2">
      <c r="A1690" s="4" t="s">
        <v>6321</v>
      </c>
      <c r="B1690" s="5">
        <v>-1</v>
      </c>
    </row>
    <row r="1691" spans="1:2">
      <c r="A1691" s="4" t="s">
        <v>6322</v>
      </c>
      <c r="B1691" s="5">
        <v>-1</v>
      </c>
    </row>
    <row r="1692" spans="1:2">
      <c r="A1692" s="4" t="s">
        <v>6323</v>
      </c>
      <c r="B1692" s="5">
        <v>-1</v>
      </c>
    </row>
    <row r="1693" spans="1:2">
      <c r="A1693" s="4" t="s">
        <v>6324</v>
      </c>
      <c r="B1693" s="5">
        <v>-1</v>
      </c>
    </row>
    <row r="1694" spans="1:2">
      <c r="A1694" s="4" t="s">
        <v>6325</v>
      </c>
      <c r="B1694" s="5">
        <v>-1</v>
      </c>
    </row>
    <row r="1695" spans="1:2">
      <c r="A1695" s="4" t="s">
        <v>6326</v>
      </c>
      <c r="B1695" s="5">
        <v>2</v>
      </c>
    </row>
    <row r="1696" spans="1:2">
      <c r="A1696" s="4" t="s">
        <v>6327</v>
      </c>
      <c r="B1696" s="5">
        <v>-2</v>
      </c>
    </row>
    <row r="1697" spans="1:2">
      <c r="A1697" s="4" t="s">
        <v>6328</v>
      </c>
      <c r="B1697" s="5">
        <v>3</v>
      </c>
    </row>
    <row r="1698" spans="1:2">
      <c r="A1698" s="4" t="s">
        <v>6329</v>
      </c>
      <c r="B1698" s="5">
        <v>3</v>
      </c>
    </row>
    <row r="1699" spans="1:2">
      <c r="A1699" s="4" t="s">
        <v>6330</v>
      </c>
      <c r="B1699" s="5">
        <v>3</v>
      </c>
    </row>
    <row r="1700" spans="1:2">
      <c r="A1700" s="4" t="s">
        <v>6331</v>
      </c>
      <c r="B1700" s="5">
        <v>3</v>
      </c>
    </row>
    <row r="1701" spans="1:2">
      <c r="A1701" s="4" t="s">
        <v>6332</v>
      </c>
      <c r="B1701" s="5">
        <v>1</v>
      </c>
    </row>
    <row r="1702" spans="1:2">
      <c r="A1702" s="4" t="s">
        <v>6333</v>
      </c>
      <c r="B1702" s="5">
        <v>1</v>
      </c>
    </row>
    <row r="1703" spans="1:2">
      <c r="A1703" s="4" t="s">
        <v>6334</v>
      </c>
      <c r="B1703" s="5">
        <v>1</v>
      </c>
    </row>
    <row r="1704" spans="1:2">
      <c r="A1704" s="4" t="s">
        <v>6335</v>
      </c>
      <c r="B1704" s="5">
        <v>-2</v>
      </c>
    </row>
    <row r="1705" spans="1:2">
      <c r="A1705" s="4" t="s">
        <v>6336</v>
      </c>
      <c r="B1705" s="5">
        <v>-2</v>
      </c>
    </row>
    <row r="1706" spans="1:2">
      <c r="A1706" s="4" t="s">
        <v>6337</v>
      </c>
      <c r="B1706" s="5">
        <v>1</v>
      </c>
    </row>
    <row r="1707" spans="1:2">
      <c r="A1707" s="4" t="s">
        <v>6338</v>
      </c>
      <c r="B1707" s="5">
        <v>-1</v>
      </c>
    </row>
    <row r="1708" spans="1:2">
      <c r="A1708" s="4" t="s">
        <v>6339</v>
      </c>
      <c r="B1708" s="5">
        <v>-2</v>
      </c>
    </row>
    <row r="1709" spans="1:2">
      <c r="A1709" s="4" t="s">
        <v>6340</v>
      </c>
      <c r="B1709" s="5">
        <v>-1</v>
      </c>
    </row>
    <row r="1710" spans="1:2">
      <c r="A1710" s="4" t="s">
        <v>6341</v>
      </c>
      <c r="B1710" s="5">
        <v>-1</v>
      </c>
    </row>
    <row r="1711" spans="1:2">
      <c r="A1711" s="4" t="s">
        <v>6342</v>
      </c>
      <c r="B1711" s="5">
        <v>-1</v>
      </c>
    </row>
    <row r="1712" spans="1:2">
      <c r="A1712" s="4" t="s">
        <v>6343</v>
      </c>
      <c r="B1712" s="5">
        <v>1</v>
      </c>
    </row>
    <row r="1713" spans="1:2">
      <c r="A1713" s="4" t="s">
        <v>6344</v>
      </c>
      <c r="B1713" s="5">
        <v>-1</v>
      </c>
    </row>
    <row r="1714" spans="1:2">
      <c r="A1714" s="4" t="s">
        <v>6345</v>
      </c>
      <c r="B1714" s="5">
        <v>-1</v>
      </c>
    </row>
    <row r="1715" spans="1:2">
      <c r="A1715" s="4" t="s">
        <v>6346</v>
      </c>
      <c r="B1715" s="5">
        <v>-1</v>
      </c>
    </row>
    <row r="1716" spans="1:2">
      <c r="A1716" s="4" t="s">
        <v>6347</v>
      </c>
      <c r="B1716" s="5">
        <v>-1</v>
      </c>
    </row>
    <row r="1717" spans="1:2">
      <c r="A1717" s="4" t="s">
        <v>6348</v>
      </c>
      <c r="B1717" s="5">
        <v>-5</v>
      </c>
    </row>
    <row r="1718" spans="1:2">
      <c r="A1718" s="4" t="s">
        <v>6349</v>
      </c>
      <c r="B1718" s="5">
        <v>-2</v>
      </c>
    </row>
    <row r="1719" spans="1:2">
      <c r="A1719" s="4" t="s">
        <v>6350</v>
      </c>
      <c r="B1719" s="5">
        <v>-2</v>
      </c>
    </row>
    <row r="1720" spans="1:2">
      <c r="A1720" s="4" t="s">
        <v>6351</v>
      </c>
      <c r="B1720" s="5">
        <v>-2</v>
      </c>
    </row>
    <row r="1721" spans="1:2">
      <c r="A1721" s="4" t="s">
        <v>6352</v>
      </c>
      <c r="B1721" s="5">
        <v>2</v>
      </c>
    </row>
    <row r="1722" spans="1:2">
      <c r="A1722" s="4" t="s">
        <v>6353</v>
      </c>
      <c r="B1722" s="5">
        <v>2</v>
      </c>
    </row>
    <row r="1723" spans="1:2">
      <c r="A1723" s="4" t="s">
        <v>6354</v>
      </c>
      <c r="B1723" s="5">
        <v>-2</v>
      </c>
    </row>
    <row r="1724" spans="1:2">
      <c r="A1724" s="4" t="s">
        <v>6355</v>
      </c>
      <c r="B1724" s="5">
        <v>-2</v>
      </c>
    </row>
    <row r="1725" spans="1:2">
      <c r="A1725" s="4" t="s">
        <v>6356</v>
      </c>
      <c r="B1725" s="5">
        <v>-2</v>
      </c>
    </row>
    <row r="1726" spans="1:2">
      <c r="A1726" s="4" t="s">
        <v>6357</v>
      </c>
      <c r="B1726" s="5">
        <v>2</v>
      </c>
    </row>
    <row r="1727" spans="1:2">
      <c r="A1727" s="4" t="s">
        <v>6358</v>
      </c>
      <c r="B1727" s="5">
        <v>2</v>
      </c>
    </row>
    <row r="1728" spans="1:2">
      <c r="A1728" s="4" t="s">
        <v>6359</v>
      </c>
      <c r="B1728" s="5">
        <v>1</v>
      </c>
    </row>
    <row r="1729" spans="1:2">
      <c r="A1729" s="4" t="s">
        <v>6360</v>
      </c>
      <c r="B1729" s="5">
        <v>1</v>
      </c>
    </row>
    <row r="1730" spans="1:2">
      <c r="A1730" s="4" t="s">
        <v>6361</v>
      </c>
      <c r="B1730" s="5">
        <v>1</v>
      </c>
    </row>
    <row r="1731" spans="1:2">
      <c r="A1731" s="4" t="s">
        <v>6362</v>
      </c>
      <c r="B1731" s="5">
        <v>1</v>
      </c>
    </row>
    <row r="1732" spans="1:2">
      <c r="A1732" s="4" t="s">
        <v>6363</v>
      </c>
      <c r="B1732" s="5">
        <v>1</v>
      </c>
    </row>
    <row r="1733" spans="1:2">
      <c r="A1733" s="4" t="s">
        <v>6364</v>
      </c>
      <c r="B1733" s="5">
        <v>1</v>
      </c>
    </row>
    <row r="1734" spans="1:2">
      <c r="A1734" s="4" t="s">
        <v>6365</v>
      </c>
      <c r="B1734" s="5">
        <v>1</v>
      </c>
    </row>
    <row r="1735" spans="1:2">
      <c r="A1735" s="4" t="s">
        <v>6366</v>
      </c>
      <c r="B1735" s="5">
        <v>-2</v>
      </c>
    </row>
    <row r="1736" spans="1:2">
      <c r="A1736" s="4" t="s">
        <v>6367</v>
      </c>
      <c r="B1736" s="5">
        <v>-1</v>
      </c>
    </row>
    <row r="1737" spans="1:2">
      <c r="A1737" s="4" t="s">
        <v>6368</v>
      </c>
      <c r="B1737" s="5">
        <v>-2</v>
      </c>
    </row>
    <row r="1738" spans="1:2">
      <c r="A1738" s="4" t="s">
        <v>6369</v>
      </c>
      <c r="B1738" s="5">
        <v>-1</v>
      </c>
    </row>
    <row r="1739" spans="1:2">
      <c r="A1739" s="4" t="s">
        <v>6370</v>
      </c>
      <c r="B1739" s="5">
        <v>-1</v>
      </c>
    </row>
    <row r="1740" spans="1:2">
      <c r="A1740" s="4" t="s">
        <v>6371</v>
      </c>
      <c r="B1740" s="5">
        <v>1</v>
      </c>
    </row>
    <row r="1741" spans="1:2">
      <c r="A1741" s="4" t="s">
        <v>6372</v>
      </c>
      <c r="B1741" s="5">
        <v>1</v>
      </c>
    </row>
    <row r="1742" spans="1:2">
      <c r="A1742" s="4" t="s">
        <v>6373</v>
      </c>
      <c r="B1742" s="5">
        <v>3</v>
      </c>
    </row>
    <row r="1743" spans="1:2">
      <c r="A1743" s="4" t="s">
        <v>6374</v>
      </c>
      <c r="B1743" s="5">
        <v>1</v>
      </c>
    </row>
    <row r="1744" spans="1:2">
      <c r="A1744" s="4" t="s">
        <v>6375</v>
      </c>
      <c r="B1744" s="5">
        <v>1</v>
      </c>
    </row>
    <row r="1745" spans="1:2">
      <c r="A1745" s="4" t="s">
        <v>6376</v>
      </c>
      <c r="B1745" s="5">
        <v>1</v>
      </c>
    </row>
    <row r="1746" spans="1:2">
      <c r="A1746" s="4" t="s">
        <v>6377</v>
      </c>
      <c r="B1746" s="5">
        <v>-2</v>
      </c>
    </row>
    <row r="1747" spans="1:2">
      <c r="A1747" s="4" t="s">
        <v>6378</v>
      </c>
      <c r="B1747" s="5">
        <v>-2</v>
      </c>
    </row>
    <row r="1748" spans="1:2">
      <c r="A1748" s="4" t="s">
        <v>6379</v>
      </c>
      <c r="B1748" s="5">
        <v>-2</v>
      </c>
    </row>
    <row r="1749" spans="1:2">
      <c r="A1749" s="4" t="s">
        <v>6380</v>
      </c>
      <c r="B1749" s="5">
        <v>-2</v>
      </c>
    </row>
    <row r="1750" spans="1:2">
      <c r="A1750" s="4" t="s">
        <v>6381</v>
      </c>
      <c r="B1750" s="5">
        <v>2</v>
      </c>
    </row>
    <row r="1751" spans="1:2">
      <c r="A1751" s="4" t="s">
        <v>6382</v>
      </c>
      <c r="B1751" s="5">
        <v>2</v>
      </c>
    </row>
    <row r="1752" spans="1:2">
      <c r="A1752" s="4" t="s">
        <v>6383</v>
      </c>
      <c r="B1752" s="5">
        <v>-1</v>
      </c>
    </row>
    <row r="1753" spans="1:2">
      <c r="A1753" s="4" t="s">
        <v>6384</v>
      </c>
      <c r="B1753" s="5">
        <v>-1</v>
      </c>
    </row>
    <row r="1754" spans="1:2">
      <c r="A1754" s="4" t="s">
        <v>6385</v>
      </c>
      <c r="B1754" s="5">
        <v>-1</v>
      </c>
    </row>
    <row r="1755" spans="1:2">
      <c r="A1755" s="4" t="s">
        <v>6386</v>
      </c>
      <c r="B1755" s="5">
        <v>-1</v>
      </c>
    </row>
    <row r="1756" spans="1:2">
      <c r="A1756" s="4" t="s">
        <v>6387</v>
      </c>
      <c r="B1756" s="5">
        <v>-3</v>
      </c>
    </row>
    <row r="1757" spans="1:2">
      <c r="A1757" s="4" t="s">
        <v>6388</v>
      </c>
      <c r="B1757" s="5">
        <v>-2</v>
      </c>
    </row>
    <row r="1758" spans="1:2">
      <c r="A1758" s="4" t="s">
        <v>6389</v>
      </c>
      <c r="B1758" s="5">
        <v>-2</v>
      </c>
    </row>
    <row r="1759" spans="1:2">
      <c r="A1759" s="4" t="s">
        <v>6390</v>
      </c>
      <c r="B1759" s="5">
        <v>-2</v>
      </c>
    </row>
    <row r="1760" spans="1:2">
      <c r="A1760" s="4" t="s">
        <v>6391</v>
      </c>
      <c r="B1760" s="5">
        <v>-2</v>
      </c>
    </row>
    <row r="1761" spans="1:2">
      <c r="A1761" s="4" t="s">
        <v>6392</v>
      </c>
      <c r="B1761" s="5">
        <v>-1</v>
      </c>
    </row>
    <row r="1762" spans="1:2">
      <c r="A1762" s="4" t="s">
        <v>6393</v>
      </c>
      <c r="B1762" s="5">
        <v>-2</v>
      </c>
    </row>
    <row r="1763" spans="1:2">
      <c r="A1763" s="4" t="s">
        <v>6394</v>
      </c>
      <c r="B1763" s="5">
        <v>-2</v>
      </c>
    </row>
    <row r="1764" spans="1:2">
      <c r="A1764" s="4" t="s">
        <v>6395</v>
      </c>
      <c r="B1764" s="5">
        <v>-2</v>
      </c>
    </row>
    <row r="1765" spans="1:2">
      <c r="A1765" s="4" t="s">
        <v>6396</v>
      </c>
      <c r="B1765" s="5">
        <v>-1</v>
      </c>
    </row>
    <row r="1766" spans="1:2">
      <c r="A1766" s="4" t="s">
        <v>6397</v>
      </c>
      <c r="B1766" s="5">
        <v>-1</v>
      </c>
    </row>
    <row r="1767" spans="1:2">
      <c r="A1767" s="4" t="s">
        <v>6398</v>
      </c>
      <c r="B1767" s="5">
        <v>-3</v>
      </c>
    </row>
    <row r="1768" spans="1:2">
      <c r="A1768" s="4" t="s">
        <v>6399</v>
      </c>
      <c r="B1768" s="5">
        <v>-3</v>
      </c>
    </row>
    <row r="1769" spans="1:2">
      <c r="A1769" s="4" t="s">
        <v>6400</v>
      </c>
      <c r="B1769" s="5">
        <v>-3</v>
      </c>
    </row>
    <row r="1770" spans="1:2">
      <c r="A1770" s="4" t="s">
        <v>6401</v>
      </c>
      <c r="B1770" s="5">
        <v>-2</v>
      </c>
    </row>
    <row r="1771" spans="1:2">
      <c r="A1771" s="4" t="s">
        <v>6402</v>
      </c>
      <c r="B1771" s="5">
        <v>-2</v>
      </c>
    </row>
    <row r="1772" spans="1:2">
      <c r="A1772" s="4" t="s">
        <v>6403</v>
      </c>
      <c r="B1772" s="5">
        <v>-1</v>
      </c>
    </row>
    <row r="1773" spans="1:2">
      <c r="A1773" s="4" t="s">
        <v>6404</v>
      </c>
      <c r="B1773" s="5">
        <v>-3</v>
      </c>
    </row>
    <row r="1774" spans="1:2">
      <c r="A1774" s="4" t="s">
        <v>6405</v>
      </c>
      <c r="B1774" s="5">
        <v>-3</v>
      </c>
    </row>
    <row r="1775" spans="1:2">
      <c r="A1775" s="4" t="s">
        <v>6406</v>
      </c>
      <c r="B1775" s="5">
        <v>-3</v>
      </c>
    </row>
    <row r="1776" spans="1:2">
      <c r="A1776" s="4" t="s">
        <v>6407</v>
      </c>
      <c r="B1776" s="5">
        <v>-3</v>
      </c>
    </row>
    <row r="1777" spans="1:2">
      <c r="A1777" s="4" t="s">
        <v>6408</v>
      </c>
      <c r="B1777" s="5">
        <v>-4</v>
      </c>
    </row>
    <row r="1778" spans="1:2">
      <c r="A1778" s="4" t="s">
        <v>6409</v>
      </c>
      <c r="B1778" s="5">
        <v>-4</v>
      </c>
    </row>
    <row r="1779" spans="1:2">
      <c r="A1779" s="4" t="s">
        <v>6410</v>
      </c>
      <c r="B1779" s="5">
        <v>2</v>
      </c>
    </row>
    <row r="1780" spans="1:2">
      <c r="A1780" s="4" t="s">
        <v>6411</v>
      </c>
      <c r="B1780" s="5">
        <v>2</v>
      </c>
    </row>
    <row r="1781" spans="1:2">
      <c r="A1781" s="4" t="s">
        <v>6412</v>
      </c>
      <c r="B1781" s="5">
        <v>2</v>
      </c>
    </row>
    <row r="1782" spans="1:2">
      <c r="A1782" s="4" t="s">
        <v>6413</v>
      </c>
      <c r="B1782" s="5">
        <v>4</v>
      </c>
    </row>
    <row r="1783" spans="1:2">
      <c r="A1783" s="4" t="s">
        <v>6414</v>
      </c>
      <c r="B1783" s="5">
        <v>-2</v>
      </c>
    </row>
    <row r="1784" spans="1:2">
      <c r="A1784" s="4" t="s">
        <v>6415</v>
      </c>
      <c r="B1784" s="5">
        <v>2</v>
      </c>
    </row>
    <row r="1785" spans="1:2">
      <c r="A1785" s="4" t="s">
        <v>6416</v>
      </c>
      <c r="B1785" s="5">
        <v>1</v>
      </c>
    </row>
    <row r="1786" spans="1:2">
      <c r="A1786" s="4" t="s">
        <v>6417</v>
      </c>
      <c r="B1786" s="5">
        <v>1</v>
      </c>
    </row>
    <row r="1787" spans="1:2">
      <c r="A1787" s="4" t="s">
        <v>6418</v>
      </c>
      <c r="B1787" s="5">
        <v>1</v>
      </c>
    </row>
    <row r="1788" spans="1:2">
      <c r="A1788" s="4" t="s">
        <v>6419</v>
      </c>
      <c r="B1788" s="5">
        <v>1</v>
      </c>
    </row>
    <row r="1789" spans="1:2">
      <c r="A1789" s="4" t="s">
        <v>6420</v>
      </c>
      <c r="B1789" s="5">
        <v>1</v>
      </c>
    </row>
    <row r="1790" spans="1:2">
      <c r="A1790" s="4" t="s">
        <v>6421</v>
      </c>
      <c r="B1790" s="5">
        <v>1</v>
      </c>
    </row>
    <row r="1791" spans="1:2">
      <c r="A1791" s="4" t="s">
        <v>6422</v>
      </c>
      <c r="B1791" s="5">
        <v>1</v>
      </c>
    </row>
    <row r="1792" spans="1:2">
      <c r="A1792" s="4" t="s">
        <v>6423</v>
      </c>
      <c r="B1792" s="5">
        <v>2</v>
      </c>
    </row>
    <row r="1793" spans="1:2">
      <c r="A1793" s="4" t="s">
        <v>6424</v>
      </c>
      <c r="B1793" s="5">
        <v>-2</v>
      </c>
    </row>
    <row r="1794" spans="1:2">
      <c r="A1794" s="4" t="s">
        <v>6425</v>
      </c>
      <c r="B1794" s="5">
        <v>-2</v>
      </c>
    </row>
    <row r="1795" spans="1:2">
      <c r="A1795" s="4" t="s">
        <v>6426</v>
      </c>
      <c r="B1795" s="5">
        <v>-2</v>
      </c>
    </row>
    <row r="1796" spans="1:2">
      <c r="A1796" s="4" t="s">
        <v>6427</v>
      </c>
      <c r="B1796" s="5">
        <v>2</v>
      </c>
    </row>
    <row r="1797" spans="1:2">
      <c r="A1797" s="4" t="s">
        <v>6428</v>
      </c>
      <c r="B1797" s="5">
        <v>2</v>
      </c>
    </row>
    <row r="1798" spans="1:2">
      <c r="A1798" s="4" t="s">
        <v>6429</v>
      </c>
      <c r="B1798" s="5">
        <v>2</v>
      </c>
    </row>
    <row r="1799" spans="1:2">
      <c r="A1799" s="4" t="s">
        <v>6430</v>
      </c>
      <c r="B1799" s="5">
        <v>2</v>
      </c>
    </row>
    <row r="1800" spans="1:2">
      <c r="A1800" s="4" t="s">
        <v>6431</v>
      </c>
      <c r="B1800" s="5">
        <v>-2</v>
      </c>
    </row>
    <row r="1801" spans="1:2">
      <c r="A1801" s="4" t="s">
        <v>6432</v>
      </c>
      <c r="B1801" s="5">
        <v>-2</v>
      </c>
    </row>
    <row r="1802" spans="1:2">
      <c r="A1802" s="4" t="s">
        <v>6433</v>
      </c>
      <c r="B1802" s="5">
        <v>-2</v>
      </c>
    </row>
    <row r="1803" spans="1:2">
      <c r="A1803" s="4" t="s">
        <v>6434</v>
      </c>
      <c r="B1803" s="5">
        <v>-2</v>
      </c>
    </row>
    <row r="1804" spans="1:2">
      <c r="A1804" s="4" t="s">
        <v>6435</v>
      </c>
      <c r="B1804" s="5">
        <v>-2</v>
      </c>
    </row>
    <row r="1805" spans="1:2">
      <c r="A1805" s="4" t="s">
        <v>6436</v>
      </c>
      <c r="B1805" s="5">
        <v>-2</v>
      </c>
    </row>
    <row r="1806" spans="1:2">
      <c r="A1806" s="4" t="s">
        <v>6437</v>
      </c>
      <c r="B1806" s="5">
        <v>-2</v>
      </c>
    </row>
    <row r="1807" spans="1:2">
      <c r="A1807" s="4" t="s">
        <v>6438</v>
      </c>
      <c r="B1807" s="5">
        <v>-2</v>
      </c>
    </row>
    <row r="1808" spans="1:2">
      <c r="A1808" s="4" t="s">
        <v>6439</v>
      </c>
      <c r="B1808" s="5">
        <v>-1</v>
      </c>
    </row>
    <row r="1809" spans="1:2">
      <c r="A1809" s="4" t="s">
        <v>6440</v>
      </c>
      <c r="B1809" s="5">
        <v>-1</v>
      </c>
    </row>
    <row r="1810" spans="1:2">
      <c r="A1810" s="4" t="s">
        <v>6441</v>
      </c>
      <c r="B1810" s="5">
        <v>-1</v>
      </c>
    </row>
    <row r="1811" spans="1:2">
      <c r="A1811" s="4" t="s">
        <v>6442</v>
      </c>
      <c r="B1811" s="5">
        <v>-1</v>
      </c>
    </row>
    <row r="1812" spans="1:2">
      <c r="A1812" s="4" t="s">
        <v>6443</v>
      </c>
      <c r="B1812" s="5">
        <v>4</v>
      </c>
    </row>
    <row r="1813" spans="1:2">
      <c r="A1813" s="4" t="s">
        <v>6444</v>
      </c>
      <c r="B1813" s="5">
        <v>4</v>
      </c>
    </row>
    <row r="1814" spans="1:2">
      <c r="A1814" s="4" t="s">
        <v>6445</v>
      </c>
      <c r="B1814" s="5">
        <v>4</v>
      </c>
    </row>
    <row r="1815" spans="1:2">
      <c r="A1815" s="4" t="s">
        <v>6446</v>
      </c>
      <c r="B1815" s="5">
        <v>4</v>
      </c>
    </row>
    <row r="1816" spans="1:2">
      <c r="A1816" s="4" t="s">
        <v>6447</v>
      </c>
      <c r="B1816" s="5">
        <v>2</v>
      </c>
    </row>
    <row r="1817" spans="1:2">
      <c r="A1817" s="4" t="s">
        <v>6448</v>
      </c>
      <c r="B1817" s="5">
        <v>-1</v>
      </c>
    </row>
    <row r="1818" spans="1:2">
      <c r="A1818" s="4" t="s">
        <v>6449</v>
      </c>
      <c r="B1818" s="5">
        <v>2</v>
      </c>
    </row>
    <row r="1819" spans="1:2">
      <c r="A1819" s="4" t="s">
        <v>6450</v>
      </c>
      <c r="B1819" s="5">
        <v>1</v>
      </c>
    </row>
    <row r="1820" spans="1:2">
      <c r="A1820" s="4" t="s">
        <v>6451</v>
      </c>
      <c r="B1820" s="5">
        <v>2</v>
      </c>
    </row>
    <row r="1821" spans="1:2">
      <c r="A1821" s="4" t="s">
        <v>6452</v>
      </c>
      <c r="B1821" s="5">
        <v>1</v>
      </c>
    </row>
    <row r="1822" spans="1:2">
      <c r="A1822" s="4" t="s">
        <v>6453</v>
      </c>
      <c r="B1822" s="5">
        <v>2</v>
      </c>
    </row>
    <row r="1823" spans="1:2">
      <c r="A1823" s="4" t="s">
        <v>6454</v>
      </c>
      <c r="B1823" s="5">
        <v>2</v>
      </c>
    </row>
    <row r="1824" spans="1:2">
      <c r="A1824" s="4" t="s">
        <v>6455</v>
      </c>
      <c r="B1824" s="5">
        <v>2</v>
      </c>
    </row>
    <row r="1825" spans="1:2">
      <c r="A1825" s="4" t="s">
        <v>6456</v>
      </c>
      <c r="B1825" s="5">
        <v>-2</v>
      </c>
    </row>
    <row r="1826" spans="1:2">
      <c r="A1826" s="4" t="s">
        <v>6457</v>
      </c>
      <c r="B1826" s="5">
        <v>-1</v>
      </c>
    </row>
    <row r="1827" spans="1:2">
      <c r="A1827" s="4" t="s">
        <v>6458</v>
      </c>
      <c r="B1827" s="5">
        <v>-2</v>
      </c>
    </row>
    <row r="1828" spans="1:2">
      <c r="A1828" s="4" t="s">
        <v>6459</v>
      </c>
      <c r="B1828" s="5">
        <v>2</v>
      </c>
    </row>
    <row r="1829" spans="1:2">
      <c r="A1829" s="4" t="s">
        <v>6460</v>
      </c>
      <c r="B1829" s="5">
        <v>2</v>
      </c>
    </row>
    <row r="1830" spans="1:2">
      <c r="A1830" s="4" t="s">
        <v>6461</v>
      </c>
      <c r="B1830" s="5">
        <v>2</v>
      </c>
    </row>
    <row r="1831" spans="1:2">
      <c r="A1831" s="4" t="s">
        <v>6462</v>
      </c>
      <c r="B1831" s="5">
        <v>-2</v>
      </c>
    </row>
    <row r="1832" spans="1:2">
      <c r="A1832" s="4" t="s">
        <v>6463</v>
      </c>
      <c r="B1832" s="5">
        <v>-1</v>
      </c>
    </row>
    <row r="1833" spans="1:2">
      <c r="A1833" s="4" t="s">
        <v>6464</v>
      </c>
      <c r="B1833" s="5">
        <v>-1</v>
      </c>
    </row>
    <row r="1834" spans="1:2">
      <c r="A1834" s="4" t="s">
        <v>6465</v>
      </c>
      <c r="B1834" s="5">
        <v>-1</v>
      </c>
    </row>
    <row r="1835" spans="1:2">
      <c r="A1835" s="4" t="s">
        <v>6466</v>
      </c>
      <c r="B1835" s="5">
        <v>-1</v>
      </c>
    </row>
    <row r="1836" spans="1:2">
      <c r="A1836" s="4" t="s">
        <v>6467</v>
      </c>
      <c r="B1836" s="5">
        <v>2</v>
      </c>
    </row>
    <row r="1837" spans="1:2">
      <c r="A1837" s="4" t="s">
        <v>6468</v>
      </c>
      <c r="B1837" s="5">
        <v>2</v>
      </c>
    </row>
    <row r="1838" spans="1:2">
      <c r="A1838" s="4" t="s">
        <v>6469</v>
      </c>
      <c r="B1838" s="5">
        <v>2</v>
      </c>
    </row>
    <row r="1839" spans="1:2">
      <c r="A1839" s="4" t="s">
        <v>6470</v>
      </c>
      <c r="B1839" s="5">
        <v>2</v>
      </c>
    </row>
    <row r="1840" spans="1:2">
      <c r="A1840" s="4" t="s">
        <v>6471</v>
      </c>
      <c r="B1840" s="5">
        <v>2</v>
      </c>
    </row>
    <row r="1841" spans="1:2">
      <c r="A1841" s="4" t="s">
        <v>6472</v>
      </c>
      <c r="B1841" s="5">
        <v>2</v>
      </c>
    </row>
    <row r="1842" spans="1:2">
      <c r="A1842" s="4" t="s">
        <v>6473</v>
      </c>
      <c r="B1842" s="5">
        <v>2</v>
      </c>
    </row>
    <row r="1843" spans="1:2">
      <c r="A1843" s="4" t="s">
        <v>6474</v>
      </c>
      <c r="B1843" s="5">
        <v>2</v>
      </c>
    </row>
    <row r="1844" spans="1:2">
      <c r="A1844" s="4" t="s">
        <v>6475</v>
      </c>
      <c r="B1844" s="5">
        <v>2</v>
      </c>
    </row>
    <row r="1845" spans="1:2">
      <c r="A1845" s="4" t="s">
        <v>6476</v>
      </c>
      <c r="B1845" s="5">
        <v>-2</v>
      </c>
    </row>
    <row r="1846" spans="1:2">
      <c r="A1846" s="4" t="s">
        <v>6477</v>
      </c>
      <c r="B1846" s="5">
        <v>1</v>
      </c>
    </row>
    <row r="1847" spans="1:2">
      <c r="A1847" s="4" t="s">
        <v>6478</v>
      </c>
      <c r="B1847" s="5">
        <v>1</v>
      </c>
    </row>
    <row r="1848" spans="1:2">
      <c r="A1848" s="4" t="s">
        <v>6479</v>
      </c>
      <c r="B1848" s="5">
        <v>1</v>
      </c>
    </row>
    <row r="1849" spans="1:2">
      <c r="A1849" s="4" t="s">
        <v>6480</v>
      </c>
      <c r="B1849" s="5">
        <v>1</v>
      </c>
    </row>
    <row r="1850" spans="1:2">
      <c r="A1850" s="4" t="s">
        <v>6481</v>
      </c>
      <c r="B1850" s="5">
        <v>-2</v>
      </c>
    </row>
    <row r="1851" spans="1:2">
      <c r="A1851" s="4" t="s">
        <v>6482</v>
      </c>
      <c r="B1851" s="5">
        <v>-2</v>
      </c>
    </row>
    <row r="1852" spans="1:2">
      <c r="A1852" s="4" t="s">
        <v>6483</v>
      </c>
      <c r="B1852" s="5">
        <v>-2</v>
      </c>
    </row>
    <row r="1853" spans="1:2">
      <c r="A1853" s="4" t="s">
        <v>6484</v>
      </c>
      <c r="B1853" s="5">
        <v>-2</v>
      </c>
    </row>
    <row r="1854" spans="1:2">
      <c r="A1854" s="4" t="s">
        <v>6485</v>
      </c>
      <c r="B1854" s="5">
        <v>-2</v>
      </c>
    </row>
    <row r="1855" spans="1:2">
      <c r="A1855" s="4" t="s">
        <v>6486</v>
      </c>
      <c r="B1855" s="5">
        <v>-1</v>
      </c>
    </row>
    <row r="1856" spans="1:2">
      <c r="A1856" s="4" t="s">
        <v>6487</v>
      </c>
      <c r="B1856" s="5">
        <v>-1</v>
      </c>
    </row>
    <row r="1857" spans="1:2">
      <c r="A1857" s="4" t="s">
        <v>6488</v>
      </c>
      <c r="B1857" s="5">
        <v>-2</v>
      </c>
    </row>
    <row r="1858" spans="1:2">
      <c r="A1858" s="4" t="s">
        <v>6489</v>
      </c>
      <c r="B1858" s="5">
        <v>-2</v>
      </c>
    </row>
    <row r="1859" spans="1:2">
      <c r="A1859" s="4" t="s">
        <v>6490</v>
      </c>
      <c r="B1859" s="5">
        <v>2</v>
      </c>
    </row>
    <row r="1860" spans="1:2">
      <c r="A1860" s="4" t="s">
        <v>6491</v>
      </c>
      <c r="B1860" s="5">
        <v>2</v>
      </c>
    </row>
    <row r="1861" spans="1:2">
      <c r="A1861" s="4" t="s">
        <v>6492</v>
      </c>
      <c r="B1861" s="5">
        <v>2</v>
      </c>
    </row>
    <row r="1862" spans="1:2">
      <c r="A1862" s="4" t="s">
        <v>6493</v>
      </c>
      <c r="B1862" s="5">
        <v>2</v>
      </c>
    </row>
    <row r="1863" spans="1:2">
      <c r="A1863" s="4" t="s">
        <v>6494</v>
      </c>
      <c r="B1863" s="5">
        <v>2</v>
      </c>
    </row>
    <row r="1864" spans="1:2">
      <c r="A1864" s="4" t="s">
        <v>6495</v>
      </c>
      <c r="B1864" s="5">
        <v>2</v>
      </c>
    </row>
    <row r="1865" spans="1:2">
      <c r="A1865" s="4" t="s">
        <v>6496</v>
      </c>
      <c r="B1865" s="5">
        <v>2</v>
      </c>
    </row>
    <row r="1866" spans="1:2">
      <c r="A1866" s="4" t="s">
        <v>6497</v>
      </c>
      <c r="B1866" s="5">
        <v>2</v>
      </c>
    </row>
    <row r="1867" spans="1:2">
      <c r="A1867" s="4" t="s">
        <v>6498</v>
      </c>
      <c r="B1867" s="5">
        <v>-3</v>
      </c>
    </row>
    <row r="1868" spans="1:2">
      <c r="A1868" s="4" t="s">
        <v>6499</v>
      </c>
      <c r="B1868" s="5">
        <v>-1</v>
      </c>
    </row>
    <row r="1869" spans="1:2">
      <c r="A1869" s="4" t="s">
        <v>6500</v>
      </c>
      <c r="B1869" s="5">
        <v>-1</v>
      </c>
    </row>
    <row r="1870" spans="1:2">
      <c r="A1870" s="4" t="s">
        <v>6501</v>
      </c>
      <c r="B1870" s="5">
        <v>3</v>
      </c>
    </row>
    <row r="1871" spans="1:2">
      <c r="A1871" s="4" t="s">
        <v>6502</v>
      </c>
      <c r="B1871" s="5">
        <v>3</v>
      </c>
    </row>
    <row r="1872" spans="1:2">
      <c r="A1872" s="4" t="s">
        <v>6503</v>
      </c>
      <c r="B1872" s="5">
        <v>-2</v>
      </c>
    </row>
    <row r="1873" spans="1:2">
      <c r="A1873" s="4" t="s">
        <v>6504</v>
      </c>
      <c r="B1873" s="5">
        <v>-2</v>
      </c>
    </row>
    <row r="1874" spans="1:2">
      <c r="A1874" s="4" t="s">
        <v>6505</v>
      </c>
      <c r="B1874" s="5">
        <v>-2</v>
      </c>
    </row>
    <row r="1875" spans="1:2">
      <c r="A1875" s="4" t="s">
        <v>6506</v>
      </c>
      <c r="B1875" s="5">
        <v>-2</v>
      </c>
    </row>
    <row r="1876" spans="1:2">
      <c r="A1876" s="4" t="s">
        <v>6507</v>
      </c>
      <c r="B1876" s="5">
        <v>-2</v>
      </c>
    </row>
    <row r="1877" spans="1:2">
      <c r="A1877" s="4" t="s">
        <v>6508</v>
      </c>
      <c r="B1877" s="5">
        <v>-2</v>
      </c>
    </row>
    <row r="1878" spans="1:2">
      <c r="A1878" s="4" t="s">
        <v>6509</v>
      </c>
      <c r="B1878" s="5">
        <v>-2</v>
      </c>
    </row>
    <row r="1879" spans="1:2">
      <c r="A1879" s="4" t="s">
        <v>6510</v>
      </c>
      <c r="B1879" s="5">
        <v>-2</v>
      </c>
    </row>
    <row r="1880" spans="1:2">
      <c r="A1880" s="4" t="s">
        <v>6511</v>
      </c>
      <c r="B1880" s="5">
        <v>-2</v>
      </c>
    </row>
    <row r="1881" spans="1:2">
      <c r="A1881" s="4" t="s">
        <v>6512</v>
      </c>
      <c r="B1881" s="5">
        <v>2</v>
      </c>
    </row>
    <row r="1882" spans="1:2">
      <c r="A1882" s="4" t="s">
        <v>6513</v>
      </c>
      <c r="B1882" s="5">
        <v>2</v>
      </c>
    </row>
    <row r="1883" spans="1:2">
      <c r="A1883" s="4" t="s">
        <v>6514</v>
      </c>
      <c r="B1883" s="5">
        <v>4</v>
      </c>
    </row>
    <row r="1884" spans="1:2">
      <c r="A1884" s="4" t="s">
        <v>6515</v>
      </c>
      <c r="B1884" s="5">
        <v>4</v>
      </c>
    </row>
    <row r="1885" spans="1:2">
      <c r="A1885" s="4" t="s">
        <v>6516</v>
      </c>
      <c r="B1885" s="5">
        <v>4</v>
      </c>
    </row>
    <row r="1886" spans="1:2">
      <c r="A1886" s="4" t="s">
        <v>6517</v>
      </c>
      <c r="B1886" s="5">
        <v>-2</v>
      </c>
    </row>
    <row r="1887" spans="1:2">
      <c r="A1887" s="4" t="s">
        <v>6518</v>
      </c>
      <c r="B1887" s="5">
        <v>-2</v>
      </c>
    </row>
    <row r="1888" spans="1:2">
      <c r="A1888" s="4" t="s">
        <v>6519</v>
      </c>
      <c r="B1888" s="5">
        <v>-2</v>
      </c>
    </row>
    <row r="1889" spans="1:2">
      <c r="A1889" s="4" t="s">
        <v>6520</v>
      </c>
      <c r="B1889" s="5">
        <v>-2</v>
      </c>
    </row>
    <row r="1890" spans="1:2">
      <c r="A1890" s="4" t="s">
        <v>6521</v>
      </c>
      <c r="B1890" s="5">
        <v>-2</v>
      </c>
    </row>
    <row r="1891" spans="1:2">
      <c r="A1891" s="4" t="s">
        <v>6522</v>
      </c>
      <c r="B1891" s="5">
        <v>-2</v>
      </c>
    </row>
    <row r="1892" spans="1:2">
      <c r="A1892" s="4" t="s">
        <v>6523</v>
      </c>
      <c r="B1892" s="5">
        <v>-2</v>
      </c>
    </row>
    <row r="1893" spans="1:2">
      <c r="A1893" s="4" t="s">
        <v>6524</v>
      </c>
      <c r="B1893" s="5">
        <v>-2</v>
      </c>
    </row>
    <row r="1894" spans="1:2">
      <c r="A1894" s="4" t="s">
        <v>6525</v>
      </c>
      <c r="B1894" s="5">
        <v>-2</v>
      </c>
    </row>
    <row r="1895" spans="1:2">
      <c r="A1895" s="4" t="s">
        <v>6526</v>
      </c>
      <c r="B1895" s="5">
        <v>1</v>
      </c>
    </row>
    <row r="1896" spans="1:2">
      <c r="A1896" s="4" t="s">
        <v>6527</v>
      </c>
      <c r="B1896" s="5">
        <v>1</v>
      </c>
    </row>
    <row r="1897" spans="1:2">
      <c r="A1897" s="4" t="s">
        <v>6528</v>
      </c>
      <c r="B1897" s="5">
        <v>1</v>
      </c>
    </row>
    <row r="1898" spans="1:2">
      <c r="A1898" s="4" t="s">
        <v>6529</v>
      </c>
      <c r="B1898" s="5">
        <v>1</v>
      </c>
    </row>
    <row r="1899" spans="1:2">
      <c r="A1899" s="4" t="s">
        <v>6530</v>
      </c>
      <c r="B1899" s="5">
        <v>-1</v>
      </c>
    </row>
    <row r="1900" spans="1:2">
      <c r="A1900" s="4" t="s">
        <v>6531</v>
      </c>
      <c r="B1900" s="5">
        <v>-2</v>
      </c>
    </row>
    <row r="1901" spans="1:2">
      <c r="A1901" s="4" t="s">
        <v>6532</v>
      </c>
      <c r="B1901" s="5">
        <v>2</v>
      </c>
    </row>
    <row r="1902" spans="1:2">
      <c r="A1902" s="4" t="s">
        <v>6533</v>
      </c>
      <c r="B1902" s="5">
        <v>2</v>
      </c>
    </row>
    <row r="1903" spans="1:2">
      <c r="A1903" s="4" t="s">
        <v>6534</v>
      </c>
      <c r="B1903" s="5">
        <v>2</v>
      </c>
    </row>
    <row r="1904" spans="1:2">
      <c r="A1904" s="4" t="s">
        <v>6535</v>
      </c>
      <c r="B1904" s="5">
        <v>-2</v>
      </c>
    </row>
    <row r="1905" spans="1:2">
      <c r="A1905" s="4" t="s">
        <v>6536</v>
      </c>
      <c r="B1905" s="5">
        <v>-2</v>
      </c>
    </row>
    <row r="1906" spans="1:2">
      <c r="A1906" s="4" t="s">
        <v>6537</v>
      </c>
      <c r="B1906" s="5">
        <v>-3</v>
      </c>
    </row>
    <row r="1907" spans="1:2">
      <c r="A1907" s="4" t="s">
        <v>6538</v>
      </c>
      <c r="B1907" s="5">
        <v>-3</v>
      </c>
    </row>
    <row r="1908" spans="1:2">
      <c r="A1908" s="4" t="s">
        <v>6539</v>
      </c>
      <c r="B1908" s="5">
        <v>-3</v>
      </c>
    </row>
    <row r="1909" spans="1:2">
      <c r="A1909" s="4" t="s">
        <v>6540</v>
      </c>
      <c r="B1909" s="5">
        <v>-2</v>
      </c>
    </row>
    <row r="1910" spans="1:2">
      <c r="A1910" s="4" t="s">
        <v>6541</v>
      </c>
      <c r="B1910" s="5">
        <v>-2</v>
      </c>
    </row>
    <row r="1911" spans="1:2">
      <c r="A1911" s="4" t="s">
        <v>6542</v>
      </c>
      <c r="B1911" s="5">
        <v>-2</v>
      </c>
    </row>
    <row r="1912" spans="1:2">
      <c r="A1912" s="4" t="s">
        <v>6543</v>
      </c>
      <c r="B1912" s="5">
        <v>-2</v>
      </c>
    </row>
    <row r="1913" spans="1:2">
      <c r="A1913" s="4" t="s">
        <v>6544</v>
      </c>
      <c r="B1913" s="5">
        <v>-2</v>
      </c>
    </row>
    <row r="1914" spans="1:2">
      <c r="A1914" s="4" t="s">
        <v>6545</v>
      </c>
      <c r="B1914" s="5">
        <v>-2</v>
      </c>
    </row>
    <row r="1915" spans="1:2">
      <c r="A1915" s="4" t="s">
        <v>6546</v>
      </c>
      <c r="B1915" s="5">
        <v>-2</v>
      </c>
    </row>
    <row r="1916" spans="1:2">
      <c r="A1916" s="4" t="s">
        <v>6547</v>
      </c>
      <c r="B1916" s="5">
        <v>3</v>
      </c>
    </row>
    <row r="1917" spans="1:2">
      <c r="A1917" s="4" t="s">
        <v>6548</v>
      </c>
      <c r="B1917" s="5">
        <v>-2</v>
      </c>
    </row>
    <row r="1918" spans="1:2">
      <c r="A1918" s="4" t="s">
        <v>6549</v>
      </c>
      <c r="B1918" s="5">
        <v>-2</v>
      </c>
    </row>
    <row r="1919" spans="1:2">
      <c r="A1919" s="4" t="s">
        <v>6550</v>
      </c>
      <c r="B1919" s="5">
        <v>-2</v>
      </c>
    </row>
    <row r="1920" spans="1:2">
      <c r="A1920" s="4" t="s">
        <v>6551</v>
      </c>
      <c r="B1920" s="5">
        <v>-2</v>
      </c>
    </row>
    <row r="1921" spans="1:2">
      <c r="A1921" s="4" t="s">
        <v>6552</v>
      </c>
      <c r="B1921" s="5">
        <v>-2</v>
      </c>
    </row>
    <row r="1922" spans="1:2">
      <c r="A1922" s="4" t="s">
        <v>6553</v>
      </c>
      <c r="B1922" s="5">
        <v>-2</v>
      </c>
    </row>
    <row r="1923" spans="1:2">
      <c r="A1923" s="4" t="s">
        <v>6554</v>
      </c>
      <c r="B1923" s="5">
        <v>-2</v>
      </c>
    </row>
    <row r="1924" spans="1:2">
      <c r="A1924" s="4" t="s">
        <v>6555</v>
      </c>
      <c r="B1924" s="5">
        <v>-4</v>
      </c>
    </row>
    <row r="1925" spans="1:2">
      <c r="A1925" s="4" t="s">
        <v>6556</v>
      </c>
      <c r="B1925" s="5">
        <v>2</v>
      </c>
    </row>
    <row r="1926" spans="1:2">
      <c r="A1926" s="4" t="s">
        <v>6557</v>
      </c>
      <c r="B1926" s="5">
        <v>2</v>
      </c>
    </row>
    <row r="1927" spans="1:2">
      <c r="A1927" s="4" t="s">
        <v>6558</v>
      </c>
      <c r="B1927" s="5">
        <v>2</v>
      </c>
    </row>
    <row r="1928" spans="1:2">
      <c r="A1928" s="4" t="s">
        <v>6559</v>
      </c>
      <c r="B1928" s="5">
        <v>-2</v>
      </c>
    </row>
    <row r="1929" spans="1:2">
      <c r="A1929" s="4" t="s">
        <v>6560</v>
      </c>
      <c r="B1929" s="5">
        <v>-2</v>
      </c>
    </row>
    <row r="1930" spans="1:2">
      <c r="A1930" s="4" t="s">
        <v>6561</v>
      </c>
      <c r="B1930" s="5">
        <v>-1</v>
      </c>
    </row>
    <row r="1931" spans="1:2">
      <c r="A1931" s="4" t="s">
        <v>6562</v>
      </c>
      <c r="B1931" s="5">
        <v>-3</v>
      </c>
    </row>
    <row r="1932" spans="1:2">
      <c r="A1932" s="4" t="s">
        <v>6563</v>
      </c>
      <c r="B1932" s="5">
        <v>-3</v>
      </c>
    </row>
    <row r="1933" spans="1:2">
      <c r="A1933" s="4" t="s">
        <v>6564</v>
      </c>
      <c r="B1933" s="5">
        <v>-2</v>
      </c>
    </row>
    <row r="1934" spans="1:2">
      <c r="A1934" s="4" t="s">
        <v>6565</v>
      </c>
      <c r="B1934" s="5">
        <v>-2</v>
      </c>
    </row>
    <row r="1935" spans="1:2">
      <c r="A1935" s="4" t="s">
        <v>6566</v>
      </c>
      <c r="B1935" s="5">
        <v>-2</v>
      </c>
    </row>
    <row r="1936" spans="1:2">
      <c r="A1936" s="4" t="s">
        <v>6567</v>
      </c>
      <c r="B1936" s="5">
        <v>-2</v>
      </c>
    </row>
    <row r="1937" spans="1:2">
      <c r="A1937" s="4" t="s">
        <v>6568</v>
      </c>
      <c r="B1937" s="5">
        <v>2</v>
      </c>
    </row>
    <row r="1938" spans="1:2">
      <c r="A1938" s="4" t="s">
        <v>6569</v>
      </c>
      <c r="B1938" s="5">
        <v>-2</v>
      </c>
    </row>
    <row r="1939" spans="1:2">
      <c r="A1939" s="4" t="s">
        <v>6570</v>
      </c>
      <c r="B1939" s="5">
        <v>3</v>
      </c>
    </row>
    <row r="1940" spans="1:2">
      <c r="A1940" s="4" t="s">
        <v>6571</v>
      </c>
      <c r="B1940" s="5">
        <v>-2</v>
      </c>
    </row>
    <row r="1941" spans="1:2">
      <c r="A1941" s="4" t="s">
        <v>6572</v>
      </c>
      <c r="B1941" s="5">
        <v>-2</v>
      </c>
    </row>
    <row r="1942" spans="1:2">
      <c r="A1942" s="4" t="s">
        <v>6573</v>
      </c>
      <c r="B1942" s="5">
        <v>-2</v>
      </c>
    </row>
    <row r="1943" spans="1:2">
      <c r="A1943" s="4" t="s">
        <v>6574</v>
      </c>
      <c r="B1943" s="5">
        <v>-2</v>
      </c>
    </row>
    <row r="1944" spans="1:2">
      <c r="A1944" s="4" t="s">
        <v>6575</v>
      </c>
      <c r="B1944" s="5">
        <v>1</v>
      </c>
    </row>
    <row r="1945" spans="1:2">
      <c r="A1945" s="4" t="s">
        <v>6576</v>
      </c>
      <c r="B1945" s="5">
        <v>1</v>
      </c>
    </row>
    <row r="1946" spans="1:2">
      <c r="A1946" s="4" t="s">
        <v>6577</v>
      </c>
      <c r="B1946" s="5">
        <v>1</v>
      </c>
    </row>
    <row r="1947" spans="1:2">
      <c r="A1947" s="4" t="s">
        <v>6578</v>
      </c>
      <c r="B1947" s="5">
        <v>-2</v>
      </c>
    </row>
    <row r="1948" spans="1:2">
      <c r="A1948" s="4" t="s">
        <v>6579</v>
      </c>
      <c r="B1948" s="5">
        <v>-2</v>
      </c>
    </row>
    <row r="1949" spans="1:2">
      <c r="A1949" s="4" t="s">
        <v>6580</v>
      </c>
      <c r="B1949" s="5">
        <v>-2</v>
      </c>
    </row>
    <row r="1950" spans="1:2">
      <c r="A1950" s="4" t="s">
        <v>6581</v>
      </c>
      <c r="B1950" s="5">
        <v>-2</v>
      </c>
    </row>
    <row r="1951" spans="1:2">
      <c r="A1951" s="4" t="s">
        <v>6582</v>
      </c>
      <c r="B1951" s="5">
        <v>-2</v>
      </c>
    </row>
    <row r="1952" spans="1:2">
      <c r="A1952" s="4" t="s">
        <v>6583</v>
      </c>
      <c r="B1952" s="5">
        <v>-1</v>
      </c>
    </row>
    <row r="1953" spans="1:2">
      <c r="A1953" s="4" t="s">
        <v>6584</v>
      </c>
      <c r="B1953" s="5">
        <v>-2</v>
      </c>
    </row>
    <row r="1954" spans="1:2">
      <c r="A1954" s="4" t="s">
        <v>6585</v>
      </c>
      <c r="B1954" s="5">
        <v>-2</v>
      </c>
    </row>
    <row r="1955" spans="1:2">
      <c r="A1955" s="4" t="s">
        <v>6586</v>
      </c>
      <c r="B1955" s="5">
        <v>-4</v>
      </c>
    </row>
    <row r="1956" spans="1:2">
      <c r="A1956" s="4" t="s">
        <v>6587</v>
      </c>
      <c r="B1956" s="5">
        <v>-1</v>
      </c>
    </row>
    <row r="1957" spans="1:2">
      <c r="A1957" s="4" t="s">
        <v>6588</v>
      </c>
      <c r="B1957" s="5">
        <v>-2</v>
      </c>
    </row>
    <row r="1958" spans="1:2">
      <c r="A1958" s="4" t="s">
        <v>6589</v>
      </c>
      <c r="B1958" s="5">
        <v>-2</v>
      </c>
    </row>
    <row r="1959" spans="1:2">
      <c r="A1959" s="4" t="s">
        <v>6590</v>
      </c>
      <c r="B1959" s="5">
        <v>1</v>
      </c>
    </row>
    <row r="1960" spans="1:2">
      <c r="A1960" s="4" t="s">
        <v>6591</v>
      </c>
      <c r="B1960" s="5">
        <v>1</v>
      </c>
    </row>
    <row r="1961" spans="1:2">
      <c r="A1961" s="4" t="s">
        <v>6592</v>
      </c>
      <c r="B1961" s="5">
        <v>-1</v>
      </c>
    </row>
    <row r="1962" spans="1:2">
      <c r="A1962" s="4" t="s">
        <v>6593</v>
      </c>
      <c r="B1962" s="5">
        <v>-1</v>
      </c>
    </row>
    <row r="1963" spans="1:2">
      <c r="A1963" s="4" t="s">
        <v>6594</v>
      </c>
      <c r="B1963" s="5">
        <v>2</v>
      </c>
    </row>
    <row r="1964" spans="1:2">
      <c r="A1964" s="4" t="s">
        <v>6595</v>
      </c>
      <c r="B1964" s="5">
        <v>2</v>
      </c>
    </row>
    <row r="1965" spans="1:2">
      <c r="A1965" s="4" t="s">
        <v>6596</v>
      </c>
      <c r="B1965" s="5">
        <v>2</v>
      </c>
    </row>
    <row r="1966" spans="1:2">
      <c r="A1966" s="4" t="s">
        <v>6597</v>
      </c>
      <c r="B1966" s="5">
        <v>2</v>
      </c>
    </row>
    <row r="1967" spans="1:2">
      <c r="A1967" s="4" t="s">
        <v>6598</v>
      </c>
      <c r="B1967" s="5">
        <v>-3</v>
      </c>
    </row>
    <row r="1968" spans="1:2">
      <c r="A1968" s="4" t="s">
        <v>6599</v>
      </c>
      <c r="B1968" s="5">
        <v>-2</v>
      </c>
    </row>
    <row r="1969" spans="1:2">
      <c r="A1969" s="4" t="s">
        <v>6600</v>
      </c>
      <c r="B1969" s="5">
        <v>-2</v>
      </c>
    </row>
    <row r="1970" spans="1:2">
      <c r="A1970" s="4" t="s">
        <v>6601</v>
      </c>
      <c r="B1970" s="5">
        <v>-2</v>
      </c>
    </row>
    <row r="1971" spans="1:2">
      <c r="A1971" s="4" t="s">
        <v>6602</v>
      </c>
      <c r="B1971" s="5">
        <v>-2</v>
      </c>
    </row>
    <row r="1972" spans="1:2">
      <c r="A1972" s="4" t="s">
        <v>6603</v>
      </c>
      <c r="B1972" s="5">
        <v>-2</v>
      </c>
    </row>
    <row r="1973" spans="1:2">
      <c r="A1973" s="4" t="s">
        <v>6604</v>
      </c>
      <c r="B1973" s="5">
        <v>-2</v>
      </c>
    </row>
    <row r="1974" spans="1:2">
      <c r="A1974" s="4" t="s">
        <v>6605</v>
      </c>
      <c r="B1974" s="5">
        <v>-2</v>
      </c>
    </row>
    <row r="1975" spans="1:2">
      <c r="A1975" s="4" t="s">
        <v>6606</v>
      </c>
      <c r="B1975" s="5">
        <v>-2</v>
      </c>
    </row>
    <row r="1976" spans="1:2">
      <c r="A1976" s="4" t="s">
        <v>6607</v>
      </c>
      <c r="B1976" s="5">
        <v>-2</v>
      </c>
    </row>
    <row r="1977" spans="1:2">
      <c r="A1977" s="4" t="s">
        <v>6608</v>
      </c>
      <c r="B1977" s="5">
        <v>-2</v>
      </c>
    </row>
    <row r="1978" spans="1:2">
      <c r="A1978" s="4" t="s">
        <v>6609</v>
      </c>
      <c r="B1978" s="5">
        <v>-3</v>
      </c>
    </row>
    <row r="1979" spans="1:2">
      <c r="A1979" s="4" t="s">
        <v>6610</v>
      </c>
      <c r="B1979" s="5">
        <v>-2</v>
      </c>
    </row>
    <row r="1980" spans="1:2">
      <c r="A1980" s="4" t="s">
        <v>6611</v>
      </c>
      <c r="B1980" s="5">
        <v>2</v>
      </c>
    </row>
    <row r="1981" spans="1:2">
      <c r="A1981" s="4" t="s">
        <v>6612</v>
      </c>
      <c r="B1981" s="5">
        <v>2</v>
      </c>
    </row>
    <row r="1982" spans="1:2">
      <c r="A1982" s="4" t="s">
        <v>6613</v>
      </c>
      <c r="B1982" s="5">
        <v>2</v>
      </c>
    </row>
    <row r="1983" spans="1:2">
      <c r="A1983" s="4" t="s">
        <v>6614</v>
      </c>
      <c r="B1983" s="5">
        <v>-2</v>
      </c>
    </row>
    <row r="1984" spans="1:2">
      <c r="A1984" s="4" t="s">
        <v>6615</v>
      </c>
      <c r="B1984" s="5">
        <v>1</v>
      </c>
    </row>
    <row r="1985" spans="1:2">
      <c r="A1985" s="4" t="s">
        <v>6616</v>
      </c>
      <c r="B1985" s="5">
        <v>2</v>
      </c>
    </row>
    <row r="1986" spans="1:2">
      <c r="A1986" s="4" t="s">
        <v>6617</v>
      </c>
      <c r="B1986" s="5">
        <v>2</v>
      </c>
    </row>
    <row r="1987" spans="1:2">
      <c r="A1987" s="4" t="s">
        <v>6618</v>
      </c>
      <c r="B1987" s="5">
        <v>-2</v>
      </c>
    </row>
    <row r="1988" spans="1:2">
      <c r="A1988" s="4" t="s">
        <v>6619</v>
      </c>
      <c r="B1988" s="5">
        <v>2</v>
      </c>
    </row>
    <row r="1989" spans="1:2">
      <c r="A1989" s="4" t="s">
        <v>6620</v>
      </c>
      <c r="B1989" s="5">
        <v>2</v>
      </c>
    </row>
    <row r="1990" spans="1:2">
      <c r="A1990" s="4" t="s">
        <v>6621</v>
      </c>
      <c r="B1990" s="5">
        <v>2</v>
      </c>
    </row>
    <row r="1991" spans="1:2">
      <c r="A1991" s="4" t="s">
        <v>6622</v>
      </c>
      <c r="B1991" s="5">
        <v>2</v>
      </c>
    </row>
    <row r="1992" spans="1:2">
      <c r="A1992" s="4" t="s">
        <v>6623</v>
      </c>
      <c r="B1992" s="5">
        <v>-2</v>
      </c>
    </row>
    <row r="1993" spans="1:2">
      <c r="A1993" s="4" t="s">
        <v>6624</v>
      </c>
      <c r="B1993" s="5">
        <v>-1</v>
      </c>
    </row>
    <row r="1994" spans="1:2">
      <c r="A1994" s="4" t="s">
        <v>6625</v>
      </c>
      <c r="B1994" s="5">
        <v>-2</v>
      </c>
    </row>
    <row r="1995" spans="1:2">
      <c r="A1995" s="4" t="s">
        <v>6626</v>
      </c>
      <c r="B1995" s="5">
        <v>-2</v>
      </c>
    </row>
    <row r="1996" spans="1:2">
      <c r="A1996" s="4" t="s">
        <v>6627</v>
      </c>
      <c r="B1996" s="5">
        <v>-2</v>
      </c>
    </row>
    <row r="1997" spans="1:2">
      <c r="A1997" s="4" t="s">
        <v>6628</v>
      </c>
      <c r="B1997" s="5">
        <v>-2</v>
      </c>
    </row>
    <row r="1998" spans="1:2">
      <c r="A1998" s="4" t="s">
        <v>6629</v>
      </c>
      <c r="B1998" s="5">
        <v>1</v>
      </c>
    </row>
    <row r="1999" spans="1:2">
      <c r="A1999" s="4" t="s">
        <v>6630</v>
      </c>
      <c r="B1999" s="5">
        <v>-1</v>
      </c>
    </row>
    <row r="2000" spans="1:2">
      <c r="A2000" s="4" t="s">
        <v>6631</v>
      </c>
      <c r="B2000" s="5">
        <v>2</v>
      </c>
    </row>
    <row r="2001" spans="1:2">
      <c r="A2001" s="4" t="s">
        <v>6632</v>
      </c>
      <c r="B2001" s="5">
        <v>2</v>
      </c>
    </row>
    <row r="2002" spans="1:2">
      <c r="A2002" s="4" t="s">
        <v>6633</v>
      </c>
      <c r="B2002" s="5">
        <v>1</v>
      </c>
    </row>
    <row r="2003" spans="1:2">
      <c r="A2003" s="4" t="s">
        <v>6634</v>
      </c>
      <c r="B2003" s="5">
        <v>1</v>
      </c>
    </row>
    <row r="2004" spans="1:2">
      <c r="A2004" s="4" t="s">
        <v>6635</v>
      </c>
      <c r="B2004" s="5">
        <v>1</v>
      </c>
    </row>
    <row r="2005" spans="1:2">
      <c r="A2005" s="4" t="s">
        <v>6636</v>
      </c>
      <c r="B2005" s="5">
        <v>1</v>
      </c>
    </row>
    <row r="2006" spans="1:2">
      <c r="A2006" s="4" t="s">
        <v>6637</v>
      </c>
      <c r="B2006" s="5">
        <v>1</v>
      </c>
    </row>
    <row r="2007" spans="1:2">
      <c r="A2007" s="4" t="s">
        <v>6638</v>
      </c>
      <c r="B2007" s="5">
        <v>1</v>
      </c>
    </row>
    <row r="2008" spans="1:2">
      <c r="A2008" s="4" t="s">
        <v>6639</v>
      </c>
      <c r="B2008" s="5">
        <v>-2</v>
      </c>
    </row>
    <row r="2009" spans="1:2">
      <c r="A2009" s="4" t="s">
        <v>6640</v>
      </c>
      <c r="B2009" s="5">
        <v>3</v>
      </c>
    </row>
    <row r="2010" spans="1:2">
      <c r="A2010" s="4" t="s">
        <v>6641</v>
      </c>
      <c r="B2010" s="5">
        <v>3</v>
      </c>
    </row>
    <row r="2011" spans="1:2">
      <c r="A2011" s="4" t="s">
        <v>6642</v>
      </c>
      <c r="B2011" s="5">
        <v>3</v>
      </c>
    </row>
    <row r="2012" spans="1:2">
      <c r="A2012" s="4" t="s">
        <v>6643</v>
      </c>
      <c r="B2012" s="5">
        <v>2</v>
      </c>
    </row>
    <row r="2013" spans="1:2">
      <c r="A2013" s="4" t="s">
        <v>6644</v>
      </c>
      <c r="B2013" s="5">
        <v>-1</v>
      </c>
    </row>
    <row r="2014" spans="1:2">
      <c r="A2014" s="4" t="s">
        <v>6645</v>
      </c>
      <c r="B2014" s="5">
        <v>-2</v>
      </c>
    </row>
    <row r="2015" spans="1:2">
      <c r="A2015" s="4" t="s">
        <v>6646</v>
      </c>
      <c r="B2015" s="5">
        <v>-2</v>
      </c>
    </row>
    <row r="2016" spans="1:2">
      <c r="A2016" s="4" t="s">
        <v>6647</v>
      </c>
      <c r="B2016" s="5">
        <v>-1</v>
      </c>
    </row>
    <row r="2017" spans="1:2">
      <c r="A2017" s="4" t="s">
        <v>6648</v>
      </c>
      <c r="B2017" s="5">
        <v>-2</v>
      </c>
    </row>
    <row r="2018" spans="1:2">
      <c r="A2018" s="4" t="s">
        <v>6649</v>
      </c>
      <c r="B2018" s="5">
        <v>-3</v>
      </c>
    </row>
    <row r="2019" spans="1:2">
      <c r="A2019" s="4" t="s">
        <v>6650</v>
      </c>
      <c r="B2019" s="5">
        <v>-3</v>
      </c>
    </row>
    <row r="2020" spans="1:2">
      <c r="A2020" s="4" t="s">
        <v>6651</v>
      </c>
      <c r="B2020" s="5">
        <v>-2</v>
      </c>
    </row>
    <row r="2021" spans="1:2">
      <c r="A2021" s="4" t="s">
        <v>6652</v>
      </c>
      <c r="B2021" s="5">
        <v>1</v>
      </c>
    </row>
    <row r="2022" spans="1:2">
      <c r="A2022" s="4" t="s">
        <v>6653</v>
      </c>
      <c r="B2022" s="5">
        <v>3</v>
      </c>
    </row>
    <row r="2023" spans="1:2">
      <c r="A2023" s="4" t="s">
        <v>6654</v>
      </c>
      <c r="B2023" s="5">
        <v>3</v>
      </c>
    </row>
    <row r="2024" spans="1:2">
      <c r="A2024" s="4" t="s">
        <v>6655</v>
      </c>
      <c r="B2024" s="5">
        <v>3</v>
      </c>
    </row>
    <row r="2025" spans="1:2">
      <c r="A2025" s="4" t="s">
        <v>6656</v>
      </c>
      <c r="B2025" s="5">
        <v>-2</v>
      </c>
    </row>
    <row r="2026" spans="1:2">
      <c r="A2026" s="4" t="s">
        <v>6657</v>
      </c>
      <c r="B2026" s="5">
        <v>1</v>
      </c>
    </row>
    <row r="2027" spans="1:2">
      <c r="A2027" s="4" t="s">
        <v>6658</v>
      </c>
      <c r="B2027" s="5">
        <v>2</v>
      </c>
    </row>
    <row r="2028" spans="1:2">
      <c r="A2028" s="4" t="s">
        <v>6659</v>
      </c>
      <c r="B2028" s="5">
        <v>-2</v>
      </c>
    </row>
    <row r="2029" spans="1:2">
      <c r="A2029" s="4" t="s">
        <v>6660</v>
      </c>
      <c r="B2029" s="5">
        <v>-2</v>
      </c>
    </row>
    <row r="2030" spans="1:2">
      <c r="A2030" s="4" t="s">
        <v>6661</v>
      </c>
      <c r="B2030" s="5">
        <v>3</v>
      </c>
    </row>
    <row r="2031" spans="1:2">
      <c r="A2031" s="4" t="s">
        <v>6662</v>
      </c>
      <c r="B2031" s="5">
        <v>2</v>
      </c>
    </row>
    <row r="2032" spans="1:2">
      <c r="A2032" s="4" t="s">
        <v>6663</v>
      </c>
      <c r="B2032" s="5">
        <v>-1</v>
      </c>
    </row>
    <row r="2033" spans="1:2">
      <c r="A2033" s="4" t="s">
        <v>6664</v>
      </c>
      <c r="B2033" s="5">
        <v>-2</v>
      </c>
    </row>
    <row r="2034" spans="1:2">
      <c r="A2034" s="4" t="s">
        <v>6665</v>
      </c>
      <c r="B2034" s="5">
        <v>-2</v>
      </c>
    </row>
    <row r="2035" spans="1:2">
      <c r="A2035" s="4" t="s">
        <v>6666</v>
      </c>
      <c r="B2035" s="5">
        <v>2</v>
      </c>
    </row>
    <row r="2036" spans="1:2">
      <c r="A2036" s="4" t="s">
        <v>6667</v>
      </c>
      <c r="B2036" s="5">
        <v>-2</v>
      </c>
    </row>
    <row r="2037" spans="1:2">
      <c r="A2037" s="4" t="s">
        <v>6668</v>
      </c>
      <c r="B2037" s="5">
        <v>-2</v>
      </c>
    </row>
    <row r="2038" spans="1:2">
      <c r="A2038" s="4" t="s">
        <v>6669</v>
      </c>
      <c r="B2038" s="5">
        <v>-2</v>
      </c>
    </row>
    <row r="2039" spans="1:2">
      <c r="A2039" s="4" t="s">
        <v>6670</v>
      </c>
      <c r="B2039" s="5">
        <v>-2</v>
      </c>
    </row>
    <row r="2040" spans="1:2">
      <c r="A2040" s="4" t="s">
        <v>6671</v>
      </c>
      <c r="B2040" s="5">
        <v>2</v>
      </c>
    </row>
    <row r="2041" spans="1:2">
      <c r="A2041" s="4" t="s">
        <v>6672</v>
      </c>
      <c r="B2041" s="5">
        <v>-2</v>
      </c>
    </row>
    <row r="2042" spans="1:2">
      <c r="A2042" s="4" t="s">
        <v>6673</v>
      </c>
      <c r="B2042" s="5">
        <v>-2</v>
      </c>
    </row>
    <row r="2043" spans="1:2">
      <c r="A2043" s="4" t="s">
        <v>6674</v>
      </c>
      <c r="B2043" s="5">
        <v>-2</v>
      </c>
    </row>
    <row r="2044" spans="1:2">
      <c r="A2044" s="4" t="s">
        <v>6675</v>
      </c>
      <c r="B2044" s="5">
        <v>-2</v>
      </c>
    </row>
    <row r="2045" spans="1:2">
      <c r="A2045" s="4" t="s">
        <v>6676</v>
      </c>
      <c r="B2045" s="5">
        <v>-2</v>
      </c>
    </row>
    <row r="2046" spans="1:2">
      <c r="A2046" s="4" t="s">
        <v>6677</v>
      </c>
      <c r="B2046" s="5">
        <v>-2</v>
      </c>
    </row>
    <row r="2047" spans="1:2">
      <c r="A2047" s="4" t="s">
        <v>6678</v>
      </c>
      <c r="B2047" s="5">
        <v>2</v>
      </c>
    </row>
    <row r="2048" spans="1:2">
      <c r="A2048" s="4" t="s">
        <v>6679</v>
      </c>
      <c r="B2048" s="5">
        <v>-2</v>
      </c>
    </row>
    <row r="2049" spans="1:2">
      <c r="A2049" s="4" t="s">
        <v>6680</v>
      </c>
      <c r="B2049" s="5">
        <v>-2</v>
      </c>
    </row>
    <row r="2050" spans="1:2">
      <c r="A2050" s="4" t="s">
        <v>6681</v>
      </c>
      <c r="B2050" s="5">
        <v>-2</v>
      </c>
    </row>
    <row r="2051" spans="1:2">
      <c r="A2051" s="4" t="s">
        <v>6682</v>
      </c>
      <c r="B2051" s="5">
        <v>-2</v>
      </c>
    </row>
    <row r="2052" spans="1:2">
      <c r="A2052" s="4" t="s">
        <v>6683</v>
      </c>
      <c r="B2052" s="5">
        <v>-1</v>
      </c>
    </row>
    <row r="2053" spans="1:2">
      <c r="A2053" s="4" t="s">
        <v>6684</v>
      </c>
      <c r="B2053" s="5">
        <v>1</v>
      </c>
    </row>
    <row r="2054" spans="1:2">
      <c r="A2054" s="4" t="s">
        <v>6685</v>
      </c>
      <c r="B2054" s="5">
        <v>1</v>
      </c>
    </row>
    <row r="2055" spans="1:2">
      <c r="A2055" s="4" t="s">
        <v>6686</v>
      </c>
      <c r="B2055" s="5">
        <v>1</v>
      </c>
    </row>
    <row r="2056" spans="1:2">
      <c r="A2056" s="4" t="s">
        <v>6687</v>
      </c>
      <c r="B2056" s="5">
        <v>2</v>
      </c>
    </row>
    <row r="2057" spans="1:2">
      <c r="A2057" s="4" t="s">
        <v>6688</v>
      </c>
      <c r="B2057" s="5">
        <v>-2</v>
      </c>
    </row>
    <row r="2058" spans="1:2">
      <c r="A2058" s="4" t="s">
        <v>6689</v>
      </c>
      <c r="B2058" s="5">
        <v>-2</v>
      </c>
    </row>
    <row r="2059" spans="1:2">
      <c r="A2059" s="4" t="s">
        <v>6690</v>
      </c>
      <c r="B2059" s="5">
        <v>-1</v>
      </c>
    </row>
    <row r="2060" spans="1:2">
      <c r="A2060" s="4" t="s">
        <v>6691</v>
      </c>
      <c r="B2060" s="5">
        <v>-1</v>
      </c>
    </row>
    <row r="2061" spans="1:2">
      <c r="A2061" s="4" t="s">
        <v>6692</v>
      </c>
      <c r="B2061" s="5">
        <v>-1</v>
      </c>
    </row>
    <row r="2062" spans="1:2">
      <c r="A2062" s="4" t="s">
        <v>6693</v>
      </c>
      <c r="B2062" s="5">
        <v>-1</v>
      </c>
    </row>
    <row r="2063" spans="1:2">
      <c r="A2063" s="4" t="s">
        <v>6694</v>
      </c>
      <c r="B2063" s="5">
        <v>2</v>
      </c>
    </row>
    <row r="2064" spans="1:2">
      <c r="A2064" s="4" t="s">
        <v>6695</v>
      </c>
      <c r="B2064" s="5">
        <v>1</v>
      </c>
    </row>
    <row r="2065" spans="1:2">
      <c r="A2065" s="4" t="s">
        <v>6696</v>
      </c>
      <c r="B2065" s="5">
        <v>-1</v>
      </c>
    </row>
    <row r="2066" spans="1:2">
      <c r="A2066" s="4" t="s">
        <v>6697</v>
      </c>
      <c r="B2066" s="5">
        <v>-1</v>
      </c>
    </row>
    <row r="2067" spans="1:2">
      <c r="A2067" s="4" t="s">
        <v>6698</v>
      </c>
      <c r="B2067" s="5">
        <v>-2</v>
      </c>
    </row>
    <row r="2068" spans="1:2">
      <c r="A2068" s="4" t="s">
        <v>6699</v>
      </c>
      <c r="B2068" s="5">
        <v>2</v>
      </c>
    </row>
    <row r="2069" spans="1:2">
      <c r="A2069" s="4" t="s">
        <v>6700</v>
      </c>
      <c r="B2069" s="5">
        <v>2</v>
      </c>
    </row>
    <row r="2070" spans="1:2">
      <c r="A2070" s="4" t="s">
        <v>6701</v>
      </c>
      <c r="B2070" s="5">
        <v>2</v>
      </c>
    </row>
    <row r="2071" spans="1:2">
      <c r="A2071" s="4" t="s">
        <v>6702</v>
      </c>
      <c r="B2071" s="5">
        <v>2</v>
      </c>
    </row>
    <row r="2072" spans="1:2">
      <c r="A2072" s="4" t="s">
        <v>6703</v>
      </c>
      <c r="B2072" s="5">
        <v>2</v>
      </c>
    </row>
    <row r="2073" spans="1:2">
      <c r="A2073" s="4" t="s">
        <v>6704</v>
      </c>
      <c r="B2073" s="5">
        <v>-2</v>
      </c>
    </row>
    <row r="2074" spans="1:2">
      <c r="A2074" s="4" t="s">
        <v>6705</v>
      </c>
      <c r="B2074" s="5">
        <v>-2</v>
      </c>
    </row>
    <row r="2075" spans="1:2">
      <c r="A2075" s="4" t="s">
        <v>6706</v>
      </c>
      <c r="B2075" s="5">
        <v>-2</v>
      </c>
    </row>
    <row r="2076" spans="1:2">
      <c r="A2076" s="4" t="s">
        <v>6707</v>
      </c>
      <c r="B2076" s="5">
        <v>-2</v>
      </c>
    </row>
    <row r="2077" spans="1:2">
      <c r="A2077" s="4" t="s">
        <v>6708</v>
      </c>
      <c r="B2077" s="5">
        <v>-1</v>
      </c>
    </row>
    <row r="2078" spans="1:2">
      <c r="A2078" s="4" t="s">
        <v>6709</v>
      </c>
      <c r="B2078" s="5">
        <v>-2</v>
      </c>
    </row>
    <row r="2079" spans="1:2">
      <c r="A2079" s="4" t="s">
        <v>6710</v>
      </c>
      <c r="B2079" s="5">
        <v>-1</v>
      </c>
    </row>
    <row r="2080" spans="1:2">
      <c r="A2080" s="4" t="s">
        <v>6711</v>
      </c>
      <c r="B2080" s="5">
        <v>2</v>
      </c>
    </row>
    <row r="2081" spans="1:2">
      <c r="A2081" s="4" t="s">
        <v>6712</v>
      </c>
      <c r="B2081" s="5">
        <v>2</v>
      </c>
    </row>
    <row r="2082" spans="1:2">
      <c r="A2082" s="4" t="s">
        <v>6713</v>
      </c>
      <c r="B2082" s="5">
        <v>2</v>
      </c>
    </row>
    <row r="2083" spans="1:2">
      <c r="A2083" s="4" t="s">
        <v>6714</v>
      </c>
      <c r="B2083" s="5">
        <v>-1</v>
      </c>
    </row>
    <row r="2084" spans="1:2">
      <c r="A2084" s="4" t="s">
        <v>6715</v>
      </c>
      <c r="B2084" s="5">
        <v>-2</v>
      </c>
    </row>
    <row r="2085" spans="1:2">
      <c r="A2085" s="4" t="s">
        <v>6716</v>
      </c>
      <c r="B2085" s="5">
        <v>-2</v>
      </c>
    </row>
    <row r="2086" spans="1:2">
      <c r="A2086" s="4" t="s">
        <v>6717</v>
      </c>
      <c r="B2086" s="5">
        <v>-2</v>
      </c>
    </row>
    <row r="2087" spans="1:2">
      <c r="A2087" s="4" t="s">
        <v>6718</v>
      </c>
      <c r="B2087" s="5">
        <v>-2</v>
      </c>
    </row>
    <row r="2088" spans="1:2">
      <c r="A2088" s="4" t="s">
        <v>6719</v>
      </c>
      <c r="B2088" s="5">
        <v>-2</v>
      </c>
    </row>
    <row r="2089" spans="1:2">
      <c r="A2089" s="4" t="s">
        <v>6720</v>
      </c>
      <c r="B2089" s="5">
        <v>-2</v>
      </c>
    </row>
    <row r="2090" spans="1:2">
      <c r="A2090" s="4" t="s">
        <v>6721</v>
      </c>
      <c r="B2090" s="5">
        <v>-2</v>
      </c>
    </row>
    <row r="2091" spans="1:2">
      <c r="A2091" s="4" t="s">
        <v>6722</v>
      </c>
      <c r="B2091" s="5">
        <v>4</v>
      </c>
    </row>
    <row r="2092" spans="1:2">
      <c r="A2092" s="4" t="s">
        <v>6723</v>
      </c>
      <c r="B2092" s="5">
        <v>-2</v>
      </c>
    </row>
    <row r="2093" spans="1:2">
      <c r="A2093" s="4" t="s">
        <v>6724</v>
      </c>
      <c r="B2093" s="5">
        <v>-2</v>
      </c>
    </row>
    <row r="2094" spans="1:2">
      <c r="A2094" s="4" t="s">
        <v>6725</v>
      </c>
      <c r="B2094" s="5">
        <v>2</v>
      </c>
    </row>
    <row r="2095" spans="1:2">
      <c r="A2095" s="4" t="s">
        <v>6726</v>
      </c>
      <c r="B2095" s="5">
        <v>1</v>
      </c>
    </row>
    <row r="2096" spans="1:2">
      <c r="A2096" s="4" t="s">
        <v>6727</v>
      </c>
      <c r="B2096" s="5">
        <v>1</v>
      </c>
    </row>
    <row r="2097" spans="1:2">
      <c r="A2097" s="4" t="s">
        <v>6728</v>
      </c>
      <c r="B2097" s="5">
        <v>-2</v>
      </c>
    </row>
    <row r="2098" spans="1:2">
      <c r="A2098" s="4" t="s">
        <v>6729</v>
      </c>
      <c r="B2098" s="5">
        <v>2</v>
      </c>
    </row>
    <row r="2099" spans="1:2">
      <c r="A2099" s="4" t="s">
        <v>6730</v>
      </c>
      <c r="B2099" s="5">
        <v>3</v>
      </c>
    </row>
    <row r="2100" spans="1:2">
      <c r="A2100" s="4" t="s">
        <v>6731</v>
      </c>
      <c r="B2100" s="5">
        <v>-3</v>
      </c>
    </row>
    <row r="2101" spans="1:2">
      <c r="A2101" s="4" t="s">
        <v>6732</v>
      </c>
      <c r="B2101" s="5">
        <v>-3</v>
      </c>
    </row>
    <row r="2102" spans="1:2">
      <c r="A2102" s="4" t="s">
        <v>6733</v>
      </c>
      <c r="B2102" s="5">
        <v>-2</v>
      </c>
    </row>
    <row r="2103" spans="1:2">
      <c r="A2103" s="4" t="s">
        <v>6734</v>
      </c>
      <c r="B2103" s="5">
        <v>-2</v>
      </c>
    </row>
    <row r="2104" spans="1:2">
      <c r="A2104" s="4" t="s">
        <v>6735</v>
      </c>
      <c r="B2104" s="5">
        <v>-2</v>
      </c>
    </row>
    <row r="2105" spans="1:2">
      <c r="A2105" s="4" t="s">
        <v>6736</v>
      </c>
      <c r="B2105" s="5">
        <v>-2</v>
      </c>
    </row>
    <row r="2106" spans="1:2">
      <c r="A2106" s="4" t="s">
        <v>6737</v>
      </c>
      <c r="B2106" s="5">
        <v>-2</v>
      </c>
    </row>
    <row r="2107" spans="1:2">
      <c r="A2107" s="4" t="s">
        <v>6738</v>
      </c>
      <c r="B2107" s="5">
        <v>-2</v>
      </c>
    </row>
    <row r="2108" spans="1:2">
      <c r="A2108" s="4" t="s">
        <v>6739</v>
      </c>
      <c r="B2108" s="5">
        <v>-2</v>
      </c>
    </row>
    <row r="2109" spans="1:2">
      <c r="A2109" s="4" t="s">
        <v>6740</v>
      </c>
      <c r="B2109" s="5">
        <v>-2</v>
      </c>
    </row>
    <row r="2110" spans="1:2">
      <c r="A2110" s="4" t="s">
        <v>6741</v>
      </c>
      <c r="B2110" s="5">
        <v>-2</v>
      </c>
    </row>
    <row r="2111" spans="1:2">
      <c r="A2111" s="4" t="s">
        <v>6742</v>
      </c>
      <c r="B2111" s="5">
        <v>2</v>
      </c>
    </row>
    <row r="2112" spans="1:2">
      <c r="A2112" s="4" t="s">
        <v>6743</v>
      </c>
      <c r="B2112" s="5">
        <v>3</v>
      </c>
    </row>
    <row r="2113" spans="1:2">
      <c r="A2113" s="4" t="s">
        <v>6744</v>
      </c>
      <c r="B2113" s="5">
        <v>5</v>
      </c>
    </row>
    <row r="2114" spans="1:2">
      <c r="A2114" s="4" t="s">
        <v>6745</v>
      </c>
      <c r="B2114" s="5">
        <v>2</v>
      </c>
    </row>
    <row r="2115" spans="1:2">
      <c r="A2115" s="4" t="s">
        <v>6746</v>
      </c>
      <c r="B2115" s="5">
        <v>2</v>
      </c>
    </row>
    <row r="2116" spans="1:2">
      <c r="A2116" s="4" t="s">
        <v>6747</v>
      </c>
      <c r="B2116" s="5">
        <v>2</v>
      </c>
    </row>
    <row r="2117" spans="1:2">
      <c r="A2117" s="4" t="s">
        <v>6748</v>
      </c>
      <c r="B2117" s="5">
        <v>1</v>
      </c>
    </row>
    <row r="2118" spans="1:2">
      <c r="A2118" s="4" t="s">
        <v>6749</v>
      </c>
      <c r="B2118" s="5">
        <v>1</v>
      </c>
    </row>
    <row r="2119" spans="1:2">
      <c r="A2119" s="4" t="s">
        <v>6750</v>
      </c>
      <c r="B2119" s="5">
        <v>1</v>
      </c>
    </row>
    <row r="2120" spans="1:2">
      <c r="A2120" s="4" t="s">
        <v>6751</v>
      </c>
      <c r="B2120" s="5">
        <v>2</v>
      </c>
    </row>
    <row r="2121" spans="1:2">
      <c r="A2121" s="4" t="s">
        <v>6752</v>
      </c>
      <c r="B2121" s="5">
        <v>2</v>
      </c>
    </row>
    <row r="2122" spans="1:2">
      <c r="A2122" s="4" t="s">
        <v>6753</v>
      </c>
      <c r="B2122" s="5">
        <v>2</v>
      </c>
    </row>
    <row r="2123" spans="1:2">
      <c r="A2123" s="4" t="s">
        <v>6754</v>
      </c>
      <c r="B2123" s="5">
        <v>2</v>
      </c>
    </row>
    <row r="2124" spans="1:2">
      <c r="A2124" s="4" t="s">
        <v>6755</v>
      </c>
      <c r="B2124" s="5">
        <v>2</v>
      </c>
    </row>
    <row r="2125" spans="1:2">
      <c r="A2125" s="4" t="s">
        <v>6756</v>
      </c>
      <c r="B2125" s="5">
        <v>-1</v>
      </c>
    </row>
    <row r="2126" spans="1:2">
      <c r="A2126" s="4" t="s">
        <v>6757</v>
      </c>
      <c r="B2126" s="5">
        <v>-1</v>
      </c>
    </row>
    <row r="2127" spans="1:2">
      <c r="A2127" s="4" t="s">
        <v>6758</v>
      </c>
      <c r="B2127" s="5">
        <v>-1</v>
      </c>
    </row>
    <row r="2128" spans="1:2">
      <c r="A2128" s="4" t="s">
        <v>6759</v>
      </c>
      <c r="B2128" s="5">
        <v>-1</v>
      </c>
    </row>
    <row r="2129" spans="1:2">
      <c r="A2129" s="4" t="s">
        <v>6760</v>
      </c>
      <c r="B2129" s="5">
        <v>-1</v>
      </c>
    </row>
    <row r="2130" spans="1:2">
      <c r="A2130" s="4" t="s">
        <v>6761</v>
      </c>
      <c r="B2130" s="5">
        <v>-1</v>
      </c>
    </row>
    <row r="2131" spans="1:2">
      <c r="A2131" s="4" t="s">
        <v>6762</v>
      </c>
      <c r="B2131" s="5">
        <v>-2</v>
      </c>
    </row>
    <row r="2132" spans="1:2">
      <c r="A2132" s="4" t="s">
        <v>6763</v>
      </c>
      <c r="B2132" s="5">
        <v>-2</v>
      </c>
    </row>
    <row r="2133" spans="1:2">
      <c r="A2133" s="4" t="s">
        <v>6764</v>
      </c>
      <c r="B2133" s="5">
        <v>-2</v>
      </c>
    </row>
    <row r="2134" spans="1:2">
      <c r="A2134" s="4" t="s">
        <v>6765</v>
      </c>
      <c r="B2134" s="5">
        <v>-2</v>
      </c>
    </row>
    <row r="2135" spans="1:2">
      <c r="A2135" s="4" t="s">
        <v>6766</v>
      </c>
      <c r="B2135" s="5">
        <v>2</v>
      </c>
    </row>
    <row r="2136" spans="1:2">
      <c r="A2136" s="4" t="s">
        <v>6767</v>
      </c>
      <c r="B2136" s="5">
        <v>2</v>
      </c>
    </row>
    <row r="2137" spans="1:2">
      <c r="A2137" s="4" t="s">
        <v>6768</v>
      </c>
      <c r="B2137" s="5">
        <v>2</v>
      </c>
    </row>
    <row r="2138" spans="1:2">
      <c r="A2138" s="4" t="s">
        <v>6769</v>
      </c>
      <c r="B2138" s="5">
        <v>-3</v>
      </c>
    </row>
    <row r="2139" spans="1:2">
      <c r="A2139" s="4" t="s">
        <v>6770</v>
      </c>
      <c r="B2139" s="5">
        <v>-3</v>
      </c>
    </row>
    <row r="2140" spans="1:2">
      <c r="A2140" s="4" t="s">
        <v>6771</v>
      </c>
      <c r="B2140" s="5">
        <v>-3</v>
      </c>
    </row>
    <row r="2141" spans="1:2">
      <c r="A2141" s="4" t="s">
        <v>6772</v>
      </c>
      <c r="B2141" s="5">
        <v>2</v>
      </c>
    </row>
    <row r="2142" spans="1:2">
      <c r="A2142" s="4" t="s">
        <v>6773</v>
      </c>
      <c r="B2142" s="5">
        <v>2</v>
      </c>
    </row>
    <row r="2143" spans="1:2">
      <c r="A2143" s="4" t="s">
        <v>6774</v>
      </c>
      <c r="B2143" s="5">
        <v>-2</v>
      </c>
    </row>
    <row r="2144" spans="1:2">
      <c r="A2144" s="4" t="s">
        <v>6775</v>
      </c>
      <c r="B2144" s="5">
        <v>2</v>
      </c>
    </row>
    <row r="2145" spans="1:2">
      <c r="A2145" s="4" t="s">
        <v>6776</v>
      </c>
      <c r="B2145" s="5">
        <v>-2</v>
      </c>
    </row>
    <row r="2146" spans="1:2">
      <c r="A2146" s="4" t="s">
        <v>6777</v>
      </c>
      <c r="B2146" s="5">
        <v>-1</v>
      </c>
    </row>
    <row r="2147" spans="1:2">
      <c r="A2147" s="4" t="s">
        <v>6778</v>
      </c>
      <c r="B2147" s="5">
        <v>-3</v>
      </c>
    </row>
    <row r="2148" spans="1:2">
      <c r="A2148" s="4" t="s">
        <v>6779</v>
      </c>
      <c r="B2148" s="5">
        <v>-3</v>
      </c>
    </row>
    <row r="2149" spans="1:2">
      <c r="A2149" s="4" t="s">
        <v>6780</v>
      </c>
      <c r="B2149" s="5">
        <v>4</v>
      </c>
    </row>
    <row r="2150" spans="1:2">
      <c r="A2150" s="4" t="s">
        <v>6781</v>
      </c>
      <c r="B2150" s="5">
        <v>-3</v>
      </c>
    </row>
    <row r="2151" spans="1:2">
      <c r="A2151" s="4" t="s">
        <v>6782</v>
      </c>
      <c r="B2151" s="5">
        <v>-3</v>
      </c>
    </row>
    <row r="2152" spans="1:2">
      <c r="A2152" s="4" t="s">
        <v>6783</v>
      </c>
      <c r="B2152" s="5">
        <v>-3</v>
      </c>
    </row>
    <row r="2153" spans="1:2">
      <c r="A2153" s="4" t="s">
        <v>6784</v>
      </c>
      <c r="B2153" s="5">
        <v>-3</v>
      </c>
    </row>
    <row r="2154" spans="1:2">
      <c r="A2154" s="4" t="s">
        <v>6785</v>
      </c>
      <c r="B2154" s="5">
        <v>-3</v>
      </c>
    </row>
    <row r="2155" spans="1:2">
      <c r="A2155" s="4" t="s">
        <v>6786</v>
      </c>
      <c r="B2155" s="5">
        <v>2</v>
      </c>
    </row>
    <row r="2156" spans="1:2">
      <c r="A2156" s="4" t="s">
        <v>6787</v>
      </c>
      <c r="B2156" s="5">
        <v>2</v>
      </c>
    </row>
    <row r="2157" spans="1:2">
      <c r="A2157" s="4" t="s">
        <v>6788</v>
      </c>
      <c r="B2157" s="5">
        <v>2</v>
      </c>
    </row>
    <row r="2158" spans="1:2">
      <c r="A2158" s="4" t="s">
        <v>6789</v>
      </c>
      <c r="B2158" s="5">
        <v>-2</v>
      </c>
    </row>
    <row r="2159" spans="1:2">
      <c r="A2159" s="4" t="s">
        <v>6790</v>
      </c>
      <c r="B2159" s="5">
        <v>2</v>
      </c>
    </row>
    <row r="2160" spans="1:2">
      <c r="A2160" s="4" t="s">
        <v>6791</v>
      </c>
      <c r="B2160" s="5">
        <v>-2</v>
      </c>
    </row>
    <row r="2161" spans="1:2">
      <c r="A2161" s="4" t="s">
        <v>6792</v>
      </c>
      <c r="B2161" s="5">
        <v>-2</v>
      </c>
    </row>
    <row r="2162" spans="1:2">
      <c r="A2162" s="4" t="s">
        <v>6793</v>
      </c>
      <c r="B2162" s="5">
        <v>-2</v>
      </c>
    </row>
    <row r="2163" spans="1:2">
      <c r="A2163" s="4" t="s">
        <v>6794</v>
      </c>
      <c r="B2163" s="5">
        <v>-2</v>
      </c>
    </row>
    <row r="2164" spans="1:2">
      <c r="A2164" s="4" t="s">
        <v>6795</v>
      </c>
      <c r="B2164" s="5">
        <v>-2</v>
      </c>
    </row>
    <row r="2165" spans="1:2">
      <c r="A2165" s="4" t="s">
        <v>6796</v>
      </c>
      <c r="B2165" s="5">
        <v>-2</v>
      </c>
    </row>
    <row r="2166" spans="1:2">
      <c r="A2166" s="4" t="s">
        <v>6797</v>
      </c>
      <c r="B2166" s="5">
        <v>-2</v>
      </c>
    </row>
    <row r="2167" spans="1:2">
      <c r="A2167" s="4" t="s">
        <v>6798</v>
      </c>
      <c r="B2167" s="5">
        <v>5</v>
      </c>
    </row>
    <row r="2168" spans="1:2">
      <c r="A2168" s="4" t="s">
        <v>6799</v>
      </c>
      <c r="B2168" s="5">
        <v>-2</v>
      </c>
    </row>
    <row r="2169" spans="1:2">
      <c r="A2169" s="4" t="s">
        <v>6800</v>
      </c>
      <c r="B2169" s="5">
        <v>-2</v>
      </c>
    </row>
    <row r="2170" spans="1:2">
      <c r="A2170" s="4" t="s">
        <v>6801</v>
      </c>
      <c r="B2170" s="5">
        <v>-2</v>
      </c>
    </row>
    <row r="2171" spans="1:2">
      <c r="A2171" s="4" t="s">
        <v>6802</v>
      </c>
      <c r="B2171" s="5">
        <v>-2</v>
      </c>
    </row>
    <row r="2172" spans="1:2">
      <c r="A2172" s="4" t="s">
        <v>6803</v>
      </c>
      <c r="B2172" s="5">
        <v>-2</v>
      </c>
    </row>
    <row r="2173" spans="1:2">
      <c r="A2173" s="4" t="s">
        <v>6804</v>
      </c>
      <c r="B2173" s="5">
        <v>-2</v>
      </c>
    </row>
    <row r="2174" spans="1:2">
      <c r="A2174" s="4" t="s">
        <v>6805</v>
      </c>
      <c r="B2174" s="5">
        <v>-2</v>
      </c>
    </row>
    <row r="2175" spans="1:2">
      <c r="A2175" s="4" t="s">
        <v>6806</v>
      </c>
      <c r="B2175" s="5">
        <v>2</v>
      </c>
    </row>
    <row r="2176" spans="1:2">
      <c r="A2176" s="4" t="s">
        <v>6807</v>
      </c>
      <c r="B2176" s="5">
        <v>-2</v>
      </c>
    </row>
    <row r="2177" spans="1:2">
      <c r="A2177" s="4" t="s">
        <v>6808</v>
      </c>
      <c r="B2177" s="5">
        <v>2</v>
      </c>
    </row>
    <row r="2178" spans="1:2">
      <c r="A2178" s="4" t="s">
        <v>6809</v>
      </c>
      <c r="B2178" s="5">
        <v>2</v>
      </c>
    </row>
    <row r="2179" spans="1:2">
      <c r="A2179" s="4" t="s">
        <v>6810</v>
      </c>
      <c r="B2179" s="5">
        <v>-2</v>
      </c>
    </row>
    <row r="2180" spans="1:2">
      <c r="A2180" s="4" t="s">
        <v>6811</v>
      </c>
      <c r="B2180" s="5">
        <v>-4</v>
      </c>
    </row>
    <row r="2181" spans="1:2">
      <c r="A2181" s="4" t="s">
        <v>6812</v>
      </c>
      <c r="B2181" s="5">
        <v>-4</v>
      </c>
    </row>
    <row r="2182" spans="1:2">
      <c r="A2182" s="4" t="s">
        <v>6813</v>
      </c>
      <c r="B2182" s="5">
        <v>-4</v>
      </c>
    </row>
    <row r="2183" spans="1:2">
      <c r="A2183" s="4" t="s">
        <v>6814</v>
      </c>
      <c r="B2183" s="5">
        <v>-4</v>
      </c>
    </row>
    <row r="2184" spans="1:2">
      <c r="A2184" s="4" t="s">
        <v>6815</v>
      </c>
      <c r="B2184" s="5">
        <v>-2</v>
      </c>
    </row>
    <row r="2185" spans="1:2">
      <c r="A2185" s="4" t="s">
        <v>6816</v>
      </c>
      <c r="B2185" s="5">
        <v>-2</v>
      </c>
    </row>
    <row r="2186" spans="1:2">
      <c r="A2186" s="4" t="s">
        <v>6817</v>
      </c>
      <c r="B2186" s="5">
        <v>-2</v>
      </c>
    </row>
    <row r="2187" spans="1:2">
      <c r="A2187" s="4" t="s">
        <v>6818</v>
      </c>
      <c r="B2187" s="5">
        <v>-2</v>
      </c>
    </row>
    <row r="2188" spans="1:2">
      <c r="A2188" s="4" t="s">
        <v>6819</v>
      </c>
      <c r="B2188" s="5">
        <v>-2</v>
      </c>
    </row>
    <row r="2189" spans="1:2">
      <c r="A2189" s="4" t="s">
        <v>6820</v>
      </c>
      <c r="B2189" s="5">
        <v>-2</v>
      </c>
    </row>
    <row r="2190" spans="1:2">
      <c r="A2190" s="4" t="s">
        <v>6821</v>
      </c>
      <c r="B2190" s="5">
        <v>-2</v>
      </c>
    </row>
    <row r="2191" spans="1:2">
      <c r="A2191" s="4" t="s">
        <v>6822</v>
      </c>
      <c r="B2191" s="5">
        <v>-2</v>
      </c>
    </row>
    <row r="2192" spans="1:2">
      <c r="A2192" s="4" t="s">
        <v>6823</v>
      </c>
      <c r="B2192" s="5">
        <v>2</v>
      </c>
    </row>
    <row r="2193" spans="1:2">
      <c r="A2193" s="4" t="s">
        <v>6824</v>
      </c>
      <c r="B2193" s="5">
        <v>-1</v>
      </c>
    </row>
    <row r="2194" spans="1:2">
      <c r="A2194" s="4" t="s">
        <v>6825</v>
      </c>
      <c r="B2194" s="5">
        <v>-2</v>
      </c>
    </row>
    <row r="2195" spans="1:2">
      <c r="A2195" s="4" t="s">
        <v>6826</v>
      </c>
      <c r="B2195" s="5">
        <v>-3</v>
      </c>
    </row>
    <row r="2196" spans="1:2">
      <c r="A2196" s="4" t="s">
        <v>6827</v>
      </c>
      <c r="B2196" s="5">
        <v>-3</v>
      </c>
    </row>
    <row r="2197" spans="1:2">
      <c r="A2197" s="4" t="s">
        <v>6828</v>
      </c>
      <c r="B2197" s="5">
        <v>-2</v>
      </c>
    </row>
    <row r="2198" spans="1:2">
      <c r="A2198" s="4" t="s">
        <v>6829</v>
      </c>
      <c r="B2198" s="5">
        <v>-3</v>
      </c>
    </row>
    <row r="2199" spans="1:2">
      <c r="A2199" s="4" t="s">
        <v>6830</v>
      </c>
      <c r="B2199" s="5">
        <v>-3</v>
      </c>
    </row>
    <row r="2200" spans="1:2">
      <c r="A2200" s="4" t="s">
        <v>6831</v>
      </c>
      <c r="B2200" s="5">
        <v>2</v>
      </c>
    </row>
    <row r="2201" spans="1:2">
      <c r="A2201" s="4" t="s">
        <v>6832</v>
      </c>
      <c r="B2201" s="5">
        <v>2</v>
      </c>
    </row>
    <row r="2202" spans="1:2">
      <c r="A2202" s="4" t="s">
        <v>6833</v>
      </c>
      <c r="B2202" s="5">
        <v>-2</v>
      </c>
    </row>
    <row r="2203" spans="1:2">
      <c r="A2203" s="4" t="s">
        <v>6834</v>
      </c>
      <c r="B2203" s="5">
        <v>-2</v>
      </c>
    </row>
    <row r="2204" spans="1:2">
      <c r="A2204" s="4" t="s">
        <v>6835</v>
      </c>
      <c r="B2204" s="5">
        <v>-2</v>
      </c>
    </row>
    <row r="2205" spans="1:2">
      <c r="A2205" s="4" t="s">
        <v>6836</v>
      </c>
      <c r="B2205" s="5">
        <v>-2</v>
      </c>
    </row>
    <row r="2206" spans="1:2">
      <c r="A2206" s="4" t="s">
        <v>6837</v>
      </c>
      <c r="B2206" s="5">
        <v>4</v>
      </c>
    </row>
    <row r="2207" spans="1:2">
      <c r="A2207" s="4" t="s">
        <v>6838</v>
      </c>
      <c r="B2207" s="5">
        <v>4</v>
      </c>
    </row>
    <row r="2208" spans="1:2">
      <c r="A2208" s="4" t="s">
        <v>6839</v>
      </c>
      <c r="B2208" s="5">
        <v>-2</v>
      </c>
    </row>
    <row r="2209" spans="1:2">
      <c r="A2209" s="4" t="s">
        <v>6840</v>
      </c>
      <c r="B2209" s="5">
        <v>-2</v>
      </c>
    </row>
    <row r="2210" spans="1:2">
      <c r="A2210" s="4" t="s">
        <v>6841</v>
      </c>
      <c r="B2210" s="5">
        <v>-2</v>
      </c>
    </row>
    <row r="2211" spans="1:2">
      <c r="A2211" s="4" t="b">
        <v>1</v>
      </c>
      <c r="B2211" s="5">
        <v>2</v>
      </c>
    </row>
    <row r="2212" spans="1:2">
      <c r="A2212" s="4" t="s">
        <v>6842</v>
      </c>
      <c r="B2212" s="5">
        <v>1</v>
      </c>
    </row>
    <row r="2213" spans="1:2">
      <c r="A2213" s="4" t="s">
        <v>6843</v>
      </c>
      <c r="B2213" s="5">
        <v>2</v>
      </c>
    </row>
    <row r="2214" spans="1:2">
      <c r="A2214" s="4" t="s">
        <v>6844</v>
      </c>
      <c r="B2214" s="5">
        <v>-2</v>
      </c>
    </row>
    <row r="2215" spans="1:2">
      <c r="A2215" s="4" t="s">
        <v>6845</v>
      </c>
      <c r="B2215" s="5">
        <v>-5</v>
      </c>
    </row>
    <row r="2216" spans="1:2">
      <c r="A2216" s="4" t="s">
        <v>6846</v>
      </c>
      <c r="B2216" s="5">
        <v>-3</v>
      </c>
    </row>
    <row r="2217" spans="1:2">
      <c r="A2217" s="4" t="s">
        <v>6847</v>
      </c>
      <c r="B2217" s="5">
        <v>-2</v>
      </c>
    </row>
    <row r="2218" spans="1:2">
      <c r="A2218" s="4" t="s">
        <v>6848</v>
      </c>
      <c r="B2218" s="5">
        <v>-2</v>
      </c>
    </row>
    <row r="2219" spans="1:2">
      <c r="A2219" s="4" t="s">
        <v>6849</v>
      </c>
      <c r="B2219" s="5">
        <v>-2</v>
      </c>
    </row>
    <row r="2220" spans="1:2">
      <c r="A2220" s="4" t="s">
        <v>6850</v>
      </c>
      <c r="B2220" s="5">
        <v>-2</v>
      </c>
    </row>
    <row r="2221" spans="1:2">
      <c r="A2221" s="4" t="s">
        <v>6851</v>
      </c>
      <c r="B2221" s="5">
        <v>-1</v>
      </c>
    </row>
    <row r="2222" spans="1:2">
      <c r="A2222" s="4" t="s">
        <v>6852</v>
      </c>
      <c r="B2222" s="5">
        <v>-1</v>
      </c>
    </row>
    <row r="2223" spans="1:2">
      <c r="A2223" s="4" t="s">
        <v>6853</v>
      </c>
      <c r="B2223" s="5">
        <v>2</v>
      </c>
    </row>
    <row r="2224" spans="1:2">
      <c r="A2224" s="4" t="s">
        <v>6854</v>
      </c>
      <c r="B2224" s="5">
        <v>-1</v>
      </c>
    </row>
    <row r="2225" spans="1:2">
      <c r="A2225" s="4" t="s">
        <v>6855</v>
      </c>
      <c r="B2225" s="5">
        <v>-1</v>
      </c>
    </row>
    <row r="2226" spans="1:2">
      <c r="A2226" s="4" t="s">
        <v>6856</v>
      </c>
      <c r="B2226" s="5">
        <v>-2</v>
      </c>
    </row>
    <row r="2227" spans="1:2">
      <c r="A2227" s="4" t="s">
        <v>6857</v>
      </c>
      <c r="B2227" s="5">
        <v>-2</v>
      </c>
    </row>
    <row r="2228" spans="1:2">
      <c r="A2228" s="4" t="s">
        <v>6858</v>
      </c>
      <c r="B2228" s="5">
        <v>-1</v>
      </c>
    </row>
    <row r="2229" spans="1:2">
      <c r="A2229" s="4" t="s">
        <v>6859</v>
      </c>
      <c r="B2229" s="5">
        <v>-1</v>
      </c>
    </row>
    <row r="2230" spans="1:2">
      <c r="A2230" s="4" t="s">
        <v>6860</v>
      </c>
      <c r="B2230" s="5">
        <v>-1</v>
      </c>
    </row>
    <row r="2231" spans="1:2">
      <c r="A2231" s="4" t="s">
        <v>6861</v>
      </c>
      <c r="B2231" s="5">
        <v>-1</v>
      </c>
    </row>
    <row r="2232" spans="1:2">
      <c r="A2232" s="4" t="s">
        <v>6862</v>
      </c>
      <c r="B2232" s="5">
        <v>-1</v>
      </c>
    </row>
    <row r="2233" spans="1:2">
      <c r="A2233" s="4" t="s">
        <v>6863</v>
      </c>
      <c r="B2233" s="5">
        <v>-1</v>
      </c>
    </row>
    <row r="2234" spans="1:2">
      <c r="A2234" s="4" t="s">
        <v>6864</v>
      </c>
      <c r="B2234" s="5">
        <v>-1</v>
      </c>
    </row>
    <row r="2235" spans="1:2">
      <c r="A2235" s="4" t="s">
        <v>6865</v>
      </c>
      <c r="B2235" s="5">
        <v>-1</v>
      </c>
    </row>
    <row r="2236" spans="1:2">
      <c r="A2236" s="4" t="s">
        <v>6866</v>
      </c>
      <c r="B2236" s="5">
        <v>-2</v>
      </c>
    </row>
    <row r="2237" spans="1:2">
      <c r="A2237" s="4" t="s">
        <v>6867</v>
      </c>
      <c r="B2237" s="5">
        <v>-2</v>
      </c>
    </row>
    <row r="2238" spans="1:2">
      <c r="A2238" s="4" t="s">
        <v>6868</v>
      </c>
      <c r="B2238" s="5">
        <v>-2</v>
      </c>
    </row>
    <row r="2239" spans="1:2">
      <c r="A2239" s="4" t="s">
        <v>6869</v>
      </c>
      <c r="B2239" s="5">
        <v>-2</v>
      </c>
    </row>
    <row r="2240" spans="1:2">
      <c r="A2240" s="4" t="s">
        <v>6870</v>
      </c>
      <c r="B2240" s="5">
        <v>-2</v>
      </c>
    </row>
    <row r="2241" spans="1:2">
      <c r="A2241" s="4" t="s">
        <v>6871</v>
      </c>
      <c r="B2241" s="5">
        <v>-2</v>
      </c>
    </row>
    <row r="2242" spans="1:2">
      <c r="A2242" s="4" t="s">
        <v>6872</v>
      </c>
      <c r="B2242" s="5">
        <v>-2</v>
      </c>
    </row>
    <row r="2243" spans="1:2">
      <c r="A2243" s="4" t="s">
        <v>6873</v>
      </c>
      <c r="B2243" s="5">
        <v>-2</v>
      </c>
    </row>
    <row r="2244" spans="1:2">
      <c r="A2244" s="4" t="s">
        <v>6874</v>
      </c>
      <c r="B2244" s="5">
        <v>-1</v>
      </c>
    </row>
    <row r="2245" spans="1:2">
      <c r="A2245" s="4" t="s">
        <v>6875</v>
      </c>
      <c r="B2245" s="5">
        <v>2</v>
      </c>
    </row>
    <row r="2246" spans="1:2">
      <c r="A2246" s="4" t="s">
        <v>6876</v>
      </c>
      <c r="B2246" s="5">
        <v>-2</v>
      </c>
    </row>
    <row r="2247" spans="1:2">
      <c r="A2247" s="4" t="s">
        <v>6877</v>
      </c>
      <c r="B2247" s="5">
        <v>-2</v>
      </c>
    </row>
    <row r="2248" spans="1:2">
      <c r="A2248" s="4" t="s">
        <v>6878</v>
      </c>
      <c r="B2248" s="5">
        <v>-2</v>
      </c>
    </row>
    <row r="2249" spans="1:2">
      <c r="A2249" s="4" t="s">
        <v>6879</v>
      </c>
      <c r="B2249" s="5">
        <v>-2</v>
      </c>
    </row>
    <row r="2250" spans="1:2">
      <c r="A2250" s="4" t="s">
        <v>6880</v>
      </c>
      <c r="B2250" s="5">
        <v>-2</v>
      </c>
    </row>
    <row r="2251" spans="1:2">
      <c r="A2251" s="4" t="s">
        <v>6881</v>
      </c>
      <c r="B2251" s="5">
        <v>-2</v>
      </c>
    </row>
    <row r="2252" spans="1:2">
      <c r="A2252" s="4" t="s">
        <v>6882</v>
      </c>
      <c r="B2252" s="5">
        <v>1</v>
      </c>
    </row>
    <row r="2253" spans="1:2">
      <c r="A2253" s="4" t="s">
        <v>6883</v>
      </c>
      <c r="B2253" s="5">
        <v>-2</v>
      </c>
    </row>
    <row r="2254" spans="1:2">
      <c r="A2254" s="4" t="s">
        <v>6884</v>
      </c>
      <c r="B2254" s="5">
        <v>-2</v>
      </c>
    </row>
    <row r="2255" spans="1:2">
      <c r="A2255" s="4" t="s">
        <v>6885</v>
      </c>
      <c r="B2255" s="5">
        <v>1</v>
      </c>
    </row>
    <row r="2256" spans="1:2">
      <c r="A2256" s="4" t="s">
        <v>6886</v>
      </c>
      <c r="B2256" s="5">
        <v>-2</v>
      </c>
    </row>
    <row r="2257" spans="1:2">
      <c r="A2257" s="4" t="s">
        <v>6887</v>
      </c>
      <c r="B2257" s="5">
        <v>-2</v>
      </c>
    </row>
    <row r="2258" spans="1:2">
      <c r="A2258" s="4" t="s">
        <v>6888</v>
      </c>
      <c r="B2258" s="5">
        <v>-2</v>
      </c>
    </row>
    <row r="2259" spans="1:2">
      <c r="A2259" s="4" t="s">
        <v>6889</v>
      </c>
      <c r="B2259" s="5">
        <v>1</v>
      </c>
    </row>
    <row r="2260" spans="1:2">
      <c r="A2260" s="4" t="s">
        <v>6890</v>
      </c>
      <c r="B2260" s="5">
        <v>-2</v>
      </c>
    </row>
    <row r="2261" spans="1:2">
      <c r="A2261" s="4" t="s">
        <v>6891</v>
      </c>
      <c r="B2261" s="5">
        <v>-2</v>
      </c>
    </row>
    <row r="2262" spans="1:2">
      <c r="A2262" s="4" t="s">
        <v>6892</v>
      </c>
      <c r="B2262" s="5">
        <v>-2</v>
      </c>
    </row>
    <row r="2263" spans="1:2">
      <c r="A2263" s="4" t="s">
        <v>6893</v>
      </c>
      <c r="B2263" s="5">
        <v>-2</v>
      </c>
    </row>
    <row r="2264" spans="1:2">
      <c r="A2264" s="4" t="s">
        <v>6894</v>
      </c>
      <c r="B2264" s="5">
        <v>-2</v>
      </c>
    </row>
    <row r="2265" spans="1:2">
      <c r="A2265" s="4" t="s">
        <v>6895</v>
      </c>
      <c r="B2265" s="5">
        <v>-1</v>
      </c>
    </row>
    <row r="2266" spans="1:2">
      <c r="A2266" s="4" t="s">
        <v>6896</v>
      </c>
      <c r="B2266" s="5">
        <v>-2</v>
      </c>
    </row>
    <row r="2267" spans="1:2">
      <c r="A2267" s="4" t="s">
        <v>6897</v>
      </c>
      <c r="B2267" s="5">
        <v>-2</v>
      </c>
    </row>
    <row r="2268" spans="1:2">
      <c r="A2268" s="4" t="s">
        <v>6898</v>
      </c>
      <c r="B2268" s="5">
        <v>2</v>
      </c>
    </row>
    <row r="2269" spans="1:2">
      <c r="A2269" s="4" t="s">
        <v>6899</v>
      </c>
      <c r="B2269" s="5">
        <v>-2</v>
      </c>
    </row>
    <row r="2270" spans="1:2">
      <c r="A2270" s="4" t="s">
        <v>6900</v>
      </c>
      <c r="B2270" s="5">
        <v>-1</v>
      </c>
    </row>
    <row r="2271" spans="1:2">
      <c r="A2271" s="4" t="s">
        <v>6901</v>
      </c>
      <c r="B2271" s="5">
        <v>2</v>
      </c>
    </row>
    <row r="2272" spans="1:2">
      <c r="A2272" s="4" t="s">
        <v>6902</v>
      </c>
      <c r="B2272" s="5">
        <v>-2</v>
      </c>
    </row>
    <row r="2273" spans="1:2">
      <c r="A2273" s="4" t="s">
        <v>6903</v>
      </c>
      <c r="B2273" s="5">
        <v>-2</v>
      </c>
    </row>
    <row r="2274" spans="1:2">
      <c r="A2274" s="4" t="s">
        <v>6904</v>
      </c>
      <c r="B2274" s="5">
        <v>-2</v>
      </c>
    </row>
    <row r="2275" spans="1:2">
      <c r="A2275" s="4" t="s">
        <v>6905</v>
      </c>
      <c r="B2275" s="5">
        <v>-2</v>
      </c>
    </row>
    <row r="2276" spans="1:2">
      <c r="A2276" s="4" t="s">
        <v>6906</v>
      </c>
      <c r="B2276" s="5">
        <v>-2</v>
      </c>
    </row>
    <row r="2277" spans="1:2">
      <c r="A2277" s="4" t="s">
        <v>6907</v>
      </c>
      <c r="B2277" s="5">
        <v>-2</v>
      </c>
    </row>
    <row r="2278" spans="1:2">
      <c r="A2278" s="4" t="s">
        <v>6908</v>
      </c>
      <c r="B2278" s="5">
        <v>-1</v>
      </c>
    </row>
    <row r="2279" spans="1:2">
      <c r="A2279" s="4" t="s">
        <v>6909</v>
      </c>
      <c r="B2279" s="5">
        <v>2</v>
      </c>
    </row>
    <row r="2280" spans="1:2">
      <c r="A2280" s="4" t="s">
        <v>6910</v>
      </c>
      <c r="B2280" s="5">
        <v>2</v>
      </c>
    </row>
    <row r="2281" spans="1:2">
      <c r="A2281" s="4" t="s">
        <v>6911</v>
      </c>
      <c r="B2281" s="5">
        <v>-2</v>
      </c>
    </row>
    <row r="2282" spans="1:2">
      <c r="A2282" s="4" t="s">
        <v>6912</v>
      </c>
      <c r="B2282" s="5">
        <v>-2</v>
      </c>
    </row>
    <row r="2283" spans="1:2">
      <c r="A2283" s="4" t="s">
        <v>6913</v>
      </c>
      <c r="B2283" s="5">
        <v>-2</v>
      </c>
    </row>
    <row r="2284" spans="1:2">
      <c r="A2284" s="4" t="s">
        <v>6914</v>
      </c>
      <c r="B2284" s="5">
        <v>1</v>
      </c>
    </row>
    <row r="2285" spans="1:2">
      <c r="A2285" s="4" t="s">
        <v>6915</v>
      </c>
      <c r="B2285" s="5">
        <v>1</v>
      </c>
    </row>
    <row r="2286" spans="1:2">
      <c r="A2286" s="4" t="s">
        <v>6916</v>
      </c>
      <c r="B2286" s="5">
        <v>1</v>
      </c>
    </row>
    <row r="2287" spans="1:2">
      <c r="A2287" s="4" t="s">
        <v>6917</v>
      </c>
      <c r="B2287" s="5">
        <v>1</v>
      </c>
    </row>
    <row r="2288" spans="1:2">
      <c r="A2288" s="4" t="s">
        <v>6918</v>
      </c>
      <c r="B2288" s="5">
        <v>-1</v>
      </c>
    </row>
    <row r="2289" spans="1:2">
      <c r="A2289" s="4" t="s">
        <v>6919</v>
      </c>
      <c r="B2289" s="5">
        <v>-1</v>
      </c>
    </row>
    <row r="2290" spans="1:2">
      <c r="A2290" s="4" t="s">
        <v>6920</v>
      </c>
      <c r="B2290" s="5">
        <v>1</v>
      </c>
    </row>
    <row r="2291" spans="1:2">
      <c r="A2291" s="4" t="s">
        <v>6921</v>
      </c>
      <c r="B2291" s="5">
        <v>-2</v>
      </c>
    </row>
    <row r="2292" spans="1:2">
      <c r="A2292" s="4" t="s">
        <v>6922</v>
      </c>
      <c r="B2292" s="5">
        <v>-2</v>
      </c>
    </row>
    <row r="2293" spans="1:2">
      <c r="A2293" s="4" t="s">
        <v>6923</v>
      </c>
      <c r="B2293" s="5">
        <v>3</v>
      </c>
    </row>
    <row r="2294" spans="1:2">
      <c r="A2294" s="4" t="s">
        <v>6924</v>
      </c>
      <c r="B2294" s="5">
        <v>-2</v>
      </c>
    </row>
    <row r="2295" spans="1:2">
      <c r="A2295" s="4" t="s">
        <v>6925</v>
      </c>
      <c r="B2295" s="5">
        <v>-3</v>
      </c>
    </row>
    <row r="2296" spans="1:2">
      <c r="A2296" s="4" t="s">
        <v>6926</v>
      </c>
      <c r="B2296" s="5">
        <v>-3</v>
      </c>
    </row>
    <row r="2297" spans="1:2">
      <c r="A2297" s="4" t="s">
        <v>6927</v>
      </c>
      <c r="B2297" s="5">
        <v>-3</v>
      </c>
    </row>
    <row r="2298" spans="1:2">
      <c r="A2298" s="4" t="s">
        <v>6928</v>
      </c>
      <c r="B2298" s="5">
        <v>-3</v>
      </c>
    </row>
    <row r="2299" spans="1:2">
      <c r="A2299" s="4" t="s">
        <v>6929</v>
      </c>
      <c r="B2299" s="5">
        <v>-3</v>
      </c>
    </row>
    <row r="2300" spans="1:2">
      <c r="A2300" s="4" t="s">
        <v>6930</v>
      </c>
      <c r="B2300" s="5">
        <v>-3</v>
      </c>
    </row>
    <row r="2301" spans="1:2">
      <c r="A2301" s="4" t="s">
        <v>6931</v>
      </c>
      <c r="B2301" s="5">
        <v>3</v>
      </c>
    </row>
    <row r="2302" spans="1:2">
      <c r="A2302" s="4" t="s">
        <v>6932</v>
      </c>
      <c r="B2302" s="5">
        <v>-3</v>
      </c>
    </row>
    <row r="2303" spans="1:2">
      <c r="A2303" s="4" t="s">
        <v>6933</v>
      </c>
      <c r="B2303" s="5">
        <v>2</v>
      </c>
    </row>
    <row r="2304" spans="1:2">
      <c r="A2304" s="4" t="s">
        <v>6934</v>
      </c>
      <c r="B2304" s="5">
        <v>2</v>
      </c>
    </row>
    <row r="2305" spans="1:2">
      <c r="A2305" s="4" t="s">
        <v>6935</v>
      </c>
      <c r="B2305" s="5">
        <v>2</v>
      </c>
    </row>
    <row r="2306" spans="1:2">
      <c r="A2306" s="4" t="s">
        <v>6936</v>
      </c>
      <c r="B2306" s="5">
        <v>2</v>
      </c>
    </row>
    <row r="2307" spans="1:2">
      <c r="A2307" s="4" t="s">
        <v>6937</v>
      </c>
      <c r="B2307" s="5">
        <v>-2</v>
      </c>
    </row>
    <row r="2308" spans="1:2">
      <c r="A2308" s="4" t="s">
        <v>6938</v>
      </c>
      <c r="B2308" s="5">
        <v>-2</v>
      </c>
    </row>
    <row r="2309" spans="1:2">
      <c r="A2309" s="4" t="s">
        <v>6939</v>
      </c>
      <c r="B2309" s="5">
        <v>-2</v>
      </c>
    </row>
    <row r="2310" spans="1:2">
      <c r="A2310" s="4" t="s">
        <v>6940</v>
      </c>
      <c r="B2310" s="5">
        <v>-2</v>
      </c>
    </row>
    <row r="2311" spans="1:2">
      <c r="A2311" s="4" t="s">
        <v>6941</v>
      </c>
      <c r="B2311" s="5">
        <v>-3</v>
      </c>
    </row>
    <row r="2312" spans="1:2">
      <c r="A2312" s="4" t="s">
        <v>6942</v>
      </c>
      <c r="B2312" s="5">
        <v>-3</v>
      </c>
    </row>
    <row r="2313" spans="1:2">
      <c r="A2313" s="4" t="s">
        <v>6943</v>
      </c>
      <c r="B2313" s="5">
        <v>2</v>
      </c>
    </row>
    <row r="2314" spans="1:2">
      <c r="A2314" s="4" t="s">
        <v>6944</v>
      </c>
      <c r="B2314" s="5">
        <v>-2</v>
      </c>
    </row>
    <row r="2315" spans="1:2">
      <c r="A2315" s="4" t="s">
        <v>6945</v>
      </c>
      <c r="B2315" s="5">
        <v>1</v>
      </c>
    </row>
    <row r="2316" spans="1:2">
      <c r="A2316" s="4" t="s">
        <v>6946</v>
      </c>
      <c r="B2316" s="5">
        <v>3</v>
      </c>
    </row>
    <row r="2317" spans="1:2">
      <c r="A2317" s="4" t="s">
        <v>6947</v>
      </c>
      <c r="B2317" s="5">
        <v>1</v>
      </c>
    </row>
    <row r="2318" spans="1:2">
      <c r="A2318" s="4" t="s">
        <v>6948</v>
      </c>
      <c r="B2318" s="5">
        <v>1</v>
      </c>
    </row>
    <row r="2319" spans="1:2">
      <c r="A2319" s="4" t="s">
        <v>6949</v>
      </c>
      <c r="B2319" s="5">
        <v>3</v>
      </c>
    </row>
    <row r="2320" spans="1:2">
      <c r="A2320" s="4" t="s">
        <v>6950</v>
      </c>
      <c r="B2320" s="5">
        <v>1</v>
      </c>
    </row>
    <row r="2321" spans="1:2">
      <c r="A2321" s="4" t="s">
        <v>6951</v>
      </c>
      <c r="B2321" s="5">
        <v>-3</v>
      </c>
    </row>
    <row r="2322" spans="1:2">
      <c r="A2322" s="4" t="s">
        <v>6952</v>
      </c>
      <c r="B2322" s="5">
        <v>3</v>
      </c>
    </row>
    <row r="2323" spans="1:2">
      <c r="A2323" s="4" t="s">
        <v>6953</v>
      </c>
      <c r="B2323" s="5">
        <v>-1</v>
      </c>
    </row>
    <row r="2324" spans="1:2">
      <c r="A2324" s="4" t="s">
        <v>6954</v>
      </c>
      <c r="B2324" s="5">
        <v>-2</v>
      </c>
    </row>
    <row r="2325" spans="1:2">
      <c r="A2325" s="4" t="s">
        <v>6955</v>
      </c>
      <c r="B2325" s="5">
        <v>-2</v>
      </c>
    </row>
    <row r="2326" spans="1:2">
      <c r="A2326" s="4" t="s">
        <v>6956</v>
      </c>
      <c r="B2326" s="5">
        <v>-2</v>
      </c>
    </row>
    <row r="2327" spans="1:2">
      <c r="A2327" s="4" t="s">
        <v>6957</v>
      </c>
      <c r="B2327" s="5">
        <v>-2</v>
      </c>
    </row>
    <row r="2328" spans="1:2">
      <c r="A2328" s="4" t="s">
        <v>6958</v>
      </c>
      <c r="B2328" s="5">
        <v>-3</v>
      </c>
    </row>
    <row r="2329" spans="1:2">
      <c r="A2329" s="4" t="s">
        <v>6959</v>
      </c>
      <c r="B2329" s="5">
        <v>1</v>
      </c>
    </row>
    <row r="2330" spans="1:2">
      <c r="A2330" s="4" t="s">
        <v>6960</v>
      </c>
      <c r="B2330" s="5">
        <v>-2</v>
      </c>
    </row>
    <row r="2331" spans="1:2">
      <c r="A2331" s="4" t="s">
        <v>6961</v>
      </c>
      <c r="B2331" s="5">
        <v>-2</v>
      </c>
    </row>
    <row r="2332" spans="1:2">
      <c r="A2332" s="4" t="s">
        <v>6962</v>
      </c>
      <c r="B2332" s="5">
        <v>1</v>
      </c>
    </row>
    <row r="2333" spans="1:2">
      <c r="A2333" s="4" t="s">
        <v>6963</v>
      </c>
      <c r="B2333" s="5">
        <v>2</v>
      </c>
    </row>
    <row r="2334" spans="1:2">
      <c r="A2334" s="4" t="s">
        <v>6964</v>
      </c>
      <c r="B2334" s="5">
        <v>-2</v>
      </c>
    </row>
    <row r="2335" spans="1:2">
      <c r="A2335" s="4" t="s">
        <v>6965</v>
      </c>
      <c r="B2335" s="5">
        <v>-2</v>
      </c>
    </row>
    <row r="2336" spans="1:2">
      <c r="A2336" s="4" t="s">
        <v>6966</v>
      </c>
      <c r="B2336" s="5">
        <v>-3</v>
      </c>
    </row>
    <row r="2337" spans="1:2">
      <c r="A2337" s="4" t="s">
        <v>6967</v>
      </c>
      <c r="B2337" s="5">
        <v>-3</v>
      </c>
    </row>
    <row r="2338" spans="1:2">
      <c r="A2338" s="4" t="s">
        <v>6968</v>
      </c>
      <c r="B2338" s="5">
        <v>-2</v>
      </c>
    </row>
    <row r="2339" spans="1:2">
      <c r="A2339" s="4" t="s">
        <v>6969</v>
      </c>
      <c r="B2339" s="5">
        <v>-1</v>
      </c>
    </row>
    <row r="2340" spans="1:2">
      <c r="A2340" s="4" t="s">
        <v>6970</v>
      </c>
      <c r="B2340" s="5">
        <v>-2</v>
      </c>
    </row>
    <row r="2341" spans="1:2">
      <c r="A2341" s="4" t="s">
        <v>6971</v>
      </c>
      <c r="B2341" s="5">
        <v>-2</v>
      </c>
    </row>
    <row r="2342" spans="1:2">
      <c r="A2342" s="4" t="s">
        <v>6972</v>
      </c>
      <c r="B2342" s="5">
        <v>-1</v>
      </c>
    </row>
    <row r="2343" spans="1:2">
      <c r="A2343" s="4" t="s">
        <v>6973</v>
      </c>
      <c r="B2343" s="5">
        <v>-2</v>
      </c>
    </row>
    <row r="2344" spans="1:2">
      <c r="A2344" s="4" t="s">
        <v>6974</v>
      </c>
      <c r="B2344" s="5">
        <v>-2</v>
      </c>
    </row>
    <row r="2345" spans="1:2">
      <c r="A2345" s="4" t="s">
        <v>6975</v>
      </c>
      <c r="B2345" s="5">
        <v>3</v>
      </c>
    </row>
    <row r="2346" spans="1:2">
      <c r="A2346" s="4" t="s">
        <v>6976</v>
      </c>
      <c r="B2346" s="5">
        <v>2</v>
      </c>
    </row>
    <row r="2347" spans="1:2">
      <c r="A2347" s="4" t="s">
        <v>6977</v>
      </c>
      <c r="B2347" s="5">
        <v>-2</v>
      </c>
    </row>
    <row r="2348" spans="1:2">
      <c r="A2348" s="4" t="s">
        <v>6978</v>
      </c>
      <c r="B2348" s="5">
        <v>-2</v>
      </c>
    </row>
    <row r="2349" spans="1:2">
      <c r="A2349" s="4" t="s">
        <v>6979</v>
      </c>
      <c r="B2349" s="5">
        <v>-2</v>
      </c>
    </row>
    <row r="2350" spans="1:2">
      <c r="A2350" s="4" t="s">
        <v>6980</v>
      </c>
      <c r="B2350" s="5">
        <v>-2</v>
      </c>
    </row>
    <row r="2351" spans="1:2">
      <c r="A2351" s="4" t="s">
        <v>6981</v>
      </c>
      <c r="B2351" s="5">
        <v>2</v>
      </c>
    </row>
    <row r="2352" spans="1:2">
      <c r="A2352" s="4" t="s">
        <v>6982</v>
      </c>
      <c r="B2352" s="5">
        <v>2</v>
      </c>
    </row>
    <row r="2353" spans="1:2">
      <c r="A2353" s="4" t="s">
        <v>6983</v>
      </c>
      <c r="B2353" s="5">
        <v>2</v>
      </c>
    </row>
    <row r="2354" spans="1:2">
      <c r="A2354" s="4" t="s">
        <v>6984</v>
      </c>
      <c r="B2354" s="5">
        <v>1</v>
      </c>
    </row>
    <row r="2355" spans="1:2">
      <c r="A2355" s="4" t="s">
        <v>6985</v>
      </c>
      <c r="B2355" s="5">
        <v>-3</v>
      </c>
    </row>
    <row r="2356" spans="1:2">
      <c r="A2356" s="4" t="s">
        <v>6986</v>
      </c>
      <c r="B2356" s="5">
        <v>-2</v>
      </c>
    </row>
    <row r="2357" spans="1:2">
      <c r="A2357" s="4" t="s">
        <v>6987</v>
      </c>
      <c r="B2357" s="5">
        <v>-1</v>
      </c>
    </row>
    <row r="2358" spans="1:2">
      <c r="A2358" s="4" t="s">
        <v>6988</v>
      </c>
      <c r="B2358" s="5">
        <v>2</v>
      </c>
    </row>
    <row r="2359" spans="1:2">
      <c r="A2359" s="4" t="s">
        <v>6989</v>
      </c>
      <c r="B2359" s="5">
        <v>4</v>
      </c>
    </row>
    <row r="2360" spans="1:2">
      <c r="A2360" s="4" t="s">
        <v>6990</v>
      </c>
      <c r="B2360" s="5">
        <v>4</v>
      </c>
    </row>
    <row r="2361" spans="1:2">
      <c r="A2361" s="4" t="s">
        <v>6991</v>
      </c>
      <c r="B2361" s="5">
        <v>4</v>
      </c>
    </row>
    <row r="2362" spans="1:2">
      <c r="A2362" s="4" t="s">
        <v>6992</v>
      </c>
      <c r="B2362" s="5">
        <v>4</v>
      </c>
    </row>
    <row r="2363" spans="1:2">
      <c r="A2363" s="4" t="s">
        <v>6993</v>
      </c>
      <c r="B2363" s="5">
        <v>3</v>
      </c>
    </row>
    <row r="2364" spans="1:2">
      <c r="A2364" s="4" t="s">
        <v>6994</v>
      </c>
      <c r="B2364" s="5">
        <v>1</v>
      </c>
    </row>
    <row r="2365" spans="1:2">
      <c r="A2365" s="4" t="s">
        <v>6995</v>
      </c>
      <c r="B2365" s="5">
        <v>1</v>
      </c>
    </row>
    <row r="2366" spans="1:2">
      <c r="A2366" s="4" t="s">
        <v>6996</v>
      </c>
      <c r="B2366" s="5">
        <v>1</v>
      </c>
    </row>
    <row r="2367" spans="1:2">
      <c r="A2367" s="4" t="s">
        <v>6997</v>
      </c>
      <c r="B2367" s="5">
        <v>-3</v>
      </c>
    </row>
    <row r="2368" spans="1:2">
      <c r="A2368" s="4" t="s">
        <v>6998</v>
      </c>
      <c r="B2368" s="5">
        <v>-3</v>
      </c>
    </row>
    <row r="2369" spans="1:2">
      <c r="A2369" s="4" t="s">
        <v>6999</v>
      </c>
      <c r="B2369" s="5">
        <v>3</v>
      </c>
    </row>
    <row r="2370" spans="1:2">
      <c r="A2370" s="4" t="s">
        <v>7000</v>
      </c>
      <c r="B2370" s="5">
        <v>4</v>
      </c>
    </row>
    <row r="2371" spans="1:2">
      <c r="A2371" s="4" t="s">
        <v>7001</v>
      </c>
      <c r="B2371" s="5">
        <v>-1</v>
      </c>
    </row>
    <row r="2372" spans="1:2">
      <c r="A2372" s="4" t="s">
        <v>7002</v>
      </c>
      <c r="B2372" s="5">
        <v>-3</v>
      </c>
    </row>
    <row r="2373" spans="1:2">
      <c r="A2373" s="4" t="s">
        <v>7003</v>
      </c>
      <c r="B2373" s="5">
        <v>-3</v>
      </c>
    </row>
    <row r="2374" spans="1:2">
      <c r="A2374" s="4" t="s">
        <v>7004</v>
      </c>
      <c r="B2374" s="5">
        <v>-3</v>
      </c>
    </row>
    <row r="2375" spans="1:2">
      <c r="A2375" s="4" t="s">
        <v>7005</v>
      </c>
      <c r="B2375" s="5">
        <v>-3</v>
      </c>
    </row>
    <row r="2376" spans="1:2">
      <c r="A2376" s="4" t="s">
        <v>7006</v>
      </c>
      <c r="B2376" s="5">
        <v>-3</v>
      </c>
    </row>
    <row r="2377" spans="1:2">
      <c r="A2377" s="4" t="s">
        <v>7007</v>
      </c>
      <c r="B2377" s="5">
        <v>-3</v>
      </c>
    </row>
    <row r="2378" spans="1:2">
      <c r="A2378" s="4" t="s">
        <v>7008</v>
      </c>
      <c r="B2378" s="5">
        <v>-3</v>
      </c>
    </row>
    <row r="2379" spans="1:2">
      <c r="A2379" s="4" t="s">
        <v>7009</v>
      </c>
      <c r="B2379" s="5">
        <v>-3</v>
      </c>
    </row>
    <row r="2380" spans="1:2">
      <c r="A2380" s="4" t="s">
        <v>7010</v>
      </c>
      <c r="B2380" s="5">
        <v>3</v>
      </c>
    </row>
    <row r="2381" spans="1:2">
      <c r="A2381" s="4" t="s">
        <v>7011</v>
      </c>
      <c r="B2381" s="5">
        <v>-3</v>
      </c>
    </row>
    <row r="2382" spans="1:2">
      <c r="A2382" s="4" t="s">
        <v>7012</v>
      </c>
      <c r="B2382" s="5">
        <v>2</v>
      </c>
    </row>
    <row r="2383" spans="1:2">
      <c r="A2383" s="4" t="s">
        <v>7013</v>
      </c>
      <c r="B2383" s="5">
        <v>-2</v>
      </c>
    </row>
    <row r="2384" spans="1:2">
      <c r="A2384" s="4" t="s">
        <v>7014</v>
      </c>
      <c r="B2384" s="5">
        <v>2</v>
      </c>
    </row>
    <row r="2385" spans="1:2">
      <c r="A2385" s="4" t="s">
        <v>295</v>
      </c>
      <c r="B2385" s="5">
        <v>4</v>
      </c>
    </row>
    <row r="2386" spans="1:2">
      <c r="A2386" s="4" t="s">
        <v>7015</v>
      </c>
      <c r="B2386" s="5">
        <v>-3</v>
      </c>
    </row>
    <row r="2387" spans="1:2">
      <c r="A2387" s="4" t="s">
        <v>7016</v>
      </c>
      <c r="B2387" s="5">
        <v>-2</v>
      </c>
    </row>
    <row r="2388" spans="1:2">
      <c r="A2388" s="4" t="s">
        <v>7017</v>
      </c>
      <c r="B2388" s="5">
        <v>-2</v>
      </c>
    </row>
    <row r="2389" spans="1:2">
      <c r="A2389" s="4" t="s">
        <v>7018</v>
      </c>
      <c r="B2389" s="5">
        <v>-2</v>
      </c>
    </row>
    <row r="2390" spans="1:2">
      <c r="A2390" s="4" t="s">
        <v>7019</v>
      </c>
      <c r="B2390" s="5">
        <v>1</v>
      </c>
    </row>
    <row r="2391" spans="1:2">
      <c r="A2391" s="4" t="s">
        <v>7020</v>
      </c>
      <c r="B2391" s="5">
        <v>1</v>
      </c>
    </row>
    <row r="2392" spans="1:2">
      <c r="A2392" s="4" t="s">
        <v>7021</v>
      </c>
      <c r="B2392" s="5">
        <v>1</v>
      </c>
    </row>
    <row r="2393" spans="1:2">
      <c r="A2393" s="4" t="s">
        <v>7022</v>
      </c>
      <c r="B2393" s="5">
        <v>2</v>
      </c>
    </row>
    <row r="2394" spans="1:2">
      <c r="A2394" s="4" t="s">
        <v>7023</v>
      </c>
      <c r="B2394" s="5">
        <v>-2</v>
      </c>
    </row>
    <row r="2395" spans="1:2">
      <c r="A2395" s="4" t="s">
        <v>7024</v>
      </c>
      <c r="B2395" s="5">
        <v>3</v>
      </c>
    </row>
    <row r="2396" spans="1:2">
      <c r="A2396" s="4" t="s">
        <v>7025</v>
      </c>
      <c r="B2396" s="5">
        <v>-2</v>
      </c>
    </row>
    <row r="2397" spans="1:2">
      <c r="A2397" s="4" t="s">
        <v>7026</v>
      </c>
      <c r="B2397" s="5">
        <v>-2</v>
      </c>
    </row>
    <row r="2398" spans="1:2">
      <c r="A2398" s="4" t="s">
        <v>7027</v>
      </c>
      <c r="B2398" s="5">
        <v>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EB39D4-D546-2448-9D45-F798AA7604A8}">
  <sheetPr codeName="Sheet3"/>
  <dimension ref="A1:D252"/>
  <sheetViews>
    <sheetView workbookViewId="0">
      <selection activeCell="C157" sqref="C157"/>
    </sheetView>
  </sheetViews>
  <sheetFormatPr defaultColWidth="11.5546875" defaultRowHeight="15"/>
  <cols>
    <col min="1" max="1" width="40.77734375" customWidth="1"/>
    <col min="2" max="2" width="17.6640625" customWidth="1"/>
    <col min="3" max="3" width="25.33203125" customWidth="1"/>
  </cols>
  <sheetData>
    <row r="1" spans="1:3" ht="15.75">
      <c r="A1" s="6" t="s">
        <v>7028</v>
      </c>
      <c r="B1" s="6" t="s">
        <v>7029</v>
      </c>
      <c r="C1" s="7" t="s">
        <v>7030</v>
      </c>
    </row>
    <row r="2" spans="1:3" ht="15.95">
      <c r="A2" s="4" t="s">
        <v>7031</v>
      </c>
      <c r="B2" s="5" t="s">
        <v>2451</v>
      </c>
      <c r="C2">
        <f xml:space="preserve"> COUNTIF(Data!G2:G3501, A2)</f>
        <v>1</v>
      </c>
    </row>
    <row r="3" spans="1:3" ht="15.95">
      <c r="A3" s="4" t="s">
        <v>7032</v>
      </c>
      <c r="B3" s="5" t="s">
        <v>479</v>
      </c>
      <c r="C3">
        <f xml:space="preserve"> COUNTIF(Data!G3:G3502, A3)</f>
        <v>1</v>
      </c>
    </row>
    <row r="4" spans="1:3" ht="15.95">
      <c r="A4" s="4" t="s">
        <v>7033</v>
      </c>
      <c r="B4" s="5" t="s">
        <v>7034</v>
      </c>
      <c r="C4">
        <f xml:space="preserve"> COUNTIF(Data!G4:G3503, A4)</f>
        <v>0</v>
      </c>
    </row>
    <row r="5" spans="1:3" ht="15.95">
      <c r="A5" s="4" t="s">
        <v>7035</v>
      </c>
      <c r="B5" s="5" t="s">
        <v>7036</v>
      </c>
      <c r="C5">
        <f xml:space="preserve"> COUNTIF(Data!G5:G3504, A5)</f>
        <v>0</v>
      </c>
    </row>
    <row r="6" spans="1:3" ht="15.95">
      <c r="A6" s="4" t="s">
        <v>7037</v>
      </c>
      <c r="B6" s="5" t="s">
        <v>7038</v>
      </c>
      <c r="C6">
        <f xml:space="preserve"> COUNTIF(Data!G6:G3505, A6)</f>
        <v>0</v>
      </c>
    </row>
    <row r="7" spans="1:3" ht="15.95">
      <c r="A7" s="4" t="s">
        <v>7039</v>
      </c>
      <c r="B7" s="5" t="s">
        <v>7040</v>
      </c>
      <c r="C7">
        <f xml:space="preserve"> COUNTIF(Data!G7:G3506, A7)</f>
        <v>0</v>
      </c>
    </row>
    <row r="8" spans="1:3" ht="15.95">
      <c r="A8" s="4" t="s">
        <v>7041</v>
      </c>
      <c r="B8" s="5" t="s">
        <v>7042</v>
      </c>
      <c r="C8">
        <f xml:space="preserve"> COUNTIF(Data!G8:G3507, A8)</f>
        <v>0</v>
      </c>
    </row>
    <row r="9" spans="1:3" ht="15.95">
      <c r="A9" s="4" t="s">
        <v>7043</v>
      </c>
      <c r="B9" s="5" t="s">
        <v>7044</v>
      </c>
      <c r="C9">
        <f xml:space="preserve"> COUNTIF(Data!G9:G3508, A9)</f>
        <v>0</v>
      </c>
    </row>
    <row r="10" spans="1:3" ht="15.95">
      <c r="A10" s="4" t="s">
        <v>7045</v>
      </c>
      <c r="B10" s="5" t="s">
        <v>7046</v>
      </c>
      <c r="C10">
        <f xml:space="preserve"> COUNTIF(Data!G10:G3509, A10)</f>
        <v>0</v>
      </c>
    </row>
    <row r="11" spans="1:3" ht="15.95">
      <c r="A11" s="4" t="s">
        <v>7047</v>
      </c>
      <c r="B11" s="5" t="s">
        <v>1250</v>
      </c>
      <c r="C11">
        <f xml:space="preserve"> COUNTIF(Data!G11:G3510, A11)</f>
        <v>3</v>
      </c>
    </row>
    <row r="12" spans="1:3" ht="15.95">
      <c r="A12" s="4" t="s">
        <v>7048</v>
      </c>
      <c r="B12" s="5" t="s">
        <v>7049</v>
      </c>
      <c r="C12">
        <f xml:space="preserve"> COUNTIF(Data!G12:G3511, A12)</f>
        <v>0</v>
      </c>
    </row>
    <row r="13" spans="1:3" ht="15.95">
      <c r="A13" s="4" t="s">
        <v>7050</v>
      </c>
      <c r="B13" s="5" t="s">
        <v>7051</v>
      </c>
      <c r="C13">
        <f xml:space="preserve"> COUNTIF(Data!G13:G3512, A13)</f>
        <v>0</v>
      </c>
    </row>
    <row r="14" spans="1:3" ht="15.95">
      <c r="A14" s="4" t="s">
        <v>7052</v>
      </c>
      <c r="B14" s="5" t="s">
        <v>1961</v>
      </c>
      <c r="C14">
        <f xml:space="preserve"> COUNTIF(Data!G14:G3513, A14)</f>
        <v>9</v>
      </c>
    </row>
    <row r="15" spans="1:3" ht="15.95">
      <c r="A15" s="4" t="s">
        <v>7053</v>
      </c>
      <c r="B15" s="5" t="s">
        <v>2544</v>
      </c>
      <c r="C15">
        <f xml:space="preserve"> COUNTIF(Data!G15:G3514, A15)</f>
        <v>2</v>
      </c>
    </row>
    <row r="16" spans="1:3" ht="15.95">
      <c r="A16" s="4" t="s">
        <v>7054</v>
      </c>
      <c r="B16" s="5" t="s">
        <v>7055</v>
      </c>
      <c r="C16">
        <f xml:space="preserve"> COUNTIF(Data!G16:G3515, A16)</f>
        <v>0</v>
      </c>
    </row>
    <row r="17" spans="1:3" ht="15.95">
      <c r="A17" s="4" t="s">
        <v>7056</v>
      </c>
      <c r="B17" s="5" t="s">
        <v>7057</v>
      </c>
      <c r="C17">
        <f xml:space="preserve"> COUNTIF(Data!G17:G3516, A17)</f>
        <v>0</v>
      </c>
    </row>
    <row r="18" spans="1:3" ht="15.95">
      <c r="A18" s="4" t="s">
        <v>7058</v>
      </c>
      <c r="B18" s="5" t="s">
        <v>7059</v>
      </c>
      <c r="C18">
        <f xml:space="preserve"> COUNTIF(Data!G18:G3517, A18)</f>
        <v>0</v>
      </c>
    </row>
    <row r="19" spans="1:3" ht="15.95">
      <c r="A19" s="4" t="s">
        <v>7060</v>
      </c>
      <c r="B19" s="5" t="s">
        <v>7061</v>
      </c>
      <c r="C19">
        <f xml:space="preserve"> COUNTIF(Data!G19:G3518, A19)</f>
        <v>0</v>
      </c>
    </row>
    <row r="20" spans="1:3" ht="15.95">
      <c r="A20" s="4" t="s">
        <v>7062</v>
      </c>
      <c r="B20" s="5" t="s">
        <v>7063</v>
      </c>
      <c r="C20">
        <f xml:space="preserve"> COUNTIF(Data!G20:G3519, A20)</f>
        <v>0</v>
      </c>
    </row>
    <row r="21" spans="1:3" ht="15.95">
      <c r="A21" s="4" t="s">
        <v>7064</v>
      </c>
      <c r="B21" s="5" t="s">
        <v>2554</v>
      </c>
      <c r="C21">
        <f xml:space="preserve"> COUNTIF(Data!G21:G3520, A21)</f>
        <v>1</v>
      </c>
    </row>
    <row r="22" spans="1:3" ht="15.95">
      <c r="A22" s="4" t="s">
        <v>7065</v>
      </c>
      <c r="B22" s="5" t="s">
        <v>1923</v>
      </c>
      <c r="C22">
        <f xml:space="preserve"> COUNTIF(Data!G22:G3521, A22)</f>
        <v>2</v>
      </c>
    </row>
    <row r="23" spans="1:3" ht="15.95">
      <c r="A23" s="4" t="s">
        <v>7066</v>
      </c>
      <c r="B23" s="5" t="s">
        <v>7067</v>
      </c>
      <c r="C23">
        <f xml:space="preserve"> COUNTIF(Data!G23:G3522, A23)</f>
        <v>0</v>
      </c>
    </row>
    <row r="24" spans="1:3" ht="15.95">
      <c r="A24" s="4" t="s">
        <v>7068</v>
      </c>
      <c r="B24" s="5" t="s">
        <v>7069</v>
      </c>
      <c r="C24">
        <f xml:space="preserve"> COUNTIF(Data!G24:G3523, A24)</f>
        <v>0</v>
      </c>
    </row>
    <row r="25" spans="1:3" ht="15.95">
      <c r="A25" s="4" t="s">
        <v>7070</v>
      </c>
      <c r="B25" s="5" t="s">
        <v>7071</v>
      </c>
      <c r="C25">
        <f xml:space="preserve"> COUNTIF(Data!G25:G3524, A25)</f>
        <v>0</v>
      </c>
    </row>
    <row r="26" spans="1:3" ht="15.95">
      <c r="A26" s="4" t="s">
        <v>7072</v>
      </c>
      <c r="B26" s="5" t="s">
        <v>7073</v>
      </c>
      <c r="C26">
        <f xml:space="preserve"> COUNTIF(Data!G26:G3525, A26)</f>
        <v>0</v>
      </c>
    </row>
    <row r="27" spans="1:3" ht="15.95">
      <c r="A27" s="4" t="s">
        <v>7074</v>
      </c>
      <c r="B27" s="5" t="s">
        <v>7075</v>
      </c>
      <c r="C27">
        <f xml:space="preserve"> COUNTIF(Data!G27:G3526, A27)</f>
        <v>0</v>
      </c>
    </row>
    <row r="28" spans="1:3" ht="15.95">
      <c r="A28" s="4" t="s">
        <v>7076</v>
      </c>
      <c r="B28" s="5" t="s">
        <v>7077</v>
      </c>
      <c r="C28">
        <f xml:space="preserve"> COUNTIF(Data!G28:G3527, A28)</f>
        <v>0</v>
      </c>
    </row>
    <row r="29" spans="1:3" ht="15.95">
      <c r="A29" s="4" t="s">
        <v>7078</v>
      </c>
      <c r="B29" s="5" t="s">
        <v>7079</v>
      </c>
      <c r="C29">
        <f xml:space="preserve"> COUNTIF(Data!G29:G3528, A29)</f>
        <v>0</v>
      </c>
    </row>
    <row r="30" spans="1:3" ht="15.95">
      <c r="A30" s="4" t="s">
        <v>7080</v>
      </c>
      <c r="B30" s="5" t="s">
        <v>7081</v>
      </c>
      <c r="C30">
        <f xml:space="preserve"> COUNTIF(Data!G30:G3529, A30)</f>
        <v>0</v>
      </c>
    </row>
    <row r="31" spans="1:3" ht="15.95">
      <c r="A31" s="4" t="s">
        <v>7082</v>
      </c>
      <c r="B31" s="5" t="s">
        <v>7083</v>
      </c>
      <c r="C31">
        <f xml:space="preserve"> COUNTIF(Data!G31:G3530, A31)</f>
        <v>0</v>
      </c>
    </row>
    <row r="32" spans="1:3" ht="15.95">
      <c r="A32" s="4" t="s">
        <v>7084</v>
      </c>
      <c r="B32" s="5" t="s">
        <v>124</v>
      </c>
      <c r="C32">
        <f xml:space="preserve"> COUNTIF(Data!G32:G3531, A32)</f>
        <v>4</v>
      </c>
    </row>
    <row r="33" spans="1:3" ht="15.95">
      <c r="A33" s="4" t="s">
        <v>7085</v>
      </c>
      <c r="B33" s="5" t="s">
        <v>7086</v>
      </c>
      <c r="C33">
        <f xml:space="preserve"> COUNTIF(Data!G33:G3532, A33)</f>
        <v>0</v>
      </c>
    </row>
    <row r="34" spans="1:3" ht="15.95">
      <c r="A34" s="4" t="s">
        <v>7087</v>
      </c>
      <c r="B34" s="5" t="s">
        <v>7088</v>
      </c>
      <c r="C34">
        <f xml:space="preserve"> COUNTIF(Data!G34:G3533, A34)</f>
        <v>0</v>
      </c>
    </row>
    <row r="35" spans="1:3" ht="15.95">
      <c r="A35" s="4" t="s">
        <v>7089</v>
      </c>
      <c r="B35" s="5" t="s">
        <v>7090</v>
      </c>
      <c r="C35">
        <f xml:space="preserve"> COUNTIF(Data!G35:G3534, A35)</f>
        <v>0</v>
      </c>
    </row>
    <row r="36" spans="1:3" ht="15.95">
      <c r="A36" s="4" t="s">
        <v>7091</v>
      </c>
      <c r="B36" s="5" t="s">
        <v>7092</v>
      </c>
      <c r="C36">
        <f xml:space="preserve"> COUNTIF(Data!G36:G3535, A36)</f>
        <v>0</v>
      </c>
    </row>
    <row r="37" spans="1:3" ht="15.95">
      <c r="A37" s="4" t="s">
        <v>7093</v>
      </c>
      <c r="B37" s="5" t="s">
        <v>7094</v>
      </c>
      <c r="C37">
        <f xml:space="preserve"> COUNTIF(Data!G37:G3536, A37)</f>
        <v>0</v>
      </c>
    </row>
    <row r="38" spans="1:3" ht="15.95">
      <c r="A38" s="4" t="s">
        <v>7095</v>
      </c>
      <c r="B38" s="5" t="s">
        <v>7096</v>
      </c>
      <c r="C38">
        <f xml:space="preserve"> COUNTIF(Data!G38:G3537, A38)</f>
        <v>0</v>
      </c>
    </row>
    <row r="39" spans="1:3" ht="15.95">
      <c r="A39" s="4" t="s">
        <v>7097</v>
      </c>
      <c r="B39" s="5" t="s">
        <v>7098</v>
      </c>
      <c r="C39">
        <f xml:space="preserve"> COUNTIF(Data!G39:G3538, A39)</f>
        <v>0</v>
      </c>
    </row>
    <row r="40" spans="1:3">
      <c r="A40" s="4" t="s">
        <v>7099</v>
      </c>
      <c r="B40" s="5" t="s">
        <v>7100</v>
      </c>
      <c r="C40">
        <f xml:space="preserve"> COUNTIF(Data!G40:G3539, A40)</f>
        <v>0</v>
      </c>
    </row>
    <row r="41" spans="1:3">
      <c r="A41" s="4" t="s">
        <v>7101</v>
      </c>
      <c r="B41" s="5" t="s">
        <v>112</v>
      </c>
      <c r="C41">
        <f xml:space="preserve"> COUNTIF(Data!G41:G3540, A41)</f>
        <v>12</v>
      </c>
    </row>
    <row r="42" spans="1:3">
      <c r="A42" s="4" t="s">
        <v>7102</v>
      </c>
      <c r="B42" s="5" t="s">
        <v>7103</v>
      </c>
      <c r="C42">
        <f xml:space="preserve"> COUNTIF(Data!G42:G3541, A42)</f>
        <v>0</v>
      </c>
    </row>
    <row r="43" spans="1:3">
      <c r="A43" s="4" t="s">
        <v>7104</v>
      </c>
      <c r="B43" s="5" t="s">
        <v>7105</v>
      </c>
      <c r="C43">
        <f xml:space="preserve"> COUNTIF(Data!G43:G3542, A43)</f>
        <v>0</v>
      </c>
    </row>
    <row r="44" spans="1:3">
      <c r="A44" s="4" t="s">
        <v>7106</v>
      </c>
      <c r="B44" s="5" t="s">
        <v>7107</v>
      </c>
      <c r="C44">
        <f xml:space="preserve"> COUNTIF(Data!G44:G3543, A44)</f>
        <v>0</v>
      </c>
    </row>
    <row r="45" spans="1:3">
      <c r="A45" s="4" t="s">
        <v>7108</v>
      </c>
      <c r="B45" s="5" t="s">
        <v>1383</v>
      </c>
      <c r="C45">
        <f xml:space="preserve"> COUNTIF(Data!G45:G3544, A45)</f>
        <v>1</v>
      </c>
    </row>
    <row r="46" spans="1:3">
      <c r="A46" s="4" t="s">
        <v>7109</v>
      </c>
      <c r="B46" s="5" t="s">
        <v>754</v>
      </c>
      <c r="C46">
        <f xml:space="preserve"> COUNTIF(Data!G46:G3545, A46)</f>
        <v>1</v>
      </c>
    </row>
    <row r="47" spans="1:3">
      <c r="A47" s="4" t="s">
        <v>7110</v>
      </c>
      <c r="B47" s="5" t="s">
        <v>7111</v>
      </c>
      <c r="C47">
        <f xml:space="preserve"> COUNTIF(Data!G47:G3546, A47)</f>
        <v>0</v>
      </c>
    </row>
    <row r="48" spans="1:3">
      <c r="A48" s="4" t="s">
        <v>7112</v>
      </c>
      <c r="B48" s="5" t="s">
        <v>7113</v>
      </c>
      <c r="C48">
        <f xml:space="preserve"> COUNTIF(Data!G48:G3547, A48)</f>
        <v>0</v>
      </c>
    </row>
    <row r="49" spans="1:3">
      <c r="A49" s="4" t="s">
        <v>7114</v>
      </c>
      <c r="B49" s="5" t="s">
        <v>4252</v>
      </c>
      <c r="C49">
        <f xml:space="preserve"> COUNTIF(Data!G49:G3548, A49)</f>
        <v>1</v>
      </c>
    </row>
    <row r="50" spans="1:3">
      <c r="A50" s="4" t="s">
        <v>7115</v>
      </c>
      <c r="B50" s="5" t="s">
        <v>7116</v>
      </c>
      <c r="C50">
        <f xml:space="preserve"> COUNTIF(Data!G50:G3549, A50)</f>
        <v>0</v>
      </c>
    </row>
    <row r="51" spans="1:3">
      <c r="A51" s="4" t="s">
        <v>7117</v>
      </c>
      <c r="B51" s="5" t="s">
        <v>7118</v>
      </c>
      <c r="C51">
        <f xml:space="preserve"> COUNTIF(Data!G51:G3550, A51)</f>
        <v>0</v>
      </c>
    </row>
    <row r="52" spans="1:3">
      <c r="A52" s="4" t="s">
        <v>7119</v>
      </c>
      <c r="B52" s="5" t="s">
        <v>7120</v>
      </c>
      <c r="C52">
        <f xml:space="preserve"> COUNTIF(Data!G52:G3551, A52)</f>
        <v>0</v>
      </c>
    </row>
    <row r="53" spans="1:3">
      <c r="A53" s="4" t="s">
        <v>7121</v>
      </c>
      <c r="B53" s="5" t="s">
        <v>7122</v>
      </c>
      <c r="C53">
        <f xml:space="preserve"> COUNTIF(Data!G53:G3552, A53)</f>
        <v>0</v>
      </c>
    </row>
    <row r="54" spans="1:3">
      <c r="A54" s="4" t="s">
        <v>7123</v>
      </c>
      <c r="B54" s="5" t="s">
        <v>7124</v>
      </c>
      <c r="C54">
        <f xml:space="preserve"> COUNTIF(Data!G54:G3553, A54)</f>
        <v>0</v>
      </c>
    </row>
    <row r="55" spans="1:3">
      <c r="A55" s="4" t="s">
        <v>7125</v>
      </c>
      <c r="B55" s="5" t="s">
        <v>7126</v>
      </c>
      <c r="C55">
        <f xml:space="preserve"> COUNTIF(Data!G55:G3554, A55)</f>
        <v>0</v>
      </c>
    </row>
    <row r="56" spans="1:3">
      <c r="A56" s="4" t="s">
        <v>7127</v>
      </c>
      <c r="B56" s="5" t="s">
        <v>7128</v>
      </c>
      <c r="C56">
        <f xml:space="preserve"> COUNTIF(Data!G56:G3555, A56)</f>
        <v>0</v>
      </c>
    </row>
    <row r="57" spans="1:3">
      <c r="A57" s="4" t="s">
        <v>7129</v>
      </c>
      <c r="B57" s="5" t="s">
        <v>7130</v>
      </c>
      <c r="C57">
        <f xml:space="preserve"> COUNTIF(Data!G57:G3556, A57)</f>
        <v>0</v>
      </c>
    </row>
    <row r="58" spans="1:3">
      <c r="A58" s="4" t="s">
        <v>7131</v>
      </c>
      <c r="B58" s="5" t="s">
        <v>7132</v>
      </c>
      <c r="C58">
        <f xml:space="preserve"> COUNTIF(Data!G58:G3557, A58)</f>
        <v>0</v>
      </c>
    </row>
    <row r="59" spans="1:3">
      <c r="A59" s="4" t="s">
        <v>7133</v>
      </c>
      <c r="B59" s="5" t="s">
        <v>3105</v>
      </c>
      <c r="C59">
        <f xml:space="preserve"> COUNTIF(Data!G59:G3558, A59)</f>
        <v>1</v>
      </c>
    </row>
    <row r="60" spans="1:3">
      <c r="A60" s="4" t="s">
        <v>7134</v>
      </c>
      <c r="B60" s="5" t="s">
        <v>7135</v>
      </c>
      <c r="C60">
        <f xml:space="preserve"> COUNTIF(Data!G60:G3559, A60)</f>
        <v>0</v>
      </c>
    </row>
    <row r="61" spans="1:3">
      <c r="A61" s="4" t="s">
        <v>7136</v>
      </c>
      <c r="B61" s="5" t="s">
        <v>3506</v>
      </c>
      <c r="C61">
        <f xml:space="preserve"> COUNTIF(Data!G61:G3560, A61)</f>
        <v>1</v>
      </c>
    </row>
    <row r="62" spans="1:3">
      <c r="A62" s="4" t="s">
        <v>7137</v>
      </c>
      <c r="B62" s="5" t="s">
        <v>7138</v>
      </c>
      <c r="C62">
        <f xml:space="preserve"> COUNTIF(Data!G62:G3561, A62)</f>
        <v>0</v>
      </c>
    </row>
    <row r="63" spans="1:3">
      <c r="A63" s="4" t="s">
        <v>7139</v>
      </c>
      <c r="B63" s="5" t="s">
        <v>7140</v>
      </c>
      <c r="C63">
        <f xml:space="preserve"> COUNTIF(Data!G63:G3562, A63)</f>
        <v>0</v>
      </c>
    </row>
    <row r="64" spans="1:3">
      <c r="A64" s="4" t="s">
        <v>7141</v>
      </c>
      <c r="B64" s="5" t="s">
        <v>892</v>
      </c>
      <c r="C64">
        <f xml:space="preserve"> COUNTIF(Data!G64:G3563, A64)</f>
        <v>3</v>
      </c>
    </row>
    <row r="65" spans="1:3">
      <c r="A65" s="4" t="s">
        <v>7142</v>
      </c>
      <c r="B65" s="5" t="s">
        <v>7143</v>
      </c>
      <c r="C65">
        <f xml:space="preserve"> COUNTIF(Data!G65:G3564, A65)</f>
        <v>0</v>
      </c>
    </row>
    <row r="66" spans="1:3">
      <c r="A66" s="4" t="s">
        <v>7144</v>
      </c>
      <c r="B66" s="5" t="s">
        <v>7145</v>
      </c>
      <c r="C66">
        <f xml:space="preserve"> COUNTIF(Data!G66:G3565, A66)</f>
        <v>0</v>
      </c>
    </row>
    <row r="67" spans="1:3">
      <c r="A67" s="4" t="s">
        <v>7146</v>
      </c>
      <c r="B67" s="5" t="s">
        <v>7147</v>
      </c>
      <c r="C67">
        <f xml:space="preserve"> COUNTIF(Data!G67:G3566, A67)</f>
        <v>0</v>
      </c>
    </row>
    <row r="68" spans="1:3">
      <c r="A68" s="4" t="s">
        <v>7148</v>
      </c>
      <c r="B68" s="5" t="s">
        <v>7149</v>
      </c>
      <c r="C68">
        <f xml:space="preserve"> COUNTIF(Data!G68:G3567, A68)</f>
        <v>0</v>
      </c>
    </row>
    <row r="69" spans="1:3">
      <c r="A69" s="4" t="s">
        <v>7150</v>
      </c>
      <c r="B69" s="5" t="s">
        <v>7151</v>
      </c>
      <c r="C69">
        <f xml:space="preserve"> COUNTIF(Data!G69:G3568, A69)</f>
        <v>0</v>
      </c>
    </row>
    <row r="70" spans="1:3">
      <c r="A70" s="4" t="s">
        <v>7152</v>
      </c>
      <c r="B70" s="5" t="s">
        <v>3904</v>
      </c>
      <c r="C70">
        <f xml:space="preserve"> COUNTIF(Data!G70:G3569, A70)</f>
        <v>1</v>
      </c>
    </row>
    <row r="71" spans="1:3">
      <c r="A71" s="4" t="s">
        <v>7153</v>
      </c>
      <c r="B71" s="5" t="s">
        <v>7154</v>
      </c>
      <c r="C71">
        <f xml:space="preserve"> COUNTIF(Data!G71:G3570, A71)</f>
        <v>0</v>
      </c>
    </row>
    <row r="72" spans="1:3">
      <c r="A72" s="4" t="s">
        <v>7155</v>
      </c>
      <c r="B72" s="5" t="s">
        <v>7156</v>
      </c>
      <c r="C72">
        <f xml:space="preserve"> COUNTIF(Data!G72:G3571, A72)</f>
        <v>0</v>
      </c>
    </row>
    <row r="73" spans="1:3">
      <c r="A73" s="4" t="s">
        <v>7157</v>
      </c>
      <c r="B73" s="5" t="s">
        <v>7158</v>
      </c>
      <c r="C73">
        <f xml:space="preserve"> COUNTIF(Data!G73:G3572, A73)</f>
        <v>0</v>
      </c>
    </row>
    <row r="74" spans="1:3">
      <c r="A74" s="4" t="s">
        <v>7159</v>
      </c>
      <c r="B74" s="5" t="s">
        <v>7160</v>
      </c>
      <c r="C74">
        <f xml:space="preserve"> COUNTIF(Data!G74:G3573, A74)</f>
        <v>0</v>
      </c>
    </row>
    <row r="75" spans="1:3">
      <c r="A75" s="4" t="s">
        <v>7161</v>
      </c>
      <c r="B75" s="5" t="s">
        <v>7162</v>
      </c>
      <c r="C75">
        <f xml:space="preserve"> COUNTIF(Data!G75:G3574, A75)</f>
        <v>0</v>
      </c>
    </row>
    <row r="76" spans="1:3">
      <c r="A76" s="4" t="s">
        <v>7163</v>
      </c>
      <c r="B76" s="5" t="s">
        <v>7164</v>
      </c>
      <c r="C76">
        <f xml:space="preserve"> COUNTIF(Data!G76:G3575, A76)</f>
        <v>0</v>
      </c>
    </row>
    <row r="77" spans="1:3">
      <c r="A77" s="4" t="s">
        <v>7165</v>
      </c>
      <c r="B77" s="5" t="s">
        <v>2796</v>
      </c>
      <c r="C77">
        <f xml:space="preserve"> COUNTIF(Data!G77:G3576, A77)</f>
        <v>4</v>
      </c>
    </row>
    <row r="78" spans="1:3">
      <c r="A78" s="4" t="s">
        <v>7166</v>
      </c>
      <c r="B78" s="5" t="s">
        <v>7167</v>
      </c>
      <c r="C78">
        <f xml:space="preserve"> COUNTIF(Data!G78:G3577, A78)</f>
        <v>0</v>
      </c>
    </row>
    <row r="79" spans="1:3">
      <c r="A79" s="4" t="s">
        <v>7168</v>
      </c>
      <c r="B79" s="5" t="s">
        <v>7169</v>
      </c>
      <c r="C79">
        <f xml:space="preserve"> COUNTIF(Data!G79:G3578, A79)</f>
        <v>0</v>
      </c>
    </row>
    <row r="80" spans="1:3">
      <c r="A80" s="4" t="s">
        <v>7170</v>
      </c>
      <c r="B80" s="5" t="s">
        <v>7171</v>
      </c>
      <c r="C80">
        <f xml:space="preserve"> COUNTIF(Data!G80:G3579, A80)</f>
        <v>0</v>
      </c>
    </row>
    <row r="81" spans="1:3">
      <c r="A81" s="4" t="s">
        <v>7172</v>
      </c>
      <c r="B81" s="5" t="s">
        <v>7173</v>
      </c>
      <c r="C81">
        <f xml:space="preserve"> COUNTIF(Data!G81:G3580, A81)</f>
        <v>0</v>
      </c>
    </row>
    <row r="82" spans="1:3">
      <c r="A82" s="4" t="s">
        <v>7174</v>
      </c>
      <c r="B82" s="5" t="s">
        <v>7175</v>
      </c>
      <c r="C82">
        <f xml:space="preserve"> COUNTIF(Data!G82:G3581, A82)</f>
        <v>0</v>
      </c>
    </row>
    <row r="83" spans="1:3">
      <c r="A83" s="4" t="s">
        <v>7176</v>
      </c>
      <c r="B83" s="5" t="s">
        <v>7177</v>
      </c>
      <c r="C83">
        <f xml:space="preserve"> COUNTIF(Data!G83:G3582, A83)</f>
        <v>0</v>
      </c>
    </row>
    <row r="84" spans="1:3">
      <c r="A84" s="4" t="s">
        <v>7178</v>
      </c>
      <c r="B84" s="5" t="s">
        <v>638</v>
      </c>
      <c r="C84">
        <f xml:space="preserve"> COUNTIF(Data!G84:G3583, A84)</f>
        <v>6</v>
      </c>
    </row>
    <row r="85" spans="1:3">
      <c r="A85" s="4" t="s">
        <v>7179</v>
      </c>
      <c r="B85" s="5" t="s">
        <v>567</v>
      </c>
      <c r="C85">
        <f xml:space="preserve"> COUNTIF(Data!G85:G3584, A85)</f>
        <v>1</v>
      </c>
    </row>
    <row r="86" spans="1:3">
      <c r="A86" s="4" t="s">
        <v>7180</v>
      </c>
      <c r="B86" s="5" t="s">
        <v>7181</v>
      </c>
      <c r="C86">
        <f xml:space="preserve"> COUNTIF(Data!G86:G3585, A86)</f>
        <v>0</v>
      </c>
    </row>
    <row r="87" spans="1:3">
      <c r="A87" s="4" t="s">
        <v>7182</v>
      </c>
      <c r="B87" s="5" t="s">
        <v>7183</v>
      </c>
      <c r="C87">
        <f xml:space="preserve"> COUNTIF(Data!G87:G3586, A87)</f>
        <v>0</v>
      </c>
    </row>
    <row r="88" spans="1:3">
      <c r="A88" s="4" t="s">
        <v>7184</v>
      </c>
      <c r="B88" s="5" t="s">
        <v>7185</v>
      </c>
      <c r="C88">
        <f xml:space="preserve"> COUNTIF(Data!G88:G3587, A88)</f>
        <v>0</v>
      </c>
    </row>
    <row r="89" spans="1:3">
      <c r="A89" s="4" t="s">
        <v>7186</v>
      </c>
      <c r="B89" s="5" t="s">
        <v>7187</v>
      </c>
      <c r="C89">
        <f xml:space="preserve"> COUNTIF(Data!G89:G3588, A89)</f>
        <v>0</v>
      </c>
    </row>
    <row r="90" spans="1:3">
      <c r="A90" s="4" t="s">
        <v>7188</v>
      </c>
      <c r="B90" s="5" t="s">
        <v>7189</v>
      </c>
      <c r="C90">
        <f xml:space="preserve"> COUNTIF(Data!G90:G3589, A90)</f>
        <v>0</v>
      </c>
    </row>
    <row r="91" spans="1:3">
      <c r="A91" s="4" t="s">
        <v>7190</v>
      </c>
      <c r="B91" s="5" t="s">
        <v>7191</v>
      </c>
      <c r="C91">
        <f xml:space="preserve"> COUNTIF(Data!G91:G3590, A91)</f>
        <v>0</v>
      </c>
    </row>
    <row r="92" spans="1:3">
      <c r="A92" s="4" t="s">
        <v>7192</v>
      </c>
      <c r="B92" s="5" t="s">
        <v>7193</v>
      </c>
      <c r="C92">
        <f xml:space="preserve"> COUNTIF(Data!G92:G3591, A92)</f>
        <v>0</v>
      </c>
    </row>
    <row r="93" spans="1:3">
      <c r="A93" s="4" t="s">
        <v>7194</v>
      </c>
      <c r="B93" s="5" t="s">
        <v>7195</v>
      </c>
      <c r="C93">
        <f xml:space="preserve"> COUNTIF(Data!G93:G3592, A93)</f>
        <v>0</v>
      </c>
    </row>
    <row r="94" spans="1:3">
      <c r="A94" s="4" t="s">
        <v>7196</v>
      </c>
      <c r="B94" s="5" t="s">
        <v>7197</v>
      </c>
      <c r="C94">
        <f xml:space="preserve"> COUNTIF(Data!G94:G3593, A94)</f>
        <v>0</v>
      </c>
    </row>
    <row r="95" spans="1:3">
      <c r="A95" s="4" t="s">
        <v>7198</v>
      </c>
      <c r="B95" s="5" t="s">
        <v>7199</v>
      </c>
      <c r="C95">
        <f xml:space="preserve"> COUNTIF(Data!G95:G3594, A95)</f>
        <v>0</v>
      </c>
    </row>
    <row r="96" spans="1:3">
      <c r="A96" s="4" t="s">
        <v>7200</v>
      </c>
      <c r="B96" s="5" t="s">
        <v>7201</v>
      </c>
      <c r="C96">
        <f xml:space="preserve"> COUNTIF(Data!G96:G3595, A96)</f>
        <v>0</v>
      </c>
    </row>
    <row r="97" spans="1:3">
      <c r="A97" s="4" t="s">
        <v>7202</v>
      </c>
      <c r="B97" s="5" t="s">
        <v>7203</v>
      </c>
      <c r="C97">
        <f xml:space="preserve"> COUNTIF(Data!G97:G3596, A97)</f>
        <v>0</v>
      </c>
    </row>
    <row r="98" spans="1:3">
      <c r="A98" s="4" t="s">
        <v>7204</v>
      </c>
      <c r="B98" s="5" t="s">
        <v>7205</v>
      </c>
      <c r="C98">
        <f xml:space="preserve"> COUNTIF(Data!G98:G3597, A98)</f>
        <v>0</v>
      </c>
    </row>
    <row r="99" spans="1:3">
      <c r="A99" s="4" t="s">
        <v>7206</v>
      </c>
      <c r="B99" s="5" t="s">
        <v>7207</v>
      </c>
      <c r="C99">
        <f xml:space="preserve"> COUNTIF(Data!G99:G3598, A99)</f>
        <v>0</v>
      </c>
    </row>
    <row r="100" spans="1:3">
      <c r="A100" s="4" t="s">
        <v>7208</v>
      </c>
      <c r="B100" s="5" t="s">
        <v>7209</v>
      </c>
      <c r="C100">
        <f xml:space="preserve"> COUNTIF(Data!G100:G3599, A100)</f>
        <v>0</v>
      </c>
    </row>
    <row r="101" spans="1:3">
      <c r="A101" s="4" t="s">
        <v>7210</v>
      </c>
      <c r="B101" s="5" t="s">
        <v>7211</v>
      </c>
      <c r="C101">
        <f xml:space="preserve"> COUNTIF(Data!G101:G3600, A101)</f>
        <v>0</v>
      </c>
    </row>
    <row r="102" spans="1:3">
      <c r="A102" s="4" t="s">
        <v>7212</v>
      </c>
      <c r="B102" s="5" t="s">
        <v>2836</v>
      </c>
      <c r="C102">
        <f xml:space="preserve"> COUNTIF(Data!G102:G3601, A102)</f>
        <v>1</v>
      </c>
    </row>
    <row r="103" spans="1:3">
      <c r="A103" s="4" t="s">
        <v>7213</v>
      </c>
      <c r="B103" s="5" t="s">
        <v>7214</v>
      </c>
      <c r="C103">
        <f xml:space="preserve"> COUNTIF(Data!G103:G3602, A103)</f>
        <v>0</v>
      </c>
    </row>
    <row r="104" spans="1:3">
      <c r="A104" s="4" t="s">
        <v>7215</v>
      </c>
      <c r="B104" s="5" t="s">
        <v>98</v>
      </c>
      <c r="C104">
        <f xml:space="preserve"> COUNTIF(Data!G104:G3603, A104)</f>
        <v>15</v>
      </c>
    </row>
    <row r="105" spans="1:3">
      <c r="A105" s="4" t="s">
        <v>7216</v>
      </c>
      <c r="B105" s="5" t="s">
        <v>633</v>
      </c>
      <c r="C105">
        <f xml:space="preserve"> COUNTIF(Data!G105:G3604, A105)</f>
        <v>32</v>
      </c>
    </row>
    <row r="106" spans="1:3">
      <c r="A106" s="4" t="s">
        <v>7217</v>
      </c>
      <c r="B106" s="5" t="s">
        <v>7218</v>
      </c>
      <c r="C106">
        <f xml:space="preserve"> COUNTIF(Data!G106:G3605, A106)</f>
        <v>0</v>
      </c>
    </row>
    <row r="107" spans="1:3">
      <c r="A107" s="4" t="s">
        <v>7219</v>
      </c>
      <c r="B107" s="5" t="s">
        <v>2313</v>
      </c>
      <c r="C107">
        <f xml:space="preserve"> COUNTIF(Data!G107:G3606, A107)</f>
        <v>1</v>
      </c>
    </row>
    <row r="108" spans="1:3">
      <c r="A108" s="4" t="s">
        <v>7220</v>
      </c>
      <c r="B108" s="5" t="s">
        <v>681</v>
      </c>
      <c r="C108">
        <f xml:space="preserve"> COUNTIF(Data!G108:G3607, A108)</f>
        <v>1</v>
      </c>
    </row>
    <row r="109" spans="1:3">
      <c r="A109" s="4" t="s">
        <v>7221</v>
      </c>
      <c r="B109" s="5" t="s">
        <v>7222</v>
      </c>
      <c r="C109">
        <f xml:space="preserve"> COUNTIF(Data!G109:G3608, A109)</f>
        <v>0</v>
      </c>
    </row>
    <row r="110" spans="1:3">
      <c r="A110" s="4" t="s">
        <v>7223</v>
      </c>
      <c r="B110" s="5" t="s">
        <v>24</v>
      </c>
      <c r="C110">
        <f xml:space="preserve"> COUNTIF(Data!G110:G3609, A110)</f>
        <v>1</v>
      </c>
    </row>
    <row r="111" spans="1:3">
      <c r="A111" s="4" t="s">
        <v>7224</v>
      </c>
      <c r="B111" s="5" t="s">
        <v>2083</v>
      </c>
      <c r="C111">
        <f xml:space="preserve"> COUNTIF(Data!G111:G3610, A111)</f>
        <v>1</v>
      </c>
    </row>
    <row r="112" spans="1:3">
      <c r="A112" s="4" t="s">
        <v>7225</v>
      </c>
      <c r="B112" s="5" t="s">
        <v>3172</v>
      </c>
      <c r="C112">
        <f xml:space="preserve"> COUNTIF(Data!G112:G3611, A112)</f>
        <v>1</v>
      </c>
    </row>
    <row r="113" spans="1:3">
      <c r="A113" s="4" t="s">
        <v>7226</v>
      </c>
      <c r="B113" s="5" t="s">
        <v>452</v>
      </c>
      <c r="C113">
        <f xml:space="preserve"> COUNTIF(Data!G113:G3612, A113)</f>
        <v>2</v>
      </c>
    </row>
    <row r="114" spans="1:3">
      <c r="A114" s="4" t="s">
        <v>7227</v>
      </c>
      <c r="B114" s="5" t="s">
        <v>7228</v>
      </c>
      <c r="C114">
        <f xml:space="preserve"> COUNTIF(Data!G114:G3613, A114)</f>
        <v>0</v>
      </c>
    </row>
    <row r="115" spans="1:3">
      <c r="A115" s="4" t="s">
        <v>7229</v>
      </c>
      <c r="B115" s="5" t="s">
        <v>7230</v>
      </c>
      <c r="C115">
        <f xml:space="preserve"> COUNTIF(Data!G115:G3614, A115)</f>
        <v>0</v>
      </c>
    </row>
    <row r="116" spans="1:3">
      <c r="A116" s="4" t="s">
        <v>7231</v>
      </c>
      <c r="B116" s="5" t="s">
        <v>117</v>
      </c>
      <c r="C116">
        <f xml:space="preserve"> COUNTIF(Data!G116:G3615, A116)</f>
        <v>1</v>
      </c>
    </row>
    <row r="117" spans="1:3">
      <c r="A117" s="4" t="s">
        <v>7232</v>
      </c>
      <c r="B117" s="5" t="s">
        <v>3525</v>
      </c>
      <c r="C117">
        <f xml:space="preserve"> COUNTIF(Data!G117:G3616, A117)</f>
        <v>1</v>
      </c>
    </row>
    <row r="118" spans="1:3">
      <c r="A118" s="4" t="s">
        <v>7233</v>
      </c>
      <c r="B118" s="5" t="s">
        <v>7234</v>
      </c>
      <c r="C118">
        <f xml:space="preserve"> COUNTIF(Data!G118:G3617, A118)</f>
        <v>0</v>
      </c>
    </row>
    <row r="119" spans="1:3">
      <c r="A119" s="4" t="s">
        <v>7235</v>
      </c>
      <c r="B119" s="5" t="s">
        <v>7236</v>
      </c>
      <c r="C119">
        <f xml:space="preserve"> COUNTIF(Data!G119:G3618, A119)</f>
        <v>0</v>
      </c>
    </row>
    <row r="120" spans="1:3">
      <c r="A120" s="4" t="s">
        <v>7237</v>
      </c>
      <c r="B120" s="5" t="s">
        <v>995</v>
      </c>
      <c r="C120">
        <f xml:space="preserve"> COUNTIF(Data!G120:G3619, A120)</f>
        <v>1</v>
      </c>
    </row>
    <row r="121" spans="1:3">
      <c r="A121" s="4" t="s">
        <v>7238</v>
      </c>
      <c r="B121" s="5" t="s">
        <v>7239</v>
      </c>
      <c r="C121">
        <f xml:space="preserve"> COUNTIF(Data!G121:G3620, A121)</f>
        <v>0</v>
      </c>
    </row>
    <row r="122" spans="1:3">
      <c r="A122" s="4" t="s">
        <v>7240</v>
      </c>
      <c r="B122" s="5" t="s">
        <v>7241</v>
      </c>
      <c r="C122">
        <f xml:space="preserve"> COUNTIF(Data!G122:G3621, A122)</f>
        <v>0</v>
      </c>
    </row>
    <row r="123" spans="1:3">
      <c r="A123" s="4" t="s">
        <v>7242</v>
      </c>
      <c r="B123" s="5" t="s">
        <v>7243</v>
      </c>
      <c r="C123">
        <f xml:space="preserve"> COUNTIF(Data!G123:G3622, A123)</f>
        <v>0</v>
      </c>
    </row>
    <row r="124" spans="1:3">
      <c r="A124" s="4" t="s">
        <v>7244</v>
      </c>
      <c r="B124" s="5" t="s">
        <v>1168</v>
      </c>
      <c r="C124">
        <f xml:space="preserve"> COUNTIF(Data!G124:G3623, A124)</f>
        <v>1</v>
      </c>
    </row>
    <row r="125" spans="1:3">
      <c r="A125" s="4" t="s">
        <v>7245</v>
      </c>
      <c r="B125" s="5" t="s">
        <v>7246</v>
      </c>
      <c r="C125">
        <f xml:space="preserve"> COUNTIF(Data!G125:G3624, A125)</f>
        <v>0</v>
      </c>
    </row>
    <row r="126" spans="1:3">
      <c r="A126" s="4" t="s">
        <v>7247</v>
      </c>
      <c r="B126" s="5" t="s">
        <v>7248</v>
      </c>
      <c r="C126">
        <f xml:space="preserve"> COUNTIF(Data!G126:G3625, A126)</f>
        <v>0</v>
      </c>
    </row>
    <row r="127" spans="1:3">
      <c r="A127" s="4" t="s">
        <v>7249</v>
      </c>
      <c r="B127" s="5" t="s">
        <v>7250</v>
      </c>
      <c r="C127">
        <f xml:space="preserve"> COUNTIF(Data!G127:G3626, A127)</f>
        <v>0</v>
      </c>
    </row>
    <row r="128" spans="1:3">
      <c r="A128" s="4" t="s">
        <v>7251</v>
      </c>
      <c r="B128" s="5" t="s">
        <v>7252</v>
      </c>
      <c r="C128">
        <f xml:space="preserve"> COUNTIF(Data!G128:G3627, A128)</f>
        <v>0</v>
      </c>
    </row>
    <row r="129" spans="1:3">
      <c r="A129" s="4" t="s">
        <v>7253</v>
      </c>
      <c r="B129" s="5" t="s">
        <v>7254</v>
      </c>
      <c r="C129">
        <f xml:space="preserve"> COUNTIF(Data!G129:G3628, A129)</f>
        <v>0</v>
      </c>
    </row>
    <row r="130" spans="1:3">
      <c r="A130" s="4" t="s">
        <v>7255</v>
      </c>
      <c r="B130" s="5" t="s">
        <v>7256</v>
      </c>
      <c r="C130">
        <f xml:space="preserve"> COUNTIF(Data!G130:G3629, A130)</f>
        <v>0</v>
      </c>
    </row>
    <row r="131" spans="1:3">
      <c r="A131" s="4" t="s">
        <v>7257</v>
      </c>
      <c r="B131" s="5" t="s">
        <v>7258</v>
      </c>
      <c r="C131">
        <f xml:space="preserve"> COUNTIF(Data!G131:G3630, A131)</f>
        <v>0</v>
      </c>
    </row>
    <row r="132" spans="1:3">
      <c r="A132" s="4" t="s">
        <v>7259</v>
      </c>
      <c r="B132" s="5" t="s">
        <v>7260</v>
      </c>
      <c r="C132">
        <f xml:space="preserve"> COUNTIF(Data!G132:G3631, A132)</f>
        <v>0</v>
      </c>
    </row>
    <row r="133" spans="1:3">
      <c r="A133" s="4" t="s">
        <v>7261</v>
      </c>
      <c r="B133" s="5" t="s">
        <v>7262</v>
      </c>
      <c r="C133">
        <f xml:space="preserve"> COUNTIF(Data!G133:G3632, A133)</f>
        <v>0</v>
      </c>
    </row>
    <row r="134" spans="1:3">
      <c r="A134" s="4" t="s">
        <v>7263</v>
      </c>
      <c r="B134" s="5" t="s">
        <v>7264</v>
      </c>
      <c r="C134">
        <f xml:space="preserve"> COUNTIF(Data!G134:G3633, A134)</f>
        <v>0</v>
      </c>
    </row>
    <row r="135" spans="1:3">
      <c r="A135" s="4" t="s">
        <v>7265</v>
      </c>
      <c r="B135" s="5" t="s">
        <v>771</v>
      </c>
      <c r="C135">
        <f xml:space="preserve"> COUNTIF(Data!G135:G3634, A135)</f>
        <v>7</v>
      </c>
    </row>
    <row r="136" spans="1:3">
      <c r="A136" s="4" t="s">
        <v>7266</v>
      </c>
      <c r="B136" s="5" t="s">
        <v>7267</v>
      </c>
      <c r="C136">
        <f xml:space="preserve"> COUNTIF(Data!G136:G3635, A136)</f>
        <v>0</v>
      </c>
    </row>
    <row r="137" spans="1:3">
      <c r="A137" s="4" t="s">
        <v>7268</v>
      </c>
      <c r="B137" s="5" t="s">
        <v>7269</v>
      </c>
      <c r="C137">
        <f xml:space="preserve"> COUNTIF(Data!G137:G3636, A137)</f>
        <v>0</v>
      </c>
    </row>
    <row r="138" spans="1:3">
      <c r="A138" s="4" t="s">
        <v>7270</v>
      </c>
      <c r="B138" s="5" t="s">
        <v>7271</v>
      </c>
      <c r="C138">
        <f xml:space="preserve"> COUNTIF(Data!G138:G3637, A138)</f>
        <v>0</v>
      </c>
    </row>
    <row r="139" spans="1:3">
      <c r="A139" s="4" t="s">
        <v>7272</v>
      </c>
      <c r="B139" s="5" t="s">
        <v>7273</v>
      </c>
      <c r="C139">
        <f xml:space="preserve"> COUNTIF(Data!G139:G3638, A139)</f>
        <v>0</v>
      </c>
    </row>
    <row r="140" spans="1:3">
      <c r="A140" s="4" t="s">
        <v>7274</v>
      </c>
      <c r="B140" s="5" t="s">
        <v>7275</v>
      </c>
      <c r="C140">
        <f xml:space="preserve"> COUNTIF(Data!G140:G3639, A140)</f>
        <v>0</v>
      </c>
    </row>
    <row r="141" spans="1:3">
      <c r="A141" s="4" t="s">
        <v>7276</v>
      </c>
      <c r="B141" s="5" t="s">
        <v>7277</v>
      </c>
      <c r="C141">
        <f xml:space="preserve"> COUNTIF(Data!G141:G3640, A141)</f>
        <v>0</v>
      </c>
    </row>
    <row r="142" spans="1:3">
      <c r="A142" s="4" t="s">
        <v>7278</v>
      </c>
      <c r="B142" s="5" t="s">
        <v>7279</v>
      </c>
      <c r="C142">
        <f xml:space="preserve"> COUNTIF(Data!G142:G3641, A142)</f>
        <v>0</v>
      </c>
    </row>
    <row r="143" spans="1:3">
      <c r="A143" s="4" t="s">
        <v>7280</v>
      </c>
      <c r="B143" s="5" t="s">
        <v>7281</v>
      </c>
      <c r="C143">
        <f xml:space="preserve"> COUNTIF(Data!G143:G3642, A143)</f>
        <v>0</v>
      </c>
    </row>
    <row r="144" spans="1:3">
      <c r="A144" s="4" t="s">
        <v>7282</v>
      </c>
      <c r="B144" s="5" t="s">
        <v>1093</v>
      </c>
      <c r="C144">
        <f xml:space="preserve"> COUNTIF(Data!G144:G3643, A144)</f>
        <v>4</v>
      </c>
    </row>
    <row r="145" spans="1:3">
      <c r="A145" s="4" t="s">
        <v>7283</v>
      </c>
      <c r="B145" s="5" t="s">
        <v>7284</v>
      </c>
      <c r="C145">
        <f xml:space="preserve"> COUNTIF(Data!G145:G3644, A145)</f>
        <v>0</v>
      </c>
    </row>
    <row r="146" spans="1:3">
      <c r="A146" s="4" t="s">
        <v>7285</v>
      </c>
      <c r="B146" s="5" t="s">
        <v>7286</v>
      </c>
      <c r="C146">
        <f xml:space="preserve"> COUNTIF(Data!G146:G3645, A146)</f>
        <v>0</v>
      </c>
    </row>
    <row r="147" spans="1:3">
      <c r="A147" s="4" t="s">
        <v>7287</v>
      </c>
      <c r="B147" s="5" t="s">
        <v>7288</v>
      </c>
      <c r="C147">
        <f xml:space="preserve"> COUNTIF(Data!G147:G3646, A147)</f>
        <v>0</v>
      </c>
    </row>
    <row r="148" spans="1:3">
      <c r="A148" s="4" t="s">
        <v>7289</v>
      </c>
      <c r="B148" s="5" t="s">
        <v>7290</v>
      </c>
      <c r="C148">
        <f xml:space="preserve"> COUNTIF(Data!G148:G3647, A148)</f>
        <v>0</v>
      </c>
    </row>
    <row r="149" spans="1:3">
      <c r="A149" s="4" t="s">
        <v>7291</v>
      </c>
      <c r="B149" s="5" t="s">
        <v>7292</v>
      </c>
      <c r="C149">
        <f xml:space="preserve"> COUNTIF(Data!G149:G3648, A149)</f>
        <v>0</v>
      </c>
    </row>
    <row r="150" spans="1:3">
      <c r="A150" s="4" t="s">
        <v>7293</v>
      </c>
      <c r="B150" s="5" t="s">
        <v>7294</v>
      </c>
      <c r="C150">
        <f xml:space="preserve"> COUNTIF(Data!G150:G3649, A150)</f>
        <v>0</v>
      </c>
    </row>
    <row r="151" spans="1:3">
      <c r="A151" s="4" t="s">
        <v>7295</v>
      </c>
      <c r="B151" s="5" t="s">
        <v>3263</v>
      </c>
      <c r="C151">
        <f xml:space="preserve"> COUNTIF(Data!G151:G3650, A151)</f>
        <v>2</v>
      </c>
    </row>
    <row r="152" spans="1:3">
      <c r="A152" s="4" t="s">
        <v>7296</v>
      </c>
      <c r="B152" s="5" t="s">
        <v>7297</v>
      </c>
      <c r="C152">
        <f xml:space="preserve"> COUNTIF(Data!G152:G3651, A152)</f>
        <v>0</v>
      </c>
    </row>
    <row r="153" spans="1:3">
      <c r="A153" s="4" t="s">
        <v>7298</v>
      </c>
      <c r="B153" s="5" t="s">
        <v>7299</v>
      </c>
      <c r="C153">
        <f xml:space="preserve"> COUNTIF(Data!G153:G3652, A153)</f>
        <v>0</v>
      </c>
    </row>
    <row r="154" spans="1:3">
      <c r="A154" s="4" t="s">
        <v>7300</v>
      </c>
      <c r="B154" s="5" t="s">
        <v>7301</v>
      </c>
      <c r="C154">
        <f xml:space="preserve"> COUNTIF(Data!G154:G3653, A154)</f>
        <v>0</v>
      </c>
    </row>
    <row r="155" spans="1:3">
      <c r="A155" s="4" t="s">
        <v>7302</v>
      </c>
      <c r="B155" s="5" t="s">
        <v>7303</v>
      </c>
      <c r="C155">
        <f xml:space="preserve"> COUNTIF(Data!G155:G3654, A155)</f>
        <v>0</v>
      </c>
    </row>
    <row r="156" spans="1:3">
      <c r="A156" s="4" t="s">
        <v>7304</v>
      </c>
      <c r="B156" s="5" t="s">
        <v>804</v>
      </c>
      <c r="C156">
        <f xml:space="preserve"> COUNTIF(Data!G156:G3655, A156)</f>
        <v>1</v>
      </c>
    </row>
    <row r="157" spans="1:3">
      <c r="A157" s="4" t="s">
        <v>7305</v>
      </c>
      <c r="B157" s="5" t="s">
        <v>323</v>
      </c>
      <c r="C157">
        <f xml:space="preserve"> COUNTIF(Data!G157:G3656, A157)</f>
        <v>6</v>
      </c>
    </row>
    <row r="158" spans="1:3">
      <c r="A158" s="4" t="s">
        <v>7306</v>
      </c>
      <c r="B158" s="5" t="s">
        <v>7307</v>
      </c>
      <c r="C158">
        <f xml:space="preserve"> COUNTIF(Data!G158:G3657, A158)</f>
        <v>0</v>
      </c>
    </row>
    <row r="159" spans="1:3">
      <c r="A159" s="4" t="s">
        <v>7308</v>
      </c>
      <c r="B159" s="5" t="s">
        <v>409</v>
      </c>
      <c r="C159">
        <f xml:space="preserve"> COUNTIF(Data!G159:G3658, A159)</f>
        <v>2</v>
      </c>
    </row>
    <row r="160" spans="1:3">
      <c r="A160" s="4" t="s">
        <v>7309</v>
      </c>
      <c r="B160" s="5" t="s">
        <v>7310</v>
      </c>
      <c r="C160">
        <f xml:space="preserve"> COUNTIF(Data!G160:G3659, A160)</f>
        <v>0</v>
      </c>
    </row>
    <row r="161" spans="1:3">
      <c r="A161" s="4" t="s">
        <v>7311</v>
      </c>
      <c r="B161" s="5" t="s">
        <v>7312</v>
      </c>
      <c r="C161">
        <f xml:space="preserve"> COUNTIF(Data!G161:G3660, A161)</f>
        <v>0</v>
      </c>
    </row>
    <row r="162" spans="1:3">
      <c r="A162" s="4" t="s">
        <v>7313</v>
      </c>
      <c r="B162" s="5" t="s">
        <v>715</v>
      </c>
      <c r="C162">
        <f xml:space="preserve"> COUNTIF(Data!G162:G3661, A162)</f>
        <v>2</v>
      </c>
    </row>
    <row r="163" spans="1:3">
      <c r="A163" s="4" t="s">
        <v>7314</v>
      </c>
      <c r="B163" s="5" t="s">
        <v>7315</v>
      </c>
      <c r="C163">
        <f xml:space="preserve"> COUNTIF(Data!G163:G3662, A163)</f>
        <v>0</v>
      </c>
    </row>
    <row r="164" spans="1:3">
      <c r="A164" s="4" t="s">
        <v>7316</v>
      </c>
      <c r="B164" s="5" t="s">
        <v>7317</v>
      </c>
      <c r="C164">
        <f xml:space="preserve"> COUNTIF(Data!G164:G3663, A164)</f>
        <v>0</v>
      </c>
    </row>
    <row r="165" spans="1:3">
      <c r="A165" s="4" t="s">
        <v>7318</v>
      </c>
      <c r="B165" s="5" t="s">
        <v>7319</v>
      </c>
      <c r="C165">
        <f xml:space="preserve"> COUNTIF(Data!G165:G3664, A165)</f>
        <v>0</v>
      </c>
    </row>
    <row r="166" spans="1:3">
      <c r="A166" s="4" t="s">
        <v>7320</v>
      </c>
      <c r="B166" s="5" t="s">
        <v>1718</v>
      </c>
      <c r="C166">
        <f xml:space="preserve"> COUNTIF(Data!G166:G3665, A166)</f>
        <v>2</v>
      </c>
    </row>
    <row r="167" spans="1:3">
      <c r="A167" s="4" t="s">
        <v>7321</v>
      </c>
      <c r="B167" s="5" t="s">
        <v>7322</v>
      </c>
      <c r="C167">
        <f xml:space="preserve"> COUNTIF(Data!G167:G3666, A167)</f>
        <v>0</v>
      </c>
    </row>
    <row r="168" spans="1:3">
      <c r="A168" s="4" t="s">
        <v>7323</v>
      </c>
      <c r="B168" s="5" t="s">
        <v>1202</v>
      </c>
      <c r="C168">
        <f xml:space="preserve"> COUNTIF(Data!G168:G3667, A168)</f>
        <v>3</v>
      </c>
    </row>
    <row r="169" spans="1:3">
      <c r="A169" s="4" t="s">
        <v>7324</v>
      </c>
      <c r="B169" s="5" t="s">
        <v>7325</v>
      </c>
      <c r="C169">
        <f xml:space="preserve"> COUNTIF(Data!G169:G3668, A169)</f>
        <v>0</v>
      </c>
    </row>
    <row r="170" spans="1:3">
      <c r="A170" s="4" t="s">
        <v>7326</v>
      </c>
      <c r="B170" s="5" t="s">
        <v>7327</v>
      </c>
      <c r="C170">
        <f xml:space="preserve"> COUNTIF(Data!G170:G3669, A170)</f>
        <v>0</v>
      </c>
    </row>
    <row r="171" spans="1:3">
      <c r="A171" s="4" t="s">
        <v>7328</v>
      </c>
      <c r="B171" s="5" t="s">
        <v>7329</v>
      </c>
      <c r="C171">
        <f xml:space="preserve"> COUNTIF(Data!G171:G3670, A171)</f>
        <v>0</v>
      </c>
    </row>
    <row r="172" spans="1:3">
      <c r="A172" s="4" t="s">
        <v>7330</v>
      </c>
      <c r="B172" s="5" t="s">
        <v>7331</v>
      </c>
      <c r="C172">
        <f xml:space="preserve"> COUNTIF(Data!G172:G3671, A172)</f>
        <v>0</v>
      </c>
    </row>
    <row r="173" spans="1:3">
      <c r="A173" s="4" t="s">
        <v>7332</v>
      </c>
      <c r="B173" s="5" t="s">
        <v>7333</v>
      </c>
      <c r="C173">
        <f xml:space="preserve"> COUNTIF(Data!G173:G3672, A173)</f>
        <v>0</v>
      </c>
    </row>
    <row r="174" spans="1:3">
      <c r="A174" s="4" t="s">
        <v>7334</v>
      </c>
      <c r="B174" s="5" t="s">
        <v>941</v>
      </c>
      <c r="C174">
        <f xml:space="preserve"> COUNTIF(Data!G174:G3673, A174)</f>
        <v>2</v>
      </c>
    </row>
    <row r="175" spans="1:3">
      <c r="A175" s="4" t="s">
        <v>7335</v>
      </c>
      <c r="B175" s="5" t="s">
        <v>64</v>
      </c>
      <c r="C175">
        <f xml:space="preserve"> COUNTIF(Data!G175:G3674, A175)</f>
        <v>7</v>
      </c>
    </row>
    <row r="176" spans="1:3">
      <c r="A176" s="4" t="s">
        <v>7336</v>
      </c>
      <c r="B176" s="5" t="s">
        <v>7337</v>
      </c>
      <c r="C176">
        <f xml:space="preserve"> COUNTIF(Data!G176:G3675, A176)</f>
        <v>0</v>
      </c>
    </row>
    <row r="177" spans="1:3">
      <c r="A177" s="4" t="s">
        <v>7338</v>
      </c>
      <c r="B177" s="5" t="s">
        <v>4008</v>
      </c>
      <c r="C177">
        <f xml:space="preserve"> COUNTIF(Data!G177:G3676, A177)</f>
        <v>1</v>
      </c>
    </row>
    <row r="178" spans="1:3">
      <c r="A178" s="4" t="s">
        <v>7339</v>
      </c>
      <c r="B178" s="5" t="s">
        <v>1616</v>
      </c>
      <c r="C178">
        <f xml:space="preserve"> COUNTIF(Data!G178:G3677, A178)</f>
        <v>1</v>
      </c>
    </row>
    <row r="179" spans="1:3">
      <c r="A179" s="4" t="s">
        <v>7340</v>
      </c>
      <c r="B179" s="5" t="s">
        <v>7341</v>
      </c>
      <c r="C179">
        <f xml:space="preserve"> COUNTIF(Data!G179:G3678, A179)</f>
        <v>0</v>
      </c>
    </row>
    <row r="180" spans="1:3">
      <c r="A180" s="4" t="s">
        <v>7342</v>
      </c>
      <c r="B180" s="5" t="s">
        <v>7343</v>
      </c>
      <c r="C180">
        <f xml:space="preserve"> COUNTIF(Data!G180:G3679, A180)</f>
        <v>0</v>
      </c>
    </row>
    <row r="181" spans="1:3">
      <c r="A181" s="4" t="s">
        <v>7344</v>
      </c>
      <c r="B181" s="5" t="s">
        <v>7345</v>
      </c>
      <c r="C181">
        <f xml:space="preserve"> COUNTIF(Data!G181:G3680, A181)</f>
        <v>0</v>
      </c>
    </row>
    <row r="182" spans="1:3">
      <c r="A182" s="4" t="s">
        <v>7346</v>
      </c>
      <c r="B182" s="5" t="s">
        <v>768</v>
      </c>
      <c r="C182">
        <f xml:space="preserve"> COUNTIF(Data!G182:G3681, A182)</f>
        <v>2</v>
      </c>
    </row>
    <row r="183" spans="1:3">
      <c r="A183" s="4" t="s">
        <v>7347</v>
      </c>
      <c r="B183" s="5" t="s">
        <v>944</v>
      </c>
      <c r="C183">
        <f xml:space="preserve"> COUNTIF(Data!G183:G3682, A183)</f>
        <v>14</v>
      </c>
    </row>
    <row r="184" spans="1:3">
      <c r="A184" s="4" t="s">
        <v>7348</v>
      </c>
      <c r="B184" s="5" t="s">
        <v>7349</v>
      </c>
      <c r="C184">
        <f xml:space="preserve"> COUNTIF(Data!G184:G3683, A184)</f>
        <v>0</v>
      </c>
    </row>
    <row r="185" spans="1:3">
      <c r="A185" s="4" t="s">
        <v>7350</v>
      </c>
      <c r="B185" s="5" t="s">
        <v>7351</v>
      </c>
      <c r="C185">
        <f xml:space="preserve"> COUNTIF(Data!G185:G3684, A185)</f>
        <v>0</v>
      </c>
    </row>
    <row r="186" spans="1:3">
      <c r="A186" s="4" t="s">
        <v>7352</v>
      </c>
      <c r="B186" s="5" t="s">
        <v>7353</v>
      </c>
      <c r="C186">
        <f xml:space="preserve"> COUNTIF(Data!G186:G3685, A186)</f>
        <v>0</v>
      </c>
    </row>
    <row r="187" spans="1:3">
      <c r="A187" s="4" t="s">
        <v>7354</v>
      </c>
      <c r="B187" s="5" t="s">
        <v>7355</v>
      </c>
      <c r="C187">
        <f xml:space="preserve"> COUNTIF(Data!G187:G3686, A187)</f>
        <v>0</v>
      </c>
    </row>
    <row r="188" spans="1:3">
      <c r="A188" s="4" t="s">
        <v>7356</v>
      </c>
      <c r="B188" s="5" t="s">
        <v>7357</v>
      </c>
      <c r="C188">
        <f xml:space="preserve"> COUNTIF(Data!G188:G3687, A188)</f>
        <v>0</v>
      </c>
    </row>
    <row r="189" spans="1:3">
      <c r="A189" s="4" t="s">
        <v>7358</v>
      </c>
      <c r="B189" s="5" t="s">
        <v>7359</v>
      </c>
      <c r="C189">
        <f xml:space="preserve"> COUNTIF(Data!G189:G3688, A189)</f>
        <v>0</v>
      </c>
    </row>
    <row r="190" spans="1:3">
      <c r="A190" s="4" t="s">
        <v>7360</v>
      </c>
      <c r="B190" s="5" t="s">
        <v>7361</v>
      </c>
      <c r="C190">
        <f xml:space="preserve"> COUNTIF(Data!G190:G3689, A190)</f>
        <v>0</v>
      </c>
    </row>
    <row r="191" spans="1:3">
      <c r="A191" s="4" t="s">
        <v>7362</v>
      </c>
      <c r="B191" s="5" t="s">
        <v>7363</v>
      </c>
      <c r="C191">
        <f xml:space="preserve"> COUNTIF(Data!G191:G3690, A191)</f>
        <v>0</v>
      </c>
    </row>
    <row r="192" spans="1:3">
      <c r="A192" s="4" t="s">
        <v>7364</v>
      </c>
      <c r="B192" s="5" t="s">
        <v>7365</v>
      </c>
      <c r="C192">
        <f xml:space="preserve"> COUNTIF(Data!G192:G3691, A192)</f>
        <v>0</v>
      </c>
    </row>
    <row r="193" spans="1:3">
      <c r="A193" s="4" t="s">
        <v>7366</v>
      </c>
      <c r="B193" s="5" t="s">
        <v>7367</v>
      </c>
      <c r="C193">
        <f xml:space="preserve"> COUNTIF(Data!G193:G3692, A193)</f>
        <v>0</v>
      </c>
    </row>
    <row r="194" spans="1:3">
      <c r="A194" s="4" t="s">
        <v>7368</v>
      </c>
      <c r="B194" s="5" t="s">
        <v>7369</v>
      </c>
      <c r="C194">
        <f xml:space="preserve"> COUNTIF(Data!G194:G3693, A194)</f>
        <v>0</v>
      </c>
    </row>
    <row r="195" spans="1:3">
      <c r="A195" s="4" t="s">
        <v>7370</v>
      </c>
      <c r="B195" s="5" t="s">
        <v>7371</v>
      </c>
      <c r="C195">
        <f xml:space="preserve"> COUNTIF(Data!G195:G3694, A195)</f>
        <v>0</v>
      </c>
    </row>
    <row r="196" spans="1:3">
      <c r="A196" s="4" t="s">
        <v>7372</v>
      </c>
      <c r="B196" s="5" t="s">
        <v>4547</v>
      </c>
      <c r="C196">
        <f xml:space="preserve"> COUNTIF(Data!G196:G3695, A196)</f>
        <v>0</v>
      </c>
    </row>
    <row r="197" spans="1:3">
      <c r="A197" s="4" t="s">
        <v>7373</v>
      </c>
      <c r="B197" s="5" t="s">
        <v>7374</v>
      </c>
      <c r="C197">
        <f xml:space="preserve"> COUNTIF(Data!G197:G3696, A197)</f>
        <v>0</v>
      </c>
    </row>
    <row r="198" spans="1:3">
      <c r="A198" s="4" t="s">
        <v>7375</v>
      </c>
      <c r="B198" s="5" t="s">
        <v>7376</v>
      </c>
      <c r="C198">
        <f xml:space="preserve"> COUNTIF(Data!G198:G3697, A198)</f>
        <v>0</v>
      </c>
    </row>
    <row r="199" spans="1:3">
      <c r="A199" s="4" t="s">
        <v>7377</v>
      </c>
      <c r="B199" s="5" t="s">
        <v>7378</v>
      </c>
      <c r="C199">
        <f xml:space="preserve"> COUNTIF(Data!G199:G3698, A199)</f>
        <v>0</v>
      </c>
    </row>
    <row r="200" spans="1:3">
      <c r="A200" s="4" t="s">
        <v>7379</v>
      </c>
      <c r="B200" s="5" t="s">
        <v>7380</v>
      </c>
      <c r="C200">
        <f xml:space="preserve"> COUNTIF(Data!G200:G3699, A200)</f>
        <v>0</v>
      </c>
    </row>
    <row r="201" spans="1:3">
      <c r="A201" s="4" t="s">
        <v>7381</v>
      </c>
      <c r="B201" s="5" t="s">
        <v>1138</v>
      </c>
      <c r="C201">
        <f xml:space="preserve"> COUNTIF(Data!G201:G3700, A201)</f>
        <v>1</v>
      </c>
    </row>
    <row r="202" spans="1:3">
      <c r="A202" s="4" t="s">
        <v>7382</v>
      </c>
      <c r="B202" s="5" t="s">
        <v>7383</v>
      </c>
      <c r="C202">
        <f xml:space="preserve"> COUNTIF(Data!G202:G3701, A202)</f>
        <v>0</v>
      </c>
    </row>
    <row r="203" spans="1:3">
      <c r="A203" s="4" t="s">
        <v>7384</v>
      </c>
      <c r="B203" s="5" t="s">
        <v>7385</v>
      </c>
      <c r="C203">
        <f xml:space="preserve"> COUNTIF(Data!G203:G3702, A203)</f>
        <v>0</v>
      </c>
    </row>
    <row r="204" spans="1:3">
      <c r="A204" s="4" t="s">
        <v>7386</v>
      </c>
      <c r="B204" s="5" t="s">
        <v>7387</v>
      </c>
      <c r="C204">
        <f xml:space="preserve"> COUNTIF(Data!G204:G3703, A204)</f>
        <v>0</v>
      </c>
    </row>
    <row r="205" spans="1:3">
      <c r="A205" s="4" t="s">
        <v>7388</v>
      </c>
      <c r="B205" s="5" t="s">
        <v>7389</v>
      </c>
      <c r="C205">
        <f xml:space="preserve"> COUNTIF(Data!G205:G3704, A205)</f>
        <v>0</v>
      </c>
    </row>
    <row r="206" spans="1:3">
      <c r="A206" s="4" t="s">
        <v>7390</v>
      </c>
      <c r="B206" s="5" t="s">
        <v>7391</v>
      </c>
      <c r="C206">
        <f xml:space="preserve"> COUNTIF(Data!G206:G3705, A206)</f>
        <v>0</v>
      </c>
    </row>
    <row r="207" spans="1:3">
      <c r="A207" s="4" t="s">
        <v>7392</v>
      </c>
      <c r="B207" s="5" t="s">
        <v>497</v>
      </c>
      <c r="C207">
        <f xml:space="preserve"> COUNTIF(Data!G207:G3706, A207)</f>
        <v>3</v>
      </c>
    </row>
    <row r="208" spans="1:3">
      <c r="A208" s="4" t="s">
        <v>7393</v>
      </c>
      <c r="B208" s="5" t="s">
        <v>7394</v>
      </c>
      <c r="C208">
        <f xml:space="preserve"> COUNTIF(Data!G208:G3707, A208)</f>
        <v>0</v>
      </c>
    </row>
    <row r="209" spans="1:3">
      <c r="A209" s="4" t="s">
        <v>7395</v>
      </c>
      <c r="B209" s="5" t="s">
        <v>7396</v>
      </c>
      <c r="C209">
        <f xml:space="preserve"> COUNTIF(Data!G209:G3708, A209)</f>
        <v>0</v>
      </c>
    </row>
    <row r="210" spans="1:3">
      <c r="A210" s="4" t="s">
        <v>7397</v>
      </c>
      <c r="B210" s="5" t="s">
        <v>7398</v>
      </c>
      <c r="C210">
        <f xml:space="preserve"> COUNTIF(Data!G210:G3709, A210)</f>
        <v>0</v>
      </c>
    </row>
    <row r="211" spans="1:3">
      <c r="A211" s="4" t="s">
        <v>7399</v>
      </c>
      <c r="B211" s="5" t="s">
        <v>610</v>
      </c>
      <c r="C211">
        <f xml:space="preserve"> COUNTIF(Data!G211:G3710, A211)</f>
        <v>4</v>
      </c>
    </row>
    <row r="212" spans="1:3">
      <c r="A212" s="4" t="s">
        <v>7400</v>
      </c>
      <c r="B212" s="5" t="s">
        <v>7401</v>
      </c>
      <c r="C212">
        <f xml:space="preserve"> COUNTIF(Data!G212:G3711, A212)</f>
        <v>0</v>
      </c>
    </row>
    <row r="213" spans="1:3">
      <c r="A213" s="4" t="s">
        <v>7402</v>
      </c>
      <c r="B213" s="5" t="s">
        <v>7403</v>
      </c>
      <c r="C213">
        <f xml:space="preserve"> COUNTIF(Data!G213:G3712, A213)</f>
        <v>0</v>
      </c>
    </row>
    <row r="214" spans="1:3">
      <c r="A214" s="4" t="s">
        <v>7404</v>
      </c>
      <c r="B214" s="5" t="s">
        <v>7405</v>
      </c>
      <c r="C214">
        <f xml:space="preserve"> COUNTIF(Data!G214:G3713, A214)</f>
        <v>0</v>
      </c>
    </row>
    <row r="215" spans="1:3">
      <c r="A215" s="4" t="s">
        <v>7406</v>
      </c>
      <c r="B215" s="5" t="s">
        <v>3915</v>
      </c>
      <c r="C215">
        <f xml:space="preserve"> COUNTIF(Data!G215:G3714, A215)</f>
        <v>2</v>
      </c>
    </row>
    <row r="216" spans="1:3">
      <c r="A216" s="4" t="s">
        <v>7407</v>
      </c>
      <c r="B216" s="5" t="s">
        <v>3911</v>
      </c>
      <c r="C216">
        <f xml:space="preserve"> COUNTIF(Data!G216:G3715, A216)</f>
        <v>1</v>
      </c>
    </row>
    <row r="217" spans="1:3">
      <c r="A217" s="4" t="s">
        <v>7408</v>
      </c>
      <c r="B217" s="5" t="s">
        <v>7409</v>
      </c>
      <c r="C217">
        <f xml:space="preserve"> COUNTIF(Data!G217:G3716, A217)</f>
        <v>0</v>
      </c>
    </row>
    <row r="218" spans="1:3">
      <c r="A218" s="4" t="s">
        <v>7410</v>
      </c>
      <c r="B218" s="5" t="s">
        <v>7411</v>
      </c>
      <c r="C218">
        <f xml:space="preserve"> COUNTIF(Data!G218:G3717, A218)</f>
        <v>0</v>
      </c>
    </row>
    <row r="219" spans="1:3">
      <c r="A219" s="4" t="s">
        <v>7412</v>
      </c>
      <c r="B219" s="5" t="s">
        <v>7413</v>
      </c>
      <c r="C219">
        <f xml:space="preserve"> COUNTIF(Data!G219:G3718, A219)</f>
        <v>0</v>
      </c>
    </row>
    <row r="220" spans="1:3">
      <c r="A220" s="4" t="s">
        <v>7414</v>
      </c>
      <c r="B220" s="5" t="s">
        <v>7415</v>
      </c>
      <c r="C220">
        <f xml:space="preserve"> COUNTIF(Data!G220:G3719, A220)</f>
        <v>0</v>
      </c>
    </row>
    <row r="221" spans="1:3">
      <c r="A221" s="4" t="s">
        <v>7416</v>
      </c>
      <c r="B221" s="5" t="s">
        <v>7417</v>
      </c>
      <c r="C221">
        <f xml:space="preserve"> COUNTIF(Data!G221:G3720, A221)</f>
        <v>0</v>
      </c>
    </row>
    <row r="222" spans="1:3">
      <c r="A222" s="4" t="s">
        <v>7418</v>
      </c>
      <c r="B222" s="5" t="s">
        <v>7419</v>
      </c>
      <c r="C222">
        <f xml:space="preserve"> COUNTIF(Data!G222:G3721, A222)</f>
        <v>0</v>
      </c>
    </row>
    <row r="223" spans="1:3">
      <c r="A223" s="4" t="s">
        <v>7420</v>
      </c>
      <c r="B223" s="5" t="s">
        <v>7421</v>
      </c>
      <c r="C223">
        <f xml:space="preserve"> COUNTIF(Data!G223:G3722, A223)</f>
        <v>0</v>
      </c>
    </row>
    <row r="224" spans="1:3">
      <c r="A224" s="4" t="s">
        <v>7422</v>
      </c>
      <c r="B224" s="5" t="s">
        <v>7423</v>
      </c>
      <c r="C224">
        <f xml:space="preserve"> COUNTIF(Data!G224:G3723, A224)</f>
        <v>0</v>
      </c>
    </row>
    <row r="225" spans="1:3">
      <c r="A225" s="4" t="s">
        <v>7424</v>
      </c>
      <c r="B225" s="5" t="s">
        <v>7425</v>
      </c>
      <c r="C225">
        <f xml:space="preserve"> COUNTIF(Data!G225:G3724, A225)</f>
        <v>0</v>
      </c>
    </row>
    <row r="226" spans="1:3">
      <c r="A226" s="4" t="s">
        <v>7426</v>
      </c>
      <c r="B226" s="5" t="s">
        <v>7427</v>
      </c>
      <c r="C226">
        <f xml:space="preserve"> COUNTIF(Data!G226:G3725, A226)</f>
        <v>0</v>
      </c>
    </row>
    <row r="227" spans="1:3">
      <c r="A227" s="4" t="s">
        <v>7428</v>
      </c>
      <c r="B227" s="5" t="s">
        <v>7429</v>
      </c>
      <c r="C227">
        <f xml:space="preserve"> COUNTIF(Data!G227:G3726, A227)</f>
        <v>0</v>
      </c>
    </row>
    <row r="228" spans="1:3">
      <c r="A228" s="4" t="s">
        <v>7430</v>
      </c>
      <c r="B228" s="5" t="s">
        <v>1523</v>
      </c>
      <c r="C228">
        <f xml:space="preserve"> COUNTIF(Data!G228:G3727, A228)</f>
        <v>31</v>
      </c>
    </row>
    <row r="229" spans="1:3">
      <c r="A229" s="4" t="s">
        <v>7431</v>
      </c>
      <c r="B229" s="5" t="s">
        <v>7432</v>
      </c>
      <c r="C229">
        <f xml:space="preserve"> COUNTIF(Data!G229:G3728, A229)</f>
        <v>0</v>
      </c>
    </row>
    <row r="230" spans="1:3">
      <c r="A230" s="4" t="s">
        <v>7433</v>
      </c>
      <c r="B230" s="5" t="s">
        <v>7434</v>
      </c>
      <c r="C230">
        <f xml:space="preserve"> COUNTIF(Data!G230:G3729, A230)</f>
        <v>0</v>
      </c>
    </row>
    <row r="231" spans="1:3">
      <c r="A231" s="4" t="s">
        <v>7435</v>
      </c>
      <c r="B231" s="5" t="s">
        <v>7436</v>
      </c>
      <c r="C231">
        <f xml:space="preserve"> COUNTIF(Data!G231:G3730, A231)</f>
        <v>0</v>
      </c>
    </row>
    <row r="232" spans="1:3">
      <c r="A232" s="4" t="s">
        <v>7437</v>
      </c>
      <c r="B232" s="5" t="s">
        <v>1599</v>
      </c>
      <c r="C232">
        <f xml:space="preserve"> COUNTIF(Data!G232:G3731, A232)</f>
        <v>2</v>
      </c>
    </row>
    <row r="233" spans="1:3">
      <c r="A233" s="4" t="s">
        <v>7438</v>
      </c>
      <c r="B233" s="5" t="s">
        <v>1742</v>
      </c>
      <c r="C233">
        <f xml:space="preserve"> COUNTIF(Data!G233:G3732, A233)</f>
        <v>4</v>
      </c>
    </row>
    <row r="234" spans="1:3">
      <c r="A234" s="4" t="s">
        <v>7439</v>
      </c>
      <c r="B234" s="5" t="s">
        <v>2284</v>
      </c>
      <c r="C234">
        <f xml:space="preserve"> COUNTIF(Data!G234:G3733, A234)</f>
        <v>3</v>
      </c>
    </row>
    <row r="235" spans="1:3">
      <c r="A235" s="4" t="s">
        <v>7440</v>
      </c>
      <c r="B235" s="5" t="s">
        <v>39</v>
      </c>
      <c r="C235">
        <f xml:space="preserve"> COUNTIF(Data!G235:G3734, A235)</f>
        <v>19</v>
      </c>
    </row>
    <row r="236" spans="1:3">
      <c r="A236" s="4" t="s">
        <v>7441</v>
      </c>
      <c r="B236" s="5" t="s">
        <v>7442</v>
      </c>
      <c r="C236">
        <f xml:space="preserve"> COUNTIF(Data!G236:G3735, A236)</f>
        <v>0</v>
      </c>
    </row>
    <row r="237" spans="1:3">
      <c r="A237" s="4" t="s">
        <v>7443</v>
      </c>
      <c r="B237" s="5" t="s">
        <v>19</v>
      </c>
      <c r="C237">
        <f xml:space="preserve"> COUNTIF(Data!G237:G3736, A237)</f>
        <v>138</v>
      </c>
    </row>
    <row r="238" spans="1:3">
      <c r="A238" s="4" t="s">
        <v>7444</v>
      </c>
      <c r="B238" s="5" t="s">
        <v>7445</v>
      </c>
      <c r="C238">
        <f xml:space="preserve"> COUNTIF(Data!G238:G3737, A238)</f>
        <v>0</v>
      </c>
    </row>
    <row r="239" spans="1:3">
      <c r="A239" s="4" t="s">
        <v>7446</v>
      </c>
      <c r="B239" s="5" t="s">
        <v>7447</v>
      </c>
      <c r="C239">
        <f xml:space="preserve"> COUNTIF(Data!G239:G3738, A239)</f>
        <v>0</v>
      </c>
    </row>
    <row r="240" spans="1:3">
      <c r="A240" s="4" t="s">
        <v>7448</v>
      </c>
      <c r="B240" s="5" t="s">
        <v>7449</v>
      </c>
      <c r="C240">
        <f xml:space="preserve"> COUNTIF(Data!G240:G3739, A240)</f>
        <v>0</v>
      </c>
    </row>
    <row r="241" spans="1:4">
      <c r="A241" s="4" t="s">
        <v>7450</v>
      </c>
      <c r="B241" s="5" t="s">
        <v>2250</v>
      </c>
      <c r="C241">
        <f xml:space="preserve"> COUNTIF(Data!G241:G3740, A241)</f>
        <v>1</v>
      </c>
    </row>
    <row r="242" spans="1:4">
      <c r="A242" s="4" t="s">
        <v>7451</v>
      </c>
      <c r="B242" s="5" t="s">
        <v>442</v>
      </c>
      <c r="C242">
        <f xml:space="preserve"> COUNTIF(Data!G242:G3741, A242)</f>
        <v>1</v>
      </c>
    </row>
    <row r="243" spans="1:4">
      <c r="A243" s="4" t="s">
        <v>7452</v>
      </c>
      <c r="B243" s="5" t="s">
        <v>7453</v>
      </c>
      <c r="C243">
        <f xml:space="preserve"> COUNTIF(Data!G243:G3742, A243)</f>
        <v>0</v>
      </c>
    </row>
    <row r="244" spans="1:4">
      <c r="A244" s="4" t="s">
        <v>7454</v>
      </c>
      <c r="B244" s="5" t="s">
        <v>7455</v>
      </c>
      <c r="C244">
        <f xml:space="preserve"> COUNTIF(Data!G244:G3743, A244)</f>
        <v>0</v>
      </c>
    </row>
    <row r="245" spans="1:4">
      <c r="A245" s="4" t="s">
        <v>7456</v>
      </c>
      <c r="B245" s="5" t="s">
        <v>7457</v>
      </c>
      <c r="C245">
        <f xml:space="preserve"> COUNTIF(Data!G245:G3744, A245)</f>
        <v>0</v>
      </c>
    </row>
    <row r="246" spans="1:4">
      <c r="A246" s="4" t="s">
        <v>7458</v>
      </c>
      <c r="B246" s="5" t="s">
        <v>7459</v>
      </c>
      <c r="C246">
        <f xml:space="preserve"> COUNTIF(Data!G246:G3745, A246)</f>
        <v>0</v>
      </c>
    </row>
    <row r="247" spans="1:4">
      <c r="A247" s="4" t="s">
        <v>7460</v>
      </c>
      <c r="B247" s="5" t="s">
        <v>7461</v>
      </c>
      <c r="C247">
        <f xml:space="preserve"> COUNTIF(Data!G247:G3746, A247)</f>
        <v>0</v>
      </c>
    </row>
    <row r="248" spans="1:4">
      <c r="A248" s="4" t="s">
        <v>7462</v>
      </c>
      <c r="B248" s="5" t="s">
        <v>7463</v>
      </c>
      <c r="C248">
        <f xml:space="preserve"> COUNTIF(Data!G248:G3747, A248)</f>
        <v>0</v>
      </c>
    </row>
    <row r="249" spans="1:4">
      <c r="A249" s="4" t="s">
        <v>7464</v>
      </c>
      <c r="B249" s="5" t="s">
        <v>3851</v>
      </c>
      <c r="C249">
        <f xml:space="preserve"> COUNTIF(Data!G249:G3748, A249)</f>
        <v>1</v>
      </c>
    </row>
    <row r="250" spans="1:4">
      <c r="A250" s="4" t="s">
        <v>7465</v>
      </c>
      <c r="B250" s="5" t="s">
        <v>7466</v>
      </c>
      <c r="C250">
        <f xml:space="preserve"> COUNTIF(Data!G250:G3749, A250)</f>
        <v>0</v>
      </c>
    </row>
    <row r="252" spans="1:4">
      <c r="C252">
        <f xml:space="preserve"> LARGE(C2:C250, 13)</f>
        <v>4</v>
      </c>
      <c r="D252">
        <f>LARGE(C1:C50,12)</f>
        <v>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528E7-CCBF-084C-993D-AC9A3AE978FC}">
  <sheetPr codeName="Sheet4"/>
  <dimension ref="B1:G273"/>
  <sheetViews>
    <sheetView tabSelected="1" zoomScale="111" workbookViewId="0">
      <selection activeCell="F15" sqref="F15"/>
    </sheetView>
  </sheetViews>
  <sheetFormatPr defaultColWidth="11.5546875" defaultRowHeight="15"/>
  <cols>
    <col min="2" max="2" width="30.109375" customWidth="1"/>
    <col min="3" max="3" width="18.109375" customWidth="1"/>
    <col min="6" max="6" width="40.33203125" customWidth="1"/>
  </cols>
  <sheetData>
    <row r="1" spans="2:7" ht="15.75" thickBot="1"/>
    <row r="2" spans="2:7" ht="20.25">
      <c r="B2" s="26" t="s">
        <v>7488</v>
      </c>
      <c r="C2" s="27"/>
      <c r="F2" s="28" t="s">
        <v>7487</v>
      </c>
      <c r="G2" s="29"/>
    </row>
    <row r="3" spans="2:7" ht="20.25">
      <c r="B3" s="16" t="s">
        <v>7486</v>
      </c>
      <c r="C3" s="15">
        <f xml:space="preserve"> AVERAGE(Data!K2:K3501)</f>
        <v>1.0222857142857142</v>
      </c>
      <c r="F3" s="22" t="s">
        <v>7485</v>
      </c>
      <c r="G3" s="23">
        <f xml:space="preserve"> AVERAGEIF(Data!D2:D3501, "&gt;=1", Data!K2:K3501)</f>
        <v>1.6860215053763441</v>
      </c>
    </row>
    <row r="4" spans="2:7" ht="20.25">
      <c r="B4" s="16" t="s">
        <v>7484</v>
      </c>
      <c r="C4" s="15">
        <f xml:space="preserve"> COUNTIF(Data!L2:L3501, "Positive")</f>
        <v>1321</v>
      </c>
      <c r="F4" s="22" t="s">
        <v>7483</v>
      </c>
      <c r="G4" s="23">
        <f xml:space="preserve"> COUNTIFS(Data!D2:D3501, "&gt;=1", Data!L2:L3501,"Positive")</f>
        <v>457</v>
      </c>
    </row>
    <row r="5" spans="2:7" ht="20.25">
      <c r="B5" s="16" t="s">
        <v>7482</v>
      </c>
      <c r="C5" s="15">
        <f xml:space="preserve"> COUNTIF(Data!L2:L3501, "Negative")</f>
        <v>519</v>
      </c>
      <c r="F5" s="22" t="s">
        <v>7481</v>
      </c>
      <c r="G5" s="23">
        <f xml:space="preserve"> COUNTIFS(Data!D2:D3501, "&gt;=1", Data!L2:L3501,"Negative")</f>
        <v>136</v>
      </c>
    </row>
    <row r="6" spans="2:7" ht="21" thickBot="1">
      <c r="B6" s="14" t="s">
        <v>7480</v>
      </c>
      <c r="C6" s="13">
        <f xml:space="preserve"> COUNTIF(Data!L2:L3501, "Neutral")</f>
        <v>1660</v>
      </c>
      <c r="F6" s="22" t="s">
        <v>7479</v>
      </c>
      <c r="G6" s="23">
        <f xml:space="preserve"> COUNTIFS(Data!D2:D3501,"&gt;=1", Data!L2:L3501,"Neutral")</f>
        <v>337</v>
      </c>
    </row>
    <row r="7" spans="2:7">
      <c r="F7" s="22" t="s">
        <v>7478</v>
      </c>
      <c r="G7" s="23">
        <f xml:space="preserve"> AVERAGEIF(Data!L2:L3501, "Positive", Data!D2:D3501)</f>
        <v>13.528387585162756</v>
      </c>
    </row>
    <row r="8" spans="2:7">
      <c r="F8" s="22" t="s">
        <v>7477</v>
      </c>
      <c r="G8" s="23">
        <f xml:space="preserve"> AVERAGEIF(Data!L2:L3501, "Negative", Data!D2:D3501)</f>
        <v>0.70905587668593451</v>
      </c>
    </row>
    <row r="9" spans="2:7" ht="15.75" thickBot="1">
      <c r="F9" s="24" t="s">
        <v>7476</v>
      </c>
      <c r="G9" s="25">
        <f xml:space="preserve"> AVERAGEIF(Data!L2:L3501, "Neutral", Data!D2:D3501)</f>
        <v>0.85</v>
      </c>
    </row>
    <row r="10" spans="2:7" ht="16.5" thickBot="1">
      <c r="B10" s="30" t="s">
        <v>7475</v>
      </c>
      <c r="C10" s="31"/>
    </row>
    <row r="11" spans="2:7">
      <c r="B11" s="17" t="str" cm="1">
        <f t="array" ref="B11">INDEX(Countries!$A$2:$A$250,IF(LARGE(Countries!$C$2:$C$250, 1)&gt;=2,MATCH(LARGE(Countries!$C$2:$C$250,1),Countries!$C$2:$C$250,0)))</f>
        <v>United States of America (the)</v>
      </c>
      <c r="C11" s="18">
        <f xml:space="preserve"> AVERAGEIF(Data!$G$2:$G$3501, B11, Data!$K$2:$K$3501)</f>
        <v>1.3093525179856116</v>
      </c>
    </row>
    <row r="12" spans="2:7" ht="15.75" thickBot="1">
      <c r="B12" s="11" t="str" cm="1">
        <f t="array" ref="B12">INDEX(Countries!$A$2:$A$250,IF(LARGE(Countries!$C$2:$C$250, 2)&gt;=2,MATCH(LARGE(Countries!$C$2:$C$250,2),Countries!$C$2:$C$250,0)))</f>
        <v>Indonesia</v>
      </c>
      <c r="C12" s="10">
        <f xml:space="preserve"> AVERAGEIF(Data!$G$2:$G$3501, B12, Data!$K$2:$K$3501)</f>
        <v>1.03125</v>
      </c>
    </row>
    <row r="13" spans="2:7" ht="15.75">
      <c r="B13" s="11" t="str" cm="1">
        <f t="array" ref="B13">INDEX(Countries!$A$2:$A$250,IF(LARGE(Countries!$C$2:$C$250,3)&gt;=2,MATCH(LARGE(Countries!$C$2:$C$250,3),Countries!$C$2:$C$250,0)))</f>
        <v>Turkey</v>
      </c>
      <c r="C13" s="10">
        <f xml:space="preserve"> AVERAGEIF(Data!$G$2:$G$3501, B13, Data!$K$2:$K$3501)</f>
        <v>0.78947368421052633</v>
      </c>
      <c r="F13" s="32" t="s">
        <v>7474</v>
      </c>
      <c r="G13" s="33"/>
    </row>
    <row r="14" spans="2:7">
      <c r="B14" s="11" t="str" cm="1">
        <f t="array" ref="B14">INDEX(Countries!$A$2:$A$250,IF(LARGE(Countries!$C$2:$C$250,4)&gt;=2,MATCH(LARGE(Countries!$C$2:$C$250,4),Countries!$C$2:$C$250,0)))</f>
        <v>United Kingdom of Great Britain and Northern Ireland (the)</v>
      </c>
      <c r="C14" s="10">
        <f xml:space="preserve"> AVERAGEIF(Data!$G$2:$G$3501, B14, Data!$K$2:$K$3501)</f>
        <v>3.0526315789473686</v>
      </c>
      <c r="F14" s="11" t="s">
        <v>7473</v>
      </c>
      <c r="G14" s="12">
        <f>AVERAGEIF(Data!E2:E3501, "&gt;=1", Data!K2:K3501)</f>
        <v>1.0894039735099337</v>
      </c>
    </row>
    <row r="15" spans="2:7">
      <c r="B15" s="11" t="str" cm="1">
        <f t="array" ref="B15">INDEX(Countries!$A$2:$A$250,IF(LARGE(Countries!$C$2:$C$250,5)&gt;=2,MATCH(LARGE(Countries!$C$2:$C$250,5),Countries!$C$2:$C$250,0)))</f>
        <v>India</v>
      </c>
      <c r="C15" s="10">
        <f xml:space="preserve"> AVERAGEIF(Data!$G$2:$G$3501, B15, Data!$K$2:$K$3501)</f>
        <v>0.8666666666666667</v>
      </c>
      <c r="F15" s="11" t="s">
        <v>7472</v>
      </c>
      <c r="G15" s="10">
        <f xml:space="preserve"> COUNTIFS(Data!E2:E3501, "&gt;=1", Data!L2:L3501, "Positive")</f>
        <v>241</v>
      </c>
    </row>
    <row r="16" spans="2:7">
      <c r="B16" s="11" t="str" cm="1">
        <f t="array" ref="B16">INDEX(Countries!$A$2:$A$250,IF(LARGE(Countries!$C$2:$C$250,6)&gt;=2,MATCH(LARGE(Countries!$C$2:$C$250,6),Countries!$C$2:$C$250,0)))</f>
        <v>Russian Federation (the)</v>
      </c>
      <c r="C16" s="10">
        <f xml:space="preserve"> AVERAGEIF(Data!$G$2:$G$3501, B16, Data!$K$2:$K$3501)</f>
        <v>0.35714285714285715</v>
      </c>
      <c r="F16" s="11" t="s">
        <v>7471</v>
      </c>
      <c r="G16" s="10">
        <f xml:space="preserve"> COUNTIFS(Data!E2:E3501, "&gt;=1", Data!L2:L3501, "Negative")</f>
        <v>116</v>
      </c>
    </row>
    <row r="17" spans="2:7">
      <c r="B17" s="11" t="str" cm="1">
        <f t="array" ref="B17">INDEX(Countries!$A$2:$A$250,IF(LARGE(Countries!$C$2:$C$250,7)&gt;=2,MATCH(LARGE(Countries!$C$2:$C$250,7),Countries!$C$2:$C$250,0)))</f>
        <v>Canada</v>
      </c>
      <c r="C17" s="10">
        <f xml:space="preserve"> AVERAGEIF(Data!$G$2:$G$3501, B17, Data!$K$2:$K$3501)</f>
        <v>2.6666666666666665</v>
      </c>
      <c r="F17" s="11" t="s">
        <v>7470</v>
      </c>
      <c r="G17" s="10">
        <f xml:space="preserve"> COUNTIFS(Data!E2:E3501, "&gt;=1", Data!L2:L3501, "Neutral")</f>
        <v>247</v>
      </c>
    </row>
    <row r="18" spans="2:7">
      <c r="B18" s="11" t="str" cm="1">
        <f t="array" ref="B18">INDEX(Countries!$A$2:$A$250,IF(LARGE(Countries!$C$2:$C$250,8)&gt;=2,MATCH(LARGE(Countries!$C$2:$C$250,8),Countries!$C$2:$C$250,0)))</f>
        <v>Australia</v>
      </c>
      <c r="C18" s="10">
        <f xml:space="preserve"> AVERAGEIF(Data!$G$2:$G$3501, B18, Data!$K$2:$K$3501)</f>
        <v>1.6666666666666667</v>
      </c>
      <c r="F18" s="11" t="s">
        <v>7469</v>
      </c>
      <c r="G18" s="10">
        <f xml:space="preserve"> SUMIF(Data!L2:L3501,"Positive", Data!E2:E3501)</f>
        <v>608</v>
      </c>
    </row>
    <row r="19" spans="2:7">
      <c r="B19" s="11" t="str" cm="1">
        <f t="array" ref="B19">INDEX(Countries!$A$2:$A$250,IF(LARGE(Countries!$C$2:$C$250,9)&gt;=2,MATCH(LARGE(Countries!$C$2:$C$250,9),Countries!$C$2:$C$250,0)))</f>
        <v>Malaysia</v>
      </c>
      <c r="C19" s="10">
        <f xml:space="preserve"> AVERAGEIF(Data!$G$2:$G$3501, B19, Data!$K$2:$K$3501)</f>
        <v>0.7142857142857143</v>
      </c>
      <c r="F19" s="11" t="s">
        <v>7468</v>
      </c>
      <c r="G19" s="10">
        <f xml:space="preserve"> SUMIF(Data!L2:L3501,"Negative", Data!E2:E3501)</f>
        <v>201</v>
      </c>
    </row>
    <row r="20" spans="2:7" ht="15.75" thickBot="1">
      <c r="B20" s="11" t="str" cm="1">
        <f t="array" ref="B20">INDEX(Countries!$A$2:$A$250,IF(LARGE(Countries!$C$2:$C$250,11)&gt;=2,MATCH(LARGE(Countries!$C$2:$C$250,11),Countries!$C$2:$C$250,0)))</f>
        <v>Germany</v>
      </c>
      <c r="C20" s="10">
        <f xml:space="preserve"> AVERAGEIF(Data!$G$2:$G$3501, B20, Data!$K$2:$K$3501)</f>
        <v>0.33333333333333331</v>
      </c>
      <c r="F20" s="9" t="s">
        <v>7467</v>
      </c>
      <c r="G20" s="8">
        <f xml:space="preserve"> SUMIF(Data!L2:L3501,"Neutral", Data!E2:E3501)</f>
        <v>420</v>
      </c>
    </row>
    <row r="21" spans="2:7">
      <c r="B21" s="11" t="str" cm="1">
        <f t="array" ref="B21">INDEX(Countries!$A$2:$A$250,IF(LARGE(Countries!$C$2:$C$250,13)&gt;=2,MATCH(LARGE(Countries!$C$2:$C$250,13),Countries!$C$2:$C$250,0)))</f>
        <v>Brazil</v>
      </c>
      <c r="C21" s="10">
        <f xml:space="preserve"> AVERAGEIF(Data!$G$2:$G$3501, B21, Data!$K$2:$K$3501)</f>
        <v>1.5</v>
      </c>
    </row>
    <row r="22" spans="2:7">
      <c r="B22" s="11" t="str" cm="1">
        <f t="array" ref="B22">INDEX(Countries!$A$2:$A$250,IF(LARGE(Countries!$C$2:$C$250,14)&gt;=2,MATCH(LARGE(Countries!$C$2:$C$250,14),Countries!$C$2:$C$250,0)))</f>
        <v>Brazil</v>
      </c>
      <c r="C22" s="10">
        <f xml:space="preserve"> AVERAGEIF(Data!$G$2:$G$3501, B22, Data!$K$2:$K$3501)</f>
        <v>1.5</v>
      </c>
    </row>
    <row r="23" spans="2:7">
      <c r="B23" s="11" t="str" cm="1">
        <f t="array" ref="B23">INDEX(Countries!$A$2:$A$250,IF(LARGE(Countries!$C$2:$C$250,15)&gt;=2,MATCH(LARGE(Countries!$C$2:$C$250,15),Countries!$C$2:$C$250,0)))</f>
        <v>Brazil</v>
      </c>
      <c r="C23" s="10">
        <f xml:space="preserve"> AVERAGEIF(Data!$G$2:$G$3501, B23, Data!$K$2:$K$3501)</f>
        <v>1.5</v>
      </c>
    </row>
    <row r="24" spans="2:7" ht="15.75" thickBot="1">
      <c r="B24" s="11" t="str" cm="1">
        <f t="array" ref="B24">INDEX(Countries!$A$2:$A$250,IF(LARGE(Countries!$C$2:$C$250,15)&gt;=2,MATCH(LARGE(Countries!$C$2:$C$250,15),Countries!$C$2:$C$250,0)))</f>
        <v>Brazil</v>
      </c>
      <c r="C24" s="20">
        <f xml:space="preserve"> AVERAGEIF(Data!$G$2:$G$3501, B24, Data!$K$2:$K$3501)</f>
        <v>1.5</v>
      </c>
    </row>
    <row r="25" spans="2:7" ht="15.75" thickBot="1">
      <c r="B25" s="19" t="str" cm="1">
        <f t="array" ref="B25:B273">INDEX(Countries!$A$2:$A$250,IF(LARGE(Countries!$C$2:$C$250,15)&gt;=2,MATCH(LARGE(Countries!$C$2:$C$250,15),Countries!$C$2:$C$250,0)))</f>
        <v>Brazil</v>
      </c>
      <c r="C25" s="21">
        <f xml:space="preserve"> AVERAGEIF(Data!$G$2:$G$3501, B25, Data!$K$2:$K$3501)</f>
        <v>1.5</v>
      </c>
    </row>
    <row r="26" spans="2:7">
      <c r="B26" t="str">
        <v>Brazil</v>
      </c>
    </row>
    <row r="27" spans="2:7">
      <c r="B27" t="str">
        <v>Brazil</v>
      </c>
    </row>
    <row r="28" spans="2:7">
      <c r="B28" t="str">
        <v>Brazil</v>
      </c>
    </row>
    <row r="29" spans="2:7">
      <c r="B29" t="str">
        <v>Brazil</v>
      </c>
    </row>
    <row r="30" spans="2:7">
      <c r="B30" t="str">
        <v>Brazil</v>
      </c>
    </row>
    <row r="31" spans="2:7">
      <c r="B31" t="str">
        <v>Brazil</v>
      </c>
    </row>
    <row r="32" spans="2:7">
      <c r="B32" t="str">
        <v>Brazil</v>
      </c>
    </row>
    <row r="33" spans="2:2">
      <c r="B33" t="str">
        <v>Brazil</v>
      </c>
    </row>
    <row r="34" spans="2:2">
      <c r="B34" t="str">
        <v>Brazil</v>
      </c>
    </row>
    <row r="35" spans="2:2">
      <c r="B35" t="str">
        <v>Brazil</v>
      </c>
    </row>
    <row r="36" spans="2:2">
      <c r="B36" t="str">
        <v>Brazil</v>
      </c>
    </row>
    <row r="37" spans="2:2">
      <c r="B37" t="str">
        <v>Brazil</v>
      </c>
    </row>
    <row r="38" spans="2:2">
      <c r="B38" t="str">
        <v>Brazil</v>
      </c>
    </row>
    <row r="39" spans="2:2">
      <c r="B39" t="str">
        <v>Brazil</v>
      </c>
    </row>
    <row r="40" spans="2:2">
      <c r="B40" t="str">
        <v>Brazil</v>
      </c>
    </row>
    <row r="41" spans="2:2">
      <c r="B41" t="str">
        <v>Brazil</v>
      </c>
    </row>
    <row r="42" spans="2:2">
      <c r="B42" t="str">
        <v>Brazil</v>
      </c>
    </row>
    <row r="43" spans="2:2">
      <c r="B43" t="str">
        <v>Brazil</v>
      </c>
    </row>
    <row r="44" spans="2:2">
      <c r="B44" t="str">
        <v>Brazil</v>
      </c>
    </row>
    <row r="45" spans="2:2">
      <c r="B45" t="str">
        <v>Brazil</v>
      </c>
    </row>
    <row r="46" spans="2:2">
      <c r="B46" t="str">
        <v>Brazil</v>
      </c>
    </row>
    <row r="47" spans="2:2">
      <c r="B47" t="str">
        <v>Brazil</v>
      </c>
    </row>
    <row r="48" spans="2:2">
      <c r="B48" t="str">
        <v>Brazil</v>
      </c>
    </row>
    <row r="49" spans="2:2">
      <c r="B49" t="str">
        <v>Brazil</v>
      </c>
    </row>
    <row r="50" spans="2:2">
      <c r="B50" t="str">
        <v>Brazil</v>
      </c>
    </row>
    <row r="51" spans="2:2">
      <c r="B51" t="str">
        <v>Brazil</v>
      </c>
    </row>
    <row r="52" spans="2:2">
      <c r="B52" t="str">
        <v>Brazil</v>
      </c>
    </row>
    <row r="53" spans="2:2">
      <c r="B53" t="str">
        <v>Brazil</v>
      </c>
    </row>
    <row r="54" spans="2:2">
      <c r="B54" t="str">
        <v>Brazil</v>
      </c>
    </row>
    <row r="55" spans="2:2">
      <c r="B55" t="str">
        <v>Brazil</v>
      </c>
    </row>
    <row r="56" spans="2:2">
      <c r="B56" t="str">
        <v>Brazil</v>
      </c>
    </row>
    <row r="57" spans="2:2">
      <c r="B57" t="str">
        <v>Brazil</v>
      </c>
    </row>
    <row r="58" spans="2:2">
      <c r="B58" t="str">
        <v>Brazil</v>
      </c>
    </row>
    <row r="59" spans="2:2">
      <c r="B59" t="str">
        <v>Brazil</v>
      </c>
    </row>
    <row r="60" spans="2:2">
      <c r="B60" t="str">
        <v>Brazil</v>
      </c>
    </row>
    <row r="61" spans="2:2">
      <c r="B61" t="str">
        <v>Brazil</v>
      </c>
    </row>
    <row r="62" spans="2:2">
      <c r="B62" t="str">
        <v>Brazil</v>
      </c>
    </row>
    <row r="63" spans="2:2">
      <c r="B63" t="str">
        <v>Brazil</v>
      </c>
    </row>
    <row r="64" spans="2:2">
      <c r="B64" t="str">
        <v>Brazil</v>
      </c>
    </row>
    <row r="65" spans="2:2">
      <c r="B65" t="str">
        <v>Brazil</v>
      </c>
    </row>
    <row r="66" spans="2:2">
      <c r="B66" t="str">
        <v>Brazil</v>
      </c>
    </row>
    <row r="67" spans="2:2">
      <c r="B67" t="str">
        <v>Brazil</v>
      </c>
    </row>
    <row r="68" spans="2:2">
      <c r="B68" t="str">
        <v>Brazil</v>
      </c>
    </row>
    <row r="69" spans="2:2">
      <c r="B69" t="str">
        <v>Brazil</v>
      </c>
    </row>
    <row r="70" spans="2:2">
      <c r="B70" t="str">
        <v>Brazil</v>
      </c>
    </row>
    <row r="71" spans="2:2">
      <c r="B71" t="str">
        <v>Brazil</v>
      </c>
    </row>
    <row r="72" spans="2:2">
      <c r="B72" t="str">
        <v>Brazil</v>
      </c>
    </row>
    <row r="73" spans="2:2">
      <c r="B73" t="str">
        <v>Brazil</v>
      </c>
    </row>
    <row r="74" spans="2:2">
      <c r="B74" t="str">
        <v>Brazil</v>
      </c>
    </row>
    <row r="75" spans="2:2">
      <c r="B75" t="str">
        <v>Brazil</v>
      </c>
    </row>
    <row r="76" spans="2:2">
      <c r="B76" t="str">
        <v>Brazil</v>
      </c>
    </row>
    <row r="77" spans="2:2">
      <c r="B77" t="str">
        <v>Brazil</v>
      </c>
    </row>
    <row r="78" spans="2:2">
      <c r="B78" t="str">
        <v>Brazil</v>
      </c>
    </row>
    <row r="79" spans="2:2">
      <c r="B79" t="str">
        <v>Brazil</v>
      </c>
    </row>
    <row r="80" spans="2:2">
      <c r="B80" t="str">
        <v>Brazil</v>
      </c>
    </row>
    <row r="81" spans="2:2">
      <c r="B81" t="str">
        <v>Brazil</v>
      </c>
    </row>
    <row r="82" spans="2:2">
      <c r="B82" t="str">
        <v>Brazil</v>
      </c>
    </row>
    <row r="83" spans="2:2">
      <c r="B83" t="str">
        <v>Brazil</v>
      </c>
    </row>
    <row r="84" spans="2:2">
      <c r="B84" t="str">
        <v>Brazil</v>
      </c>
    </row>
    <row r="85" spans="2:2">
      <c r="B85" t="str">
        <v>Brazil</v>
      </c>
    </row>
    <row r="86" spans="2:2">
      <c r="B86" t="str">
        <v>Brazil</v>
      </c>
    </row>
    <row r="87" spans="2:2">
      <c r="B87" t="str">
        <v>Brazil</v>
      </c>
    </row>
    <row r="88" spans="2:2">
      <c r="B88" t="str">
        <v>Brazil</v>
      </c>
    </row>
    <row r="89" spans="2:2">
      <c r="B89" t="str">
        <v>Brazil</v>
      </c>
    </row>
    <row r="90" spans="2:2">
      <c r="B90" t="str">
        <v>Brazil</v>
      </c>
    </row>
    <row r="91" spans="2:2">
      <c r="B91" t="str">
        <v>Brazil</v>
      </c>
    </row>
    <row r="92" spans="2:2">
      <c r="B92" t="str">
        <v>Brazil</v>
      </c>
    </row>
    <row r="93" spans="2:2">
      <c r="B93" t="str">
        <v>Brazil</v>
      </c>
    </row>
    <row r="94" spans="2:2">
      <c r="B94" t="str">
        <v>Brazil</v>
      </c>
    </row>
    <row r="95" spans="2:2">
      <c r="B95" t="str">
        <v>Brazil</v>
      </c>
    </row>
    <row r="96" spans="2:2">
      <c r="B96" t="str">
        <v>Brazil</v>
      </c>
    </row>
    <row r="97" spans="2:2">
      <c r="B97" t="str">
        <v>Brazil</v>
      </c>
    </row>
    <row r="98" spans="2:2">
      <c r="B98" t="str">
        <v>Brazil</v>
      </c>
    </row>
    <row r="99" spans="2:2">
      <c r="B99" t="str">
        <v>Brazil</v>
      </c>
    </row>
    <row r="100" spans="2:2">
      <c r="B100" t="str">
        <v>Brazil</v>
      </c>
    </row>
    <row r="101" spans="2:2">
      <c r="B101" t="str">
        <v>Brazil</v>
      </c>
    </row>
    <row r="102" spans="2:2">
      <c r="B102" t="str">
        <v>Brazil</v>
      </c>
    </row>
    <row r="103" spans="2:2">
      <c r="B103" t="str">
        <v>Brazil</v>
      </c>
    </row>
    <row r="104" spans="2:2">
      <c r="B104" t="str">
        <v>Brazil</v>
      </c>
    </row>
    <row r="105" spans="2:2">
      <c r="B105" t="str">
        <v>Brazil</v>
      </c>
    </row>
    <row r="106" spans="2:2">
      <c r="B106" t="str">
        <v>Brazil</v>
      </c>
    </row>
    <row r="107" spans="2:2">
      <c r="B107" t="str">
        <v>Brazil</v>
      </c>
    </row>
    <row r="108" spans="2:2">
      <c r="B108" t="str">
        <v>Brazil</v>
      </c>
    </row>
    <row r="109" spans="2:2">
      <c r="B109" t="str">
        <v>Brazil</v>
      </c>
    </row>
    <row r="110" spans="2:2">
      <c r="B110" t="str">
        <v>Brazil</v>
      </c>
    </row>
    <row r="111" spans="2:2">
      <c r="B111" t="str">
        <v>Brazil</v>
      </c>
    </row>
    <row r="112" spans="2:2">
      <c r="B112" t="str">
        <v>Brazil</v>
      </c>
    </row>
    <row r="113" spans="2:2">
      <c r="B113" t="str">
        <v>Brazil</v>
      </c>
    </row>
    <row r="114" spans="2:2">
      <c r="B114" t="str">
        <v>Brazil</v>
      </c>
    </row>
    <row r="115" spans="2:2">
      <c r="B115" t="str">
        <v>Brazil</v>
      </c>
    </row>
    <row r="116" spans="2:2">
      <c r="B116" t="str">
        <v>Brazil</v>
      </c>
    </row>
    <row r="117" spans="2:2">
      <c r="B117" t="str">
        <v>Brazil</v>
      </c>
    </row>
    <row r="118" spans="2:2">
      <c r="B118" t="str">
        <v>Brazil</v>
      </c>
    </row>
    <row r="119" spans="2:2">
      <c r="B119" t="str">
        <v>Brazil</v>
      </c>
    </row>
    <row r="120" spans="2:2">
      <c r="B120" t="str">
        <v>Brazil</v>
      </c>
    </row>
    <row r="121" spans="2:2">
      <c r="B121" t="str">
        <v>Brazil</v>
      </c>
    </row>
    <row r="122" spans="2:2">
      <c r="B122" t="str">
        <v>Brazil</v>
      </c>
    </row>
    <row r="123" spans="2:2">
      <c r="B123" t="str">
        <v>Brazil</v>
      </c>
    </row>
    <row r="124" spans="2:2">
      <c r="B124" t="str">
        <v>Brazil</v>
      </c>
    </row>
    <row r="125" spans="2:2">
      <c r="B125" t="str">
        <v>Brazil</v>
      </c>
    </row>
    <row r="126" spans="2:2">
      <c r="B126" t="str">
        <v>Brazil</v>
      </c>
    </row>
    <row r="127" spans="2:2">
      <c r="B127" t="str">
        <v>Brazil</v>
      </c>
    </row>
    <row r="128" spans="2:2">
      <c r="B128" t="str">
        <v>Brazil</v>
      </c>
    </row>
    <row r="129" spans="2:2">
      <c r="B129" t="str">
        <v>Brazil</v>
      </c>
    </row>
    <row r="130" spans="2:2">
      <c r="B130" t="str">
        <v>Brazil</v>
      </c>
    </row>
    <row r="131" spans="2:2">
      <c r="B131" t="str">
        <v>Brazil</v>
      </c>
    </row>
    <row r="132" spans="2:2">
      <c r="B132" t="str">
        <v>Brazil</v>
      </c>
    </row>
    <row r="133" spans="2:2">
      <c r="B133" t="str">
        <v>Brazil</v>
      </c>
    </row>
    <row r="134" spans="2:2">
      <c r="B134" t="str">
        <v>Brazil</v>
      </c>
    </row>
    <row r="135" spans="2:2">
      <c r="B135" t="str">
        <v>Brazil</v>
      </c>
    </row>
    <row r="136" spans="2:2">
      <c r="B136" t="str">
        <v>Brazil</v>
      </c>
    </row>
    <row r="137" spans="2:2">
      <c r="B137" t="str">
        <v>Brazil</v>
      </c>
    </row>
    <row r="138" spans="2:2">
      <c r="B138" t="str">
        <v>Brazil</v>
      </c>
    </row>
    <row r="139" spans="2:2">
      <c r="B139" t="str">
        <v>Brazil</v>
      </c>
    </row>
    <row r="140" spans="2:2">
      <c r="B140" t="str">
        <v>Brazil</v>
      </c>
    </row>
    <row r="141" spans="2:2">
      <c r="B141" t="str">
        <v>Brazil</v>
      </c>
    </row>
    <row r="142" spans="2:2">
      <c r="B142" t="str">
        <v>Brazil</v>
      </c>
    </row>
    <row r="143" spans="2:2">
      <c r="B143" t="str">
        <v>Brazil</v>
      </c>
    </row>
    <row r="144" spans="2:2">
      <c r="B144" t="str">
        <v>Brazil</v>
      </c>
    </row>
    <row r="145" spans="2:2">
      <c r="B145" t="str">
        <v>Brazil</v>
      </c>
    </row>
    <row r="146" spans="2:2">
      <c r="B146" t="str">
        <v>Brazil</v>
      </c>
    </row>
    <row r="147" spans="2:2">
      <c r="B147" t="str">
        <v>Brazil</v>
      </c>
    </row>
    <row r="148" spans="2:2">
      <c r="B148" t="str">
        <v>Brazil</v>
      </c>
    </row>
    <row r="149" spans="2:2">
      <c r="B149" t="str">
        <v>Brazil</v>
      </c>
    </row>
    <row r="150" spans="2:2">
      <c r="B150" t="str">
        <v>Brazil</v>
      </c>
    </row>
    <row r="151" spans="2:2">
      <c r="B151" t="str">
        <v>Brazil</v>
      </c>
    </row>
    <row r="152" spans="2:2">
      <c r="B152" t="str">
        <v>Brazil</v>
      </c>
    </row>
    <row r="153" spans="2:2">
      <c r="B153" t="str">
        <v>Brazil</v>
      </c>
    </row>
    <row r="154" spans="2:2">
      <c r="B154" t="str">
        <v>Brazil</v>
      </c>
    </row>
    <row r="155" spans="2:2">
      <c r="B155" t="str">
        <v>Brazil</v>
      </c>
    </row>
    <row r="156" spans="2:2">
      <c r="B156" t="str">
        <v>Brazil</v>
      </c>
    </row>
    <row r="157" spans="2:2">
      <c r="B157" t="str">
        <v>Brazil</v>
      </c>
    </row>
    <row r="158" spans="2:2">
      <c r="B158" t="str">
        <v>Brazil</v>
      </c>
    </row>
    <row r="159" spans="2:2">
      <c r="B159" t="str">
        <v>Brazil</v>
      </c>
    </row>
    <row r="160" spans="2:2">
      <c r="B160" t="str">
        <v>Brazil</v>
      </c>
    </row>
    <row r="161" spans="2:2">
      <c r="B161" t="str">
        <v>Brazil</v>
      </c>
    </row>
    <row r="162" spans="2:2">
      <c r="B162" t="str">
        <v>Brazil</v>
      </c>
    </row>
    <row r="163" spans="2:2">
      <c r="B163" t="str">
        <v>Brazil</v>
      </c>
    </row>
    <row r="164" spans="2:2">
      <c r="B164" t="str">
        <v>Brazil</v>
      </c>
    </row>
    <row r="165" spans="2:2">
      <c r="B165" t="str">
        <v>Brazil</v>
      </c>
    </row>
    <row r="166" spans="2:2">
      <c r="B166" t="str">
        <v>Brazil</v>
      </c>
    </row>
    <row r="167" spans="2:2">
      <c r="B167" t="str">
        <v>Brazil</v>
      </c>
    </row>
    <row r="168" spans="2:2">
      <c r="B168" t="str">
        <v>Brazil</v>
      </c>
    </row>
    <row r="169" spans="2:2">
      <c r="B169" t="str">
        <v>Brazil</v>
      </c>
    </row>
    <row r="170" spans="2:2">
      <c r="B170" t="str">
        <v>Brazil</v>
      </c>
    </row>
    <row r="171" spans="2:2">
      <c r="B171" t="str">
        <v>Brazil</v>
      </c>
    </row>
    <row r="172" spans="2:2">
      <c r="B172" t="str">
        <v>Brazil</v>
      </c>
    </row>
    <row r="173" spans="2:2">
      <c r="B173" t="str">
        <v>Brazil</v>
      </c>
    </row>
    <row r="174" spans="2:2">
      <c r="B174" t="str">
        <v>Brazil</v>
      </c>
    </row>
    <row r="175" spans="2:2">
      <c r="B175" t="str">
        <v>Brazil</v>
      </c>
    </row>
    <row r="176" spans="2:2">
      <c r="B176" t="str">
        <v>Brazil</v>
      </c>
    </row>
    <row r="177" spans="2:2">
      <c r="B177" t="str">
        <v>Brazil</v>
      </c>
    </row>
    <row r="178" spans="2:2">
      <c r="B178" t="str">
        <v>Brazil</v>
      </c>
    </row>
    <row r="179" spans="2:2">
      <c r="B179" t="str">
        <v>Brazil</v>
      </c>
    </row>
    <row r="180" spans="2:2">
      <c r="B180" t="str">
        <v>Brazil</v>
      </c>
    </row>
    <row r="181" spans="2:2">
      <c r="B181" t="str">
        <v>Brazil</v>
      </c>
    </row>
    <row r="182" spans="2:2">
      <c r="B182" t="str">
        <v>Brazil</v>
      </c>
    </row>
    <row r="183" spans="2:2">
      <c r="B183" t="str">
        <v>Brazil</v>
      </c>
    </row>
    <row r="184" spans="2:2">
      <c r="B184" t="str">
        <v>Brazil</v>
      </c>
    </row>
    <row r="185" spans="2:2">
      <c r="B185" t="str">
        <v>Brazil</v>
      </c>
    </row>
    <row r="186" spans="2:2">
      <c r="B186" t="str">
        <v>Brazil</v>
      </c>
    </row>
    <row r="187" spans="2:2">
      <c r="B187" t="str">
        <v>Brazil</v>
      </c>
    </row>
    <row r="188" spans="2:2">
      <c r="B188" t="str">
        <v>Brazil</v>
      </c>
    </row>
    <row r="189" spans="2:2">
      <c r="B189" t="str">
        <v>Brazil</v>
      </c>
    </row>
    <row r="190" spans="2:2">
      <c r="B190" t="str">
        <v>Brazil</v>
      </c>
    </row>
    <row r="191" spans="2:2">
      <c r="B191" t="str">
        <v>Brazil</v>
      </c>
    </row>
    <row r="192" spans="2:2">
      <c r="B192" t="str">
        <v>Brazil</v>
      </c>
    </row>
    <row r="193" spans="2:2">
      <c r="B193" t="str">
        <v>Brazil</v>
      </c>
    </row>
    <row r="194" spans="2:2">
      <c r="B194" t="str">
        <v>Brazil</v>
      </c>
    </row>
    <row r="195" spans="2:2">
      <c r="B195" t="str">
        <v>Brazil</v>
      </c>
    </row>
    <row r="196" spans="2:2">
      <c r="B196" t="str">
        <v>Brazil</v>
      </c>
    </row>
    <row r="197" spans="2:2">
      <c r="B197" t="str">
        <v>Brazil</v>
      </c>
    </row>
    <row r="198" spans="2:2">
      <c r="B198" t="str">
        <v>Brazil</v>
      </c>
    </row>
    <row r="199" spans="2:2">
      <c r="B199" t="str">
        <v>Brazil</v>
      </c>
    </row>
    <row r="200" spans="2:2">
      <c r="B200" t="str">
        <v>Brazil</v>
      </c>
    </row>
    <row r="201" spans="2:2">
      <c r="B201" t="str">
        <v>Brazil</v>
      </c>
    </row>
    <row r="202" spans="2:2">
      <c r="B202" t="str">
        <v>Brazil</v>
      </c>
    </row>
    <row r="203" spans="2:2">
      <c r="B203" t="str">
        <v>Brazil</v>
      </c>
    </row>
    <row r="204" spans="2:2">
      <c r="B204" t="str">
        <v>Brazil</v>
      </c>
    </row>
    <row r="205" spans="2:2">
      <c r="B205" t="str">
        <v>Brazil</v>
      </c>
    </row>
    <row r="206" spans="2:2">
      <c r="B206" t="str">
        <v>Brazil</v>
      </c>
    </row>
    <row r="207" spans="2:2">
      <c r="B207" t="str">
        <v>Brazil</v>
      </c>
    </row>
    <row r="208" spans="2:2">
      <c r="B208" t="str">
        <v>Brazil</v>
      </c>
    </row>
    <row r="209" spans="2:2">
      <c r="B209" t="str">
        <v>Brazil</v>
      </c>
    </row>
    <row r="210" spans="2:2">
      <c r="B210" t="str">
        <v>Brazil</v>
      </c>
    </row>
    <row r="211" spans="2:2">
      <c r="B211" t="str">
        <v>Brazil</v>
      </c>
    </row>
    <row r="212" spans="2:2">
      <c r="B212" t="str">
        <v>Brazil</v>
      </c>
    </row>
    <row r="213" spans="2:2">
      <c r="B213" t="str">
        <v>Brazil</v>
      </c>
    </row>
    <row r="214" spans="2:2">
      <c r="B214" t="str">
        <v>Brazil</v>
      </c>
    </row>
    <row r="215" spans="2:2">
      <c r="B215" t="str">
        <v>Brazil</v>
      </c>
    </row>
    <row r="216" spans="2:2">
      <c r="B216" t="str">
        <v>Brazil</v>
      </c>
    </row>
    <row r="217" spans="2:2">
      <c r="B217" t="str">
        <v>Brazil</v>
      </c>
    </row>
    <row r="218" spans="2:2">
      <c r="B218" t="str">
        <v>Brazil</v>
      </c>
    </row>
    <row r="219" spans="2:2">
      <c r="B219" t="str">
        <v>Brazil</v>
      </c>
    </row>
    <row r="220" spans="2:2">
      <c r="B220" t="str">
        <v>Brazil</v>
      </c>
    </row>
    <row r="221" spans="2:2">
      <c r="B221" t="str">
        <v>Brazil</v>
      </c>
    </row>
    <row r="222" spans="2:2">
      <c r="B222" t="str">
        <v>Brazil</v>
      </c>
    </row>
    <row r="223" spans="2:2">
      <c r="B223" t="str">
        <v>Brazil</v>
      </c>
    </row>
    <row r="224" spans="2:2">
      <c r="B224" t="str">
        <v>Brazil</v>
      </c>
    </row>
    <row r="225" spans="2:2">
      <c r="B225" t="str">
        <v>Brazil</v>
      </c>
    </row>
    <row r="226" spans="2:2">
      <c r="B226" t="str">
        <v>Brazil</v>
      </c>
    </row>
    <row r="227" spans="2:2">
      <c r="B227" t="str">
        <v>Brazil</v>
      </c>
    </row>
    <row r="228" spans="2:2">
      <c r="B228" t="str">
        <v>Brazil</v>
      </c>
    </row>
    <row r="229" spans="2:2">
      <c r="B229" t="str">
        <v>Brazil</v>
      </c>
    </row>
    <row r="230" spans="2:2">
      <c r="B230" t="str">
        <v>Brazil</v>
      </c>
    </row>
    <row r="231" spans="2:2">
      <c r="B231" t="str">
        <v>Brazil</v>
      </c>
    </row>
    <row r="232" spans="2:2">
      <c r="B232" t="str">
        <v>Brazil</v>
      </c>
    </row>
    <row r="233" spans="2:2">
      <c r="B233" t="str">
        <v>Brazil</v>
      </c>
    </row>
    <row r="234" spans="2:2">
      <c r="B234" t="str">
        <v>Brazil</v>
      </c>
    </row>
    <row r="235" spans="2:2">
      <c r="B235" t="str">
        <v>Brazil</v>
      </c>
    </row>
    <row r="236" spans="2:2">
      <c r="B236" t="str">
        <v>Brazil</v>
      </c>
    </row>
    <row r="237" spans="2:2">
      <c r="B237" t="str">
        <v>Brazil</v>
      </c>
    </row>
    <row r="238" spans="2:2">
      <c r="B238" t="str">
        <v>Brazil</v>
      </c>
    </row>
    <row r="239" spans="2:2">
      <c r="B239" t="str">
        <v>Brazil</v>
      </c>
    </row>
    <row r="240" spans="2:2">
      <c r="B240" t="str">
        <v>Brazil</v>
      </c>
    </row>
    <row r="241" spans="2:2">
      <c r="B241" t="str">
        <v>Brazil</v>
      </c>
    </row>
    <row r="242" spans="2:2">
      <c r="B242" t="str">
        <v>Brazil</v>
      </c>
    </row>
    <row r="243" spans="2:2">
      <c r="B243" t="str">
        <v>Brazil</v>
      </c>
    </row>
    <row r="244" spans="2:2">
      <c r="B244" t="str">
        <v>Brazil</v>
      </c>
    </row>
    <row r="245" spans="2:2">
      <c r="B245" t="str">
        <v>Brazil</v>
      </c>
    </row>
    <row r="246" spans="2:2">
      <c r="B246" t="str">
        <v>Brazil</v>
      </c>
    </row>
    <row r="247" spans="2:2">
      <c r="B247" t="str">
        <v>Brazil</v>
      </c>
    </row>
    <row r="248" spans="2:2">
      <c r="B248" t="str">
        <v>Brazil</v>
      </c>
    </row>
    <row r="249" spans="2:2">
      <c r="B249" t="str">
        <v>Brazil</v>
      </c>
    </row>
    <row r="250" spans="2:2">
      <c r="B250" t="str">
        <v>Brazil</v>
      </c>
    </row>
    <row r="251" spans="2:2">
      <c r="B251" t="str">
        <v>Brazil</v>
      </c>
    </row>
    <row r="252" spans="2:2">
      <c r="B252" t="str">
        <v>Brazil</v>
      </c>
    </row>
    <row r="253" spans="2:2">
      <c r="B253" t="str">
        <v>Brazil</v>
      </c>
    </row>
    <row r="254" spans="2:2">
      <c r="B254" t="str">
        <v>Brazil</v>
      </c>
    </row>
    <row r="255" spans="2:2">
      <c r="B255" t="str">
        <v>Brazil</v>
      </c>
    </row>
    <row r="256" spans="2:2">
      <c r="B256" t="str">
        <v>Brazil</v>
      </c>
    </row>
    <row r="257" spans="2:2">
      <c r="B257" t="str">
        <v>Brazil</v>
      </c>
    </row>
    <row r="258" spans="2:2">
      <c r="B258" t="str">
        <v>Brazil</v>
      </c>
    </row>
    <row r="259" spans="2:2">
      <c r="B259" t="str">
        <v>Brazil</v>
      </c>
    </row>
    <row r="260" spans="2:2">
      <c r="B260" t="str">
        <v>Brazil</v>
      </c>
    </row>
    <row r="261" spans="2:2">
      <c r="B261" t="str">
        <v>Brazil</v>
      </c>
    </row>
    <row r="262" spans="2:2">
      <c r="B262" t="str">
        <v>Brazil</v>
      </c>
    </row>
    <row r="263" spans="2:2">
      <c r="B263" t="str">
        <v>Brazil</v>
      </c>
    </row>
    <row r="264" spans="2:2">
      <c r="B264" t="str">
        <v>Brazil</v>
      </c>
    </row>
    <row r="265" spans="2:2">
      <c r="B265" t="str">
        <v>Brazil</v>
      </c>
    </row>
    <row r="266" spans="2:2">
      <c r="B266" t="str">
        <v>Brazil</v>
      </c>
    </row>
    <row r="267" spans="2:2">
      <c r="B267" t="str">
        <v>Brazil</v>
      </c>
    </row>
    <row r="268" spans="2:2">
      <c r="B268" t="str">
        <v>Brazil</v>
      </c>
    </row>
    <row r="269" spans="2:2">
      <c r="B269" t="str">
        <v>Brazil</v>
      </c>
    </row>
    <row r="270" spans="2:2">
      <c r="B270" t="str">
        <v>Brazil</v>
      </c>
    </row>
    <row r="271" spans="2:2">
      <c r="B271" t="str">
        <v>Brazil</v>
      </c>
    </row>
    <row r="272" spans="2:2">
      <c r="B272" t="str">
        <v>Brazil</v>
      </c>
    </row>
    <row r="273" spans="2:2">
      <c r="B273" t="str">
        <v>Brazil</v>
      </c>
    </row>
  </sheetData>
  <mergeCells count="4">
    <mergeCell ref="B2:C2"/>
    <mergeCell ref="F2:G2"/>
    <mergeCell ref="B10:C10"/>
    <mergeCell ref="F13:G13"/>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Data</vt:lpstr>
      <vt:lpstr>Keywords</vt:lpstr>
      <vt:lpstr>Countries</vt:lpstr>
      <vt:lpstr>Analysis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Sivaramchandar Suresh</dc:creator>
  <cp:lastModifiedBy>Sivaramchandar Suresh</cp:lastModifiedBy>
  <dcterms:created xsi:type="dcterms:W3CDTF">2024-03-20T19:02:34Z</dcterms:created>
  <dcterms:modified xsi:type="dcterms:W3CDTF">2024-03-21T20:32:29Z</dcterms:modified>
</cp:coreProperties>
</file>